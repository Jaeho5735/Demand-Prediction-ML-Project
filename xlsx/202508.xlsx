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6" activeTab="2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31" sheetId="33" r:id="rId36"/>
    <x:sheet name="Chart1" sheetId="34" state="hidden" r:id="rId37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<x:sst xmlns:r="http://schemas.openxmlformats.org/officeDocument/2006/relationships" xmlns:c="http://schemas.openxmlformats.org/drawingml/2006/chart" xmlns:x="http://schemas.openxmlformats.org/spreadsheetml/2006/main" count="3043" uniqueCount="169">
  <x:si>
    <x:t>V</x:t>
  </x:si>
  <x:si>
    <x:t>변동비</x:t>
  </x:si>
  <x:si>
    <x:t>항목</x:t>
  </x:si>
  <x:si>
    <x:t>만</x:t>
  </x:si>
  <x:si>
    <x:t>파출</x:t>
  </x:si>
  <x:si>
    <x:t>포스</x:t>
  </x:si>
  <x:si>
    <x:t>식자재</x:t>
  </x:si>
  <x:si>
    <x:t>막걸리</x:t>
  </x:si>
  <x:si>
    <x:t>일매출</x:t>
  </x:si>
  <x:si>
    <x:t>매출</x:t>
  </x:si>
  <x:si>
    <x:t>수도</x:t>
  </x:si>
  <x:si>
    <x:t>총매출</x:t>
  </x:si>
  <x:si>
    <x:t>시제</x:t>
  </x:si>
  <x:si>
    <x:t>오백</x:t>
  </x:si>
  <x:si>
    <x:t>입금</x:t>
  </x:si>
  <x:si>
    <x:t>F</x:t>
  </x:si>
  <x:si>
    <x:t>뚝배기</x:t>
  </x:si>
  <x:si>
    <x:t>잔금</x:t>
  </x:si>
  <x:si>
    <x:t>토</x:t>
  </x:si>
  <x:si>
    <x:t>일</x:t>
  </x:si>
  <x:si>
    <x:t>고기</x:t>
  </x:si>
  <x:si>
    <x:t>알바B</x:t>
  </x:si>
  <x:si>
    <x:t>카드</x:t>
  </x:si>
  <x:si>
    <x:t>직원B</x:t>
  </x:si>
  <x:si>
    <x:t>주류</x:t>
  </x:si>
  <x:si>
    <x:t>총비용</x:t>
  </x:si>
  <x:si>
    <x:t>업체</x:t>
  </x:si>
  <x:si>
    <x:t>수</x:t>
  </x:si>
  <x:si>
    <x:t>금</x:t>
  </x:si>
  <x:si>
    <x:t>알바A</x:t>
  </x:si>
  <x:si>
    <x:t>고정비</x:t>
  </x:si>
  <x:si>
    <x:t>가스비</x:t>
  </x:si>
  <x:si>
    <x:t>배달</x:t>
  </x:si>
  <x:si>
    <x:t>누계</x:t>
  </x:si>
  <x:si>
    <x:t>S</x:t>
  </x:si>
  <x:si>
    <x:t>월세</x:t>
  </x:si>
  <x:si>
    <x:t>숯</x:t>
  </x:si>
  <x:si>
    <x:t>인터넷</x:t>
  </x:si>
  <x:si>
    <x:t>마케팅</x:t>
  </x:si>
  <x:si>
    <x:t>금액</x:t>
  </x:si>
  <x:si>
    <x:t>시재</x:t>
  </x:si>
  <x:si>
    <x:t>직원C</x:t>
  </x:si>
  <x:si>
    <x:t>목살</x:t>
  </x:si>
  <x:si>
    <x:t>백이하</x:t>
  </x:si>
  <x:si>
    <x:t>직원A</x:t>
  </x:si>
  <x:si>
    <x:t>쌀</x:t>
  </x:si>
  <x:si>
    <x:t>세무사</x:t>
  </x:si>
  <x:si>
    <x:t>직원D</x:t>
  </x:si>
  <x:si>
    <x:t>개수</x:t>
  </x:si>
  <x:si>
    <x:t>월</x:t>
  </x:si>
  <x:si>
    <x:t>목</x:t>
  </x:si>
  <x:si>
    <x:t>육회</x:t>
  </x:si>
  <x:si>
    <x:t>천</x:t>
  </x:si>
  <x:si>
    <x:t>발매트</x:t>
  </x:si>
  <x:si>
    <x:t>합계</x:t>
  </x:si>
  <x:si>
    <x:t>V/S</x:t>
  </x:si>
  <x:si>
    <x:t>급여</x:t>
  </x:si>
  <x:si>
    <x:t>알바X</x:t>
  </x:si>
  <x:si>
    <x:t>참기름</x:t>
  </x:si>
  <x:si>
    <x:t>전기세</x:t>
  </x:si>
  <x:si>
    <x:t>매출액</x:t>
  </x:si>
  <x:si>
    <x:t>현금</x:t>
  </x:si>
  <x:si>
    <x:t>화</x:t>
  </x:si>
  <x:si>
    <x:t>`</x:t>
  </x:si>
  <x:si>
    <x:t>삼겹살</x:t>
  </x:si>
  <x:si>
    <x:t>손익분기점 매출액 X</x:t>
  </x:si>
  <x:si>
    <x:t>take
out</x:t>
  </x:si>
  <x:si>
    <x:t>손익분기점 매출액</x:t>
  </x:si>
  <x:si>
    <x:t>퇴직금(10%)</x:t>
  </x:si>
  <x:si>
    <x:t>현금수수료 (1%)</x:t>
  </x:si>
  <x:si>
    <x:t>현금수수료(1%)</x:t>
  </x:si>
  <x:si>
    <x:t>월   합  산</x:t>
  </x:si>
  <x:si>
    <x:t>마  감  잔  금</x:t>
  </x:si>
  <x:si>
    <x:t>비       고</x:t>
  </x:si>
  <x:si>
    <x:t>비품 및 기타경비</x:t>
  </x:si>
  <x:si>
    <x:t>비품 및 
기타경비</x:t>
  </x:si>
  <x:si>
    <x:t>종량재봉투</x:t>
  </x:si>
  <x:si>
    <x:t>목표일매출</x:t>
  </x:si>
  <x:si>
    <x:t>4대보험료</x:t>
  </x:si>
  <x:si>
    <x:t>소     계</x:t>
  </x:si>
  <x:si>
    <x:t>변동비용</x:t>
  </x:si>
  <x:si>
    <x:t>화재보험</x:t>
  </x:si>
  <x:si>
    <x:t>불판세척</x:t>
  </x:si>
  <x:si>
    <x:t>중간출금</x:t>
  </x:si>
  <x:si>
    <x:t>페이결제</x:t>
  </x:si>
  <x:si>
    <x:t>목표월매출</x:t>
  </x:si>
  <x:si>
    <x:t>일평균매출</x:t>
  </x:si>
  <x:si>
    <x:t>카드할인</x:t>
  </x:si>
  <x:si>
    <x:t>영업일수</x:t>
  </x:si>
  <x:si>
    <x:t>세전이익</x:t>
  </x:si>
  <x:si>
    <x:t>다이소 구매</x:t>
  </x:si>
  <x:si>
    <x:t>소갈비살</x:t>
  </x:si>
  <x:si>
    <x:t>고정비용</x:t>
  </x:si>
  <x:si>
    <x:t>현금합계</x:t>
  </x:si>
  <x:si>
    <x:t>식자재합계</x:t>
  </x:si>
  <x:si>
    <x:t>돼지양념갈비</x:t>
  </x:si>
  <x:si>
    <x:t>매출누계</x:t>
  </x:si>
  <x:si>
    <x:t>인터넷 주문</x:t>
  </x:si>
  <x:si>
    <x:t>휴무일수</x:t>
  </x:si>
  <x:si>
    <x:t>종합소득세</x:t>
  </x:si>
  <x:si>
    <x:t>쿠쿠(블루문)</x:t>
  </x:si>
  <x:si>
    <x:t>누적총매출</x:t>
  </x:si>
  <x:si>
    <x:t>부탄가스</x:t>
  </x:si>
  <x:si>
    <x:t>할인내역</x:t>
  </x:si>
  <x:si>
    <x:t>할인금액</x:t>
  </x:si>
  <x:si>
    <x:t>손익분기점</x:t>
  </x:si>
  <x:si>
    <x:t>식자재2</x:t>
  </x:si>
  <x:si>
    <x:t>세후이익</x:t>
  </x:si>
  <x:si>
    <x:t>세금부가세</x:t>
  </x:si>
  <x:si>
    <x:t>항목별 소계</x:t>
  </x:si>
  <x:si>
    <x:t>마감잔금</x:t>
  </x:si>
  <x:si>
    <x:t>깍두기,계란</x:t>
  </x:si>
  <x:si>
    <x:t>합    계</x:t>
  </x:si>
  <x:si>
    <x:t>테이블수</x:t>
  </x:si>
  <x:si>
    <x:t>누적테이블</x:t>
  </x:si>
  <x:si>
    <x:t>매출 비율</x:t>
  </x:si>
  <x:si>
    <x:t>종량제봉투</x:t>
  </x:si>
  <x:si>
    <x:t>한우업진살</x:t>
  </x:si>
  <x:si>
    <x:t>인건비합계</x:t>
  </x:si>
  <x:si>
    <x:t>기타경비합계</x:t>
  </x:si>
  <x:si>
    <x:t>금고잔액</x:t>
  </x:si>
  <x:si>
    <x:t>코카콜라</x:t>
  </x:si>
  <x:si>
    <x:t>카드매출</x:t>
  </x:si>
  <x:si>
    <x:t>실영업일수</x:t>
  </x:si>
  <x:si>
    <x:t>출금내역</x:t>
  </x:si>
  <x:si>
    <x:t>2025년</x:t>
  </x:si>
  <x:si>
    <x:t>코카콜라음료</x:t>
  </x:si>
  <x:si>
    <x:t>음식물스티커</x:t>
  </x:si>
  <x:si>
    <x:t>누적매출</x:t>
  </x:si>
  <x:si>
    <x:t>현금매출</x:t>
  </x:si>
  <x:si>
    <x:t>LA양념갈비</x:t>
  </x:si>
  <x:si>
    <x:t>통장입금</x:t>
  </x:si>
  <x:si>
    <x:t>중간입금</x:t>
  </x:si>
  <x:si>
    <x:t>LA갈비</x:t>
  </x:si>
  <x:si>
    <x:t>금고 실잔액</x:t>
  </x:si>
  <x:si>
    <x:t>페이매출</x:t>
  </x:si>
  <x:si>
    <x:t>항목 비율</x:t>
  </x:si>
  <x:si>
    <x:t>입금내역</x:t>
  </x:si>
  <x:si>
    <x:t>홀 파출</x:t>
  </x:si>
  <x:si>
    <x:t>배달료누계</x:t>
  </x:si>
  <x:si>
    <x:t>변동비율</x:t>
  </x:si>
  <x:si>
    <x:t>인
건
비</x:t>
  </x:si>
  <x:si>
    <x:t>전   월</x:t>
  </x:si>
  <x:si>
    <x:t>현금할인</x:t>
  </x:si>
  <x:si>
    <x:t>매출대비 비율</x:t>
  </x:si>
  <x:si>
    <x:t>식권사용 159,000원</x:t>
  </x:si>
  <x:si>
    <x:t>선결제 56,000원 사용</x:t>
  </x:si>
  <x:si>
    <x:t xml:space="preserve">선결제 95,000원 </x:t>
  </x:si>
  <x:si>
    <x:t>X=F/(1-(V/S))</x:t>
  </x:si>
  <x:si>
    <x:t>카드수수료(2.75%)</x:t>
  </x:si>
  <x:si>
    <x:t>신송아 고객님 리뷰노트 5만원 / 28,000원 계좌이체 고객님</x:t>
  </x:si>
  <x:si>
    <x:t>리뷰노트 5만원 송인영고객님/선결제 김준우고객님 160,000원</x:t>
  </x:si>
  <x:si>
    <x:t>알바C</x:t>
  </x:si>
  <x:si>
    <x:t>ㄴ</x:t>
  </x:si>
  <x:si>
    <x:t>직원F</x:t>
  </x:si>
  <x:si>
    <x:t>리뷰노트 50,000</x:t>
  </x:si>
  <x:si>
    <x:t>선결제240,000원</x:t>
  </x:si>
  <x:si>
    <x:t>리뷰노트 49000</x:t>
  </x:si>
  <x:si>
    <x:t xml:space="preserve">선결제 207,000 사용 / 선결제 278,000원 </x:t>
  </x:si>
  <x:si>
    <x:t>선결제 사용금액 180,000</x:t>
  </x:si>
  <x:si>
    <x:t>많이드셔서 냉면 2개 서비스 넣었습니다.</x:t>
  </x:si>
  <x:si>
    <x:t>8월10일 정상철 고객님 91,000원 식권사용</x:t>
  </x:si>
  <x:si>
    <x:t>일요일</x:t>
  </x:si>
  <x:si>
    <x:t>선결제</x:t>
  </x:si>
  <x:si>
    <x:t>오겹살</x:t>
  </x:si>
  <x:si>
    <x:t>토요일</x:t>
  </x:si>
  <x:si>
    <x:t>목요일</x:t>
  </x:si>
  <x:si>
    <x:t>8월</x:t>
  </x:si>
  <x:si>
    <x:t>8월 테이블수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</x:si>
</x:sst>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2f2f2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64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2" xfId="1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Border="1" applyAlignment="1">
          <x:alignment horizontal="center" vertical="top" wrapText="1"/>
        </x:xf>
      </mc:Fallback>
    </mc:AlternateContent>
    <x:xf numFmtId="0" fontId="0" fillId="0" borderId="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Border="1" applyAlignment="1">
          <x:alignment horizontal="center" vertical="center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5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6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6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3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3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2" xfId="0" applyNumberFormat="1" applyFont="1" applyBorder="1" applyAlignment="1">
      <x:alignment horizontal="left" vertical="top"/>
    </x:xf>
    <x:xf numFmtId="0" fontId="6" fillId="0" borderId="57" xfId="0" applyNumberFormat="1" applyFont="1" applyBorder="1" applyAlignment="1">
      <x:alignment horizontal="left" vertical="top"/>
    </x:xf>
    <x:xf numFmtId="0" fontId="6" fillId="0" borderId="58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0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64" xfId="0" applyNumberFormat="1" applyFont="1" applyBorder="1" applyAlignment="1">
      <x:alignment horizontal="left" vertical="center"/>
    </x:xf>
    <x:xf numFmtId="0" fontId="6" fillId="0" borderId="65" xfId="0" applyNumberFormat="1" applyFont="1" applyBorder="1" applyAlignment="1">
      <x:alignment horizontal="left" vertical="center"/>
    </x:xf>
    <x:xf numFmtId="0" fontId="20" fillId="0" borderId="66" xfId="0" applyNumberFormat="1" applyFont="1" applyBorder="1" applyAlignment="1">
      <x:alignment horizontal="left" vertical="center"/>
    </x:xf>
    <x:xf numFmtId="0" fontId="20" fillId="0" borderId="67" xfId="0" applyNumberFormat="1" applyFont="1" applyBorder="1" applyAlignment="1">
      <x:alignment horizontal="left" vertical="center"/>
    </x:xf>
    <x:xf numFmtId="41" fontId="6" fillId="0" borderId="62" xfId="2" applyNumberFormat="1" applyFont="1" applyBorder="1" applyAlignment="1">
      <x:alignment horizontal="left" vertical="top"/>
    </x:xf>
    <x:xf numFmtId="41" fontId="6" fillId="0" borderId="68" xfId="2" applyNumberFormat="1" applyFont="1" applyBorder="1" applyAlignment="1">
      <x:alignment horizontal="left" vertical="top"/>
    </x:xf>
    <x:xf numFmtId="41" fontId="6" fillId="0" borderId="29" xfId="2" applyNumberFormat="1" applyFont="1" applyBorder="1" applyAlignment="1">
      <x:alignment horizontal="left" vertical="top"/>
    </x:xf>
    <x:xf numFmtId="41" fontId="6" fillId="0" borderId="69" xfId="2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29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1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8" xfId="0" applyNumberFormat="1" applyFont="1" applyBorder="1" applyAlignment="1">
          <x:alignment horizontal="center" vertical="center"/>
        </x:xf>
      </mc:Fallback>
    </mc:AlternateContent>
    <x:xf numFmtId="0" fontId="15" fillId="0" borderId="62" xfId="0" applyNumberFormat="1" applyFont="1" applyBorder="1" applyAlignment="1">
      <x:alignment horizontal="left" vertical="top" wrapText="1"/>
    </x:xf>
    <x:xf numFmtId="0" fontId="15" fillId="0" borderId="68" xfId="0" applyNumberFormat="1" applyFont="1" applyBorder="1" applyAlignment="1">
      <x:alignment horizontal="left" vertical="top" wrapText="1"/>
    </x:xf>
    <x:xf numFmtId="0" fontId="15" fillId="0" borderId="29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62" xfId="0" applyNumberFormat="1" applyFont="1" applyBorder="1" applyAlignment="1">
      <x:alignment horizontal="left" vertical="center" wrapText="1"/>
    </x:xf>
    <x:xf numFmtId="0" fontId="15" fillId="0" borderId="68" xfId="0" applyNumberFormat="1" applyFont="1" applyBorder="1" applyAlignment="1">
      <x:alignment horizontal="left" vertical="center" wrapText="1"/>
    </x:xf>
    <x:xf numFmtId="0" fontId="15" fillId="0" borderId="2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3" xfId="0" applyNumberFormat="1" applyFont="1" applyBorder="1" applyAlignment="1">
          <x:alignment horizontal="center" vertical="center"/>
        </x:xf>
      </mc:Fallback>
    </mc:AlternateContent>
    <x:xf numFmtId="41" fontId="16" fillId="0" borderId="62" xfId="2" applyNumberFormat="1" applyFont="1" applyBorder="1" applyAlignment="1">
      <x:alignment horizontal="left" vertical="center"/>
    </x:xf>
    <x:xf numFmtId="41" fontId="16" fillId="0" borderId="68" xfId="2" applyNumberFormat="1" applyFont="1" applyBorder="1" applyAlignment="1">
      <x:alignment horizontal="left" vertical="center"/>
    </x:xf>
    <x:xf numFmtId="41" fontId="16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right" vertical="center"/>
        </x:xf>
      </mc:Fallback>
    </mc:AlternateContent>
    <x:xf numFmtId="41" fontId="15" fillId="0" borderId="62" xfId="2" applyNumberFormat="1" applyFont="1" applyBorder="1" applyAlignment="1">
      <x:alignment horizontal="left" vertical="center"/>
    </x:xf>
    <x:xf numFmtId="41" fontId="15" fillId="0" borderId="68" xfId="2" applyNumberFormat="1" applyFont="1" applyBorder="1" applyAlignment="1">
      <x:alignment horizontal="left" vertical="center"/>
    </x:xf>
    <x:xf numFmtId="41" fontId="15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37" Type="http://schemas.openxmlformats.org/officeDocument/2006/relationships/worksheet" Target="worksheets/sheet34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6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2025년4,993,0004,223,000770,000105,6008월10일 정상철 고객님 91,000원 식권사용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6</c:v>
                </c:pt>
                <c:pt idx="1">
                  <c:v>75</c:v>
                </c:pt>
                <c:pt idx="2">
                  <c:v>40</c:v>
                </c:pt>
                <c:pt idx="3">
                  <c:v>253</c:v>
                </c:pt>
                <c:pt idx="4">
                  <c:v>10</c:v>
                </c:pt>
                <c:pt idx="5">
                  <c:v>20</c:v>
                </c:pt>
                <c:pt idx="6">
                  <c:v>20</c:v>
                </c:pt>
                <c:pt idx="7">
                  <c:v>115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4278950</c:v>
                </c:pt>
                <c:pt idx="14">
                  <c:v/>
                </c:pt>
                <c:pt idx="15">
                  <c:v>129032.258064516</c:v>
                </c:pt>
                <c:pt idx="16">
                  <c:v>122580.64516129</c:v>
                </c:pt>
                <c:pt idx="17">
                  <c:v>103225.806451613</c:v>
                </c:pt>
                <c:pt idx="18">
                  <c:v/>
                </c:pt>
                <c:pt idx="19">
                  <c:v>112903.225806452</c:v>
                </c:pt>
                <c:pt idx="20">
                  <c:v>70000</c:v>
                </c:pt>
                <c:pt idx="21">
                  <c:v>78000</c:v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8월시재카드수수료(2.75%)현금수수료(1%)통장입금마감잔금카드할인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42789500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/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4</c:v>
                </c:pt>
                <c:pt idx="1">
                  <c:v>21</c:v>
                </c:pt>
                <c:pt idx="2">
                  <c:v>17</c:v>
                </c:pt>
                <c:pt idx="3">
                  <c:v>160</c:v>
                </c:pt>
                <c:pt idx="4">
                  <c:v>14</c:v>
                </c:pt>
                <c:pt idx="5">
                  <c:v>73</c:v>
                </c:pt>
                <c:pt idx="6">
                  <c:v>1</c:v>
                </c:pt>
                <c:pt idx="7">
                  <c:v>73</c:v>
                </c:pt>
                <c:pt idx="8">
                  <c:v>70</c:v>
                </c:pt>
                <c:pt idx="9">
                  <c:v>619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>48387.0967741935</c:v>
                </c:pt>
                <c:pt idx="17">
                  <c:v/>
                </c:pt>
                <c:pt idx="18">
                  <c:v/>
                </c:pt>
                <c:pt idx="19">
                  <c:v>130000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일136,800116,1327,700801,000105,800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6400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6400</c:v>
                </c:pt>
                <c:pt idx="11">
                  <c:v>0.00128179451231724</c:v>
                </c:pt>
                <c:pt idx="12">
                  <c:v>729562</c:v>
                </c:pt>
                <c:pt idx="13">
                  <c:v>0.0170500239544748</c:v>
                </c:pt>
                <c:pt idx="14">
                  <c:v>794129.032258065</c:v>
                </c:pt>
                <c:pt idx="15">
                  <c:v>0.159048474315655</c:v>
                </c:pt>
                <c:pt idx="16">
                  <c:v>7295620</c:v>
                </c:pt>
                <c:pt idx="17">
                  <c:v>9.18694532455926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4993000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188013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188013</c:v>
                </c:pt>
                <c:pt idx="12">
                  <c:v>0.0376553174444222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6.xml.rels><?xml version="1.0" encoding="UTF-8" standalone="yes" ?><Relationships xmlns="http://schemas.openxmlformats.org/package/2006/relationships"><Relationship Id="rId1" Type="http://schemas.openxmlformats.org/officeDocument/2006/relationships/chart" Target="../charts/chart6.xml"  /></Relationships>
</file>

<file path=xl/drawings/drawing6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46" t="s">
        <x:v>71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</x:row>
    <x:row r="2" spans="1:11" ht="30.949999999999999" customHeight="1">
      <x:c r="A2" s="200" t="s">
        <x:v>9</x:v>
      </x:c>
      <x:c r="B2" s="201"/>
      <x:c r="C2" s="202">
        <x:f>C3+G3+C5</x:f>
        <x:v>0</x:v>
      </x:c>
      <x:c r="D2" s="203"/>
      <x:c r="E2" s="204" t="s">
        <x:v>12</x:v>
      </x:c>
      <x:c r="F2" s="205"/>
      <x:c r="G2" s="6"/>
      <x:c r="H2" s="206" t="s">
        <x:v>73</x:v>
      </x:c>
      <x:c r="I2" s="207"/>
      <x:c r="J2" s="207"/>
      <x:c r="K2" s="208"/>
    </x:row>
    <x:row r="3" spans="1:11" ht="30.949999999999999" customHeight="1">
      <x:c r="A3" s="209" t="s">
        <x:v>122</x:v>
      </x:c>
      <x:c r="B3" s="210"/>
      <x:c r="C3" s="211">
        <x:f>SUM('1'!C3)</x:f>
        <x:v>0</x:v>
      </x:c>
      <x:c r="D3" s="211"/>
      <x:c r="E3" s="210" t="s">
        <x:v>129</x:v>
      </x:c>
      <x:c r="F3" s="210"/>
      <x:c r="G3" s="7">
        <x:f>SUM('1'!G3)</x:f>
        <x:v>0</x:v>
      </x:c>
      <x:c r="H3" s="212"/>
      <x:c r="I3" s="213"/>
      <x:c r="J3" s="213"/>
      <x:c r="K3" s="214"/>
    </x:row>
    <x:row r="4" spans="1:11" ht="30.949999999999999" customHeight="1">
      <x:c r="A4" s="221" t="s">
        <x:v>120</x:v>
      </x:c>
      <x:c r="B4" s="222"/>
      <x:c r="C4" s="223">
        <x:f>C21</x:f>
        <x:v>0</x:v>
      </x:c>
      <x:c r="D4" s="223"/>
      <x:c r="E4" s="224" t="s">
        <x:v>14</x:v>
      </x:c>
      <x:c r="F4" s="222"/>
      <x:c r="G4" s="8">
        <x:f>C17</x:f>
        <x:v>0</x:v>
      </x:c>
      <x:c r="H4" s="215"/>
      <x:c r="I4" s="216"/>
      <x:c r="J4" s="216"/>
      <x:c r="K4" s="217"/>
    </x:row>
    <x:row r="5" spans="1:11" ht="30.949999999999999" customHeight="1">
      <x:c r="A5" s="209" t="s">
        <x:v>104</x:v>
      </x:c>
      <x:c r="B5" s="210"/>
      <x:c r="C5" s="225">
        <x:f>C6+G6</x:f>
        <x:v>0</x:v>
      </x:c>
      <x:c r="D5" s="226"/>
      <x:c r="E5" s="224" t="s">
        <x:v>17</x:v>
      </x:c>
      <x:c r="F5" s="222"/>
      <x:c r="G5" s="8">
        <x:f>C4-G4</x:f>
        <x:v>0</x:v>
      </x:c>
      <x:c r="H5" s="215"/>
      <x:c r="I5" s="216"/>
      <x:c r="J5" s="216"/>
      <x:c r="K5" s="217"/>
    </x:row>
    <x:row r="6" spans="1:11" ht="30.949999999999999" customHeight="1">
      <x:c r="A6" s="209" t="s">
        <x:v>143</x:v>
      </x:c>
      <x:c r="B6" s="210"/>
      <x:c r="C6" s="211">
        <x:f>SUM('1'!C7)</x:f>
        <x:v>0</x:v>
      </x:c>
      <x:c r="D6" s="211"/>
      <x:c r="E6" s="210" t="s">
        <x:v>87</x:v>
      </x:c>
      <x:c r="F6" s="210"/>
      <x:c r="G6" s="7">
        <x:f>SUM('1'!G7)</x:f>
        <x:v>0</x:v>
      </x:c>
      <x:c r="H6" s="215"/>
      <x:c r="I6" s="216"/>
      <x:c r="J6" s="216"/>
      <x:c r="K6" s="217"/>
    </x:row>
    <x:row r="7" spans="1:11" ht="30.949999999999999" customHeight="1">
      <x:c r="A7" s="209" t="s">
        <x:v>103</x:v>
      </x:c>
      <x:c r="B7" s="210"/>
      <x:c r="C7" s="227"/>
      <x:c r="D7" s="227"/>
      <x:c r="E7" s="227"/>
      <x:c r="F7" s="227"/>
      <x:c r="G7" s="227"/>
      <x:c r="H7" s="218"/>
      <x:c r="I7" s="219"/>
      <x:c r="J7" s="219"/>
      <x:c r="K7" s="220"/>
    </x:row>
    <x:row r="8" spans="1:11" ht="30.949999999999999" customHeight="1">
      <x:c r="A8" s="209"/>
      <x:c r="B8" s="210"/>
      <x:c r="C8" s="227"/>
      <x:c r="D8" s="227"/>
      <x:c r="E8" s="227"/>
      <x:c r="F8" s="227"/>
      <x:c r="G8" s="227"/>
      <x:c r="H8" s="5" t="s">
        <x:v>66</x:v>
      </x:c>
      <x:c r="I8" s="228" t="s">
        <x:v>96</x:v>
      </x:c>
      <x:c r="J8" s="229"/>
      <x:c r="K8" s="9">
        <x:f>SUM('1'!K9)</x:f>
        <x:v>0</x:v>
      </x:c>
    </x:row>
    <x:row r="9" spans="1:11" ht="30.949999999999999" customHeight="1">
      <x:c r="A9" s="209"/>
      <x:c r="B9" s="210"/>
      <x:c r="C9" s="227"/>
      <x:c r="D9" s="227"/>
      <x:c r="E9" s="227"/>
      <x:c r="F9" s="227"/>
      <x:c r="G9" s="227"/>
      <x:c r="H9" s="210" t="s">
        <x:v>32</x:v>
      </x:c>
      <x:c r="I9" s="228" t="s">
        <x:v>96</x:v>
      </x:c>
      <x:c r="J9" s="229"/>
      <x:c r="K9" s="9">
        <x:f>SUM('1'!K10)</x:f>
        <x:v>0</x:v>
      </x:c>
    </x:row>
    <x:row r="10" spans="1:11" ht="30.949999999999999" customHeight="1">
      <x:c r="A10" s="209"/>
      <x:c r="B10" s="210"/>
      <x:c r="C10" s="227"/>
      <x:c r="D10" s="227"/>
      <x:c r="E10" s="227"/>
      <x:c r="F10" s="227"/>
      <x:c r="G10" s="227"/>
      <x:c r="H10" s="210"/>
      <x:c r="I10" s="230" t="s">
        <x:v>139</x:v>
      </x:c>
      <x:c r="J10" s="231"/>
      <x:c r="K10" s="10">
        <x:f>SUM('1'!K11)</x:f>
        <x:v>0</x:v>
      </x:c>
    </x:row>
    <x:row r="11" spans="1:11" ht="32.100000000000001" customHeight="1">
      <x:c r="A11" s="221" t="s">
        <x:v>83</x:v>
      </x:c>
      <x:c r="B11" s="222"/>
      <x:c r="C11" s="232"/>
      <x:c r="D11" s="233"/>
      <x:c r="E11" s="233"/>
      <x:c r="F11" s="233"/>
      <x:c r="G11" s="234"/>
      <x:c r="H11" s="3" t="s">
        <x:v>132</x:v>
      </x:c>
      <x:c r="I11" s="232"/>
      <x:c r="J11" s="233"/>
      <x:c r="K11" s="235"/>
    </x:row>
    <x:row r="12" spans="1:11" ht="69.950000000000003" customHeight="1">
      <x:c r="A12" s="221" t="s">
        <x:v>124</x:v>
      </x:c>
      <x:c r="B12" s="222"/>
      <x:c r="C12" s="236"/>
      <x:c r="D12" s="237"/>
      <x:c r="E12" s="237"/>
      <x:c r="F12" s="237"/>
      <x:c r="G12" s="238"/>
      <x:c r="H12" s="3" t="s">
        <x:v>137</x:v>
      </x:c>
      <x:c r="I12" s="236"/>
      <x:c r="J12" s="237"/>
      <x:c r="K12" s="239"/>
    </x:row>
    <x:row r="13" spans="1:11" ht="30.949999999999999" customHeight="1">
      <x:c r="A13" s="209" t="s">
        <x:v>88</x:v>
      </x:c>
      <x:c r="B13" s="210"/>
      <x:c r="C13" s="224" t="s">
        <x:v>86</x:v>
      </x:c>
      <x:c r="D13" s="222"/>
      <x:c r="E13" s="224" t="s">
        <x:v>101</x:v>
      </x:c>
      <x:c r="F13" s="240"/>
      <x:c r="G13" s="222"/>
      <x:c r="H13" s="210" t="s">
        <x:v>77</x:v>
      </x:c>
      <x:c r="I13" s="210"/>
      <x:c r="J13" s="210" t="s">
        <x:v>85</x:v>
      </x:c>
      <x:c r="K13" s="241"/>
    </x:row>
    <x:row r="14" spans="1:11" ht="30.949999999999999" customHeight="1">
      <x:c r="A14" s="242">
        <x:f>C2</x:f>
        <x:v>0</x:v>
      </x:c>
      <x:c r="B14" s="243"/>
      <x:c r="C14" s="244" t="e">
        <x:f>ROUNDDOWN((E14/A14),-4)</x:f>
        <x:v>#DIV/0!</x:v>
      </x:c>
      <x:c r="D14" s="243"/>
      <x:c r="E14" s="244">
        <x:f>C2</x:f>
        <x:v>0</x:v>
      </x:c>
      <x:c r="F14" s="245"/>
      <x:c r="G14" s="243"/>
      <x:c r="H14" s="236"/>
      <x:c r="I14" s="238"/>
      <x:c r="J14" s="236"/>
      <x:c r="K14" s="239"/>
    </x:row>
    <x:row r="15" spans="1:11" ht="30.949999999999999" customHeight="1">
      <x:c r="A15" s="209" t="s">
        <x:v>142</x:v>
      </x:c>
      <x:c r="B15" s="210"/>
      <x:c r="C15" s="224"/>
      <x:c r="D15" s="222"/>
      <x:c r="E15" s="224"/>
      <x:c r="F15" s="240"/>
      <x:c r="G15" s="222"/>
      <x:c r="H15" s="236"/>
      <x:c r="I15" s="238"/>
      <x:c r="J15" s="236"/>
      <x:c r="K15" s="239"/>
    </x:row>
    <x:row r="16" spans="1:11" ht="30.949999999999999" customHeight="1">
      <x:c r="A16" s="221" t="s">
        <x:v>72</x:v>
      </x:c>
      <x:c r="B16" s="240"/>
      <x:c r="C16" s="240"/>
      <x:c r="D16" s="240"/>
      <x:c r="E16" s="240"/>
      <x:c r="F16" s="222"/>
      <x:c r="G16" s="210" t="s">
        <x:v>72</x:v>
      </x:c>
      <x:c r="H16" s="210"/>
      <x:c r="I16" s="210"/>
      <x:c r="J16" s="210"/>
      <x:c r="K16" s="241"/>
    </x:row>
    <x:row r="17" spans="1:11" ht="30.949999999999999" customHeight="1">
      <x:c r="A17" s="209" t="s">
        <x:v>3</x:v>
      </x:c>
      <x:c r="B17" s="210"/>
      <x:c r="C17" s="211"/>
      <x:c r="D17" s="211"/>
      <x:c r="E17" s="211"/>
      <x:c r="F17" s="211"/>
      <x:c r="G17" s="3" t="s">
        <x:v>3</x:v>
      </x:c>
      <x:c r="H17" s="211"/>
      <x:c r="I17" s="211"/>
      <x:c r="J17" s="211"/>
      <x:c r="K17" s="247"/>
    </x:row>
    <x:row r="18" spans="1:11" ht="30.949999999999999" customHeight="1">
      <x:c r="A18" s="209" t="s">
        <x:v>52</x:v>
      </x:c>
      <x:c r="B18" s="210"/>
      <x:c r="C18" s="211"/>
      <x:c r="D18" s="211"/>
      <x:c r="E18" s="211"/>
      <x:c r="F18" s="211"/>
      <x:c r="G18" s="3" t="s">
        <x:v>52</x:v>
      </x:c>
      <x:c r="H18" s="211"/>
      <x:c r="I18" s="211"/>
      <x:c r="J18" s="211"/>
      <x:c r="K18" s="247"/>
    </x:row>
    <x:row r="19" spans="1:11" ht="30.949999999999999" customHeight="1">
      <x:c r="A19" s="209" t="s">
        <x:v>13</x:v>
      </x:c>
      <x:c r="B19" s="210"/>
      <x:c r="C19" s="211"/>
      <x:c r="D19" s="211"/>
      <x:c r="E19" s="211"/>
      <x:c r="F19" s="211"/>
      <x:c r="G19" s="3" t="s">
        <x:v>13</x:v>
      </x:c>
      <x:c r="H19" s="211"/>
      <x:c r="I19" s="211"/>
      <x:c r="J19" s="211"/>
      <x:c r="K19" s="247"/>
    </x:row>
    <x:row r="20" spans="1:11" ht="30.949999999999999" customHeight="1">
      <x:c r="A20" s="209" t="s">
        <x:v>43</x:v>
      </x:c>
      <x:c r="B20" s="210"/>
      <x:c r="C20" s="211"/>
      <x:c r="D20" s="211"/>
      <x:c r="E20" s="211"/>
      <x:c r="F20" s="211"/>
      <x:c r="G20" s="3" t="s">
        <x:v>43</x:v>
      </x:c>
      <x:c r="H20" s="211"/>
      <x:c r="I20" s="211"/>
      <x:c r="J20" s="211"/>
      <x:c r="K20" s="247"/>
    </x:row>
    <x:row r="21" spans="1:11" ht="30.949999999999999" customHeight="1">
      <x:c r="A21" s="248" t="s">
        <x:v>54</x:v>
      </x:c>
      <x:c r="B21" s="249"/>
      <x:c r="C21" s="250">
        <x:f>SUM(C17:E20)</x:f>
        <x:v>0</x:v>
      </x:c>
      <x:c r="D21" s="251"/>
      <x:c r="E21" s="251"/>
      <x:c r="F21" s="252"/>
      <x:c r="G21" s="4" t="s">
        <x:v>54</x:v>
      </x:c>
      <x:c r="H21" s="253">
        <x:f>SUM(H17:K20)</x:f>
        <x:v>0</x:v>
      </x:c>
      <x:c r="I21" s="253"/>
      <x:c r="J21" s="253"/>
      <x:c r="K21" s="254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A1" zoomScaleNormal="100" zoomScaleSheetLayoutView="75" workbookViewId="0">
      <x:selection activeCell="C31" activeCellId="0" sqref="C31:C31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4.25" style="1" customWidth="1"/>
    <x:col min="13" max="13" width="13.12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39" t="s">
        <x:v>167</x:v>
      </x:c>
    </x:row>
    <x:row r="2" spans="1:2" ht="16.399999999999999">
      <x:c r="A2" s="11"/>
      <x:c r="B2" s="11"/>
    </x:row>
    <x:row r="3" ht="16.399999999999999"/>
    <x:row r="4" spans="1:16" customHeight="1">
      <x:c r="A4" s="177" t="s">
        <x:v>92</x:v>
      </x:c>
      <x:c r="B4" s="178"/>
      <x:c r="C4" s="178"/>
      <x:c r="D4" s="178"/>
      <x:c r="E4" s="179"/>
      <x:c r="F4" s="177" t="s">
        <x:v>80</x:v>
      </x:c>
      <x:c r="G4" s="178"/>
      <x:c r="H4" s="178"/>
      <x:c r="I4" s="178"/>
      <x:c r="J4" s="178"/>
      <x:c r="K4" s="179"/>
      <x:c r="M4" s="69"/>
      <x:c r="N4" s="69"/>
      <x:c r="O4" s="69"/>
      <x:c r="P4" s="69"/>
    </x:row>
    <x:row r="5" spans="1:16" s="15" customFormat="1" ht="17.149999999999999">
      <x:c r="A5" s="180" t="s">
        <x:v>2</x:v>
      </x:c>
      <x:c r="B5" s="181"/>
      <x:c r="C5" s="13"/>
      <x:c r="D5" s="13" t="s">
        <x:v>109</x:v>
      </x:c>
      <x:c r="E5" s="14" t="s">
        <x:v>144</x:v>
      </x:c>
      <x:c r="F5" s="12" t="s">
        <x:v>2</x:v>
      </x:c>
      <x:c r="G5" s="13" t="s">
        <x:v>26</x:v>
      </x:c>
      <x:c r="H5" s="13" t="s">
        <x:v>39</x:v>
      </x:c>
      <x:c r="I5" s="14"/>
      <x:c r="J5" s="13" t="s">
        <x:v>109</x:v>
      </x:c>
      <x:c r="K5" s="14"/>
      <x:c r="M5" s="76" t="s">
        <x:v>131</x:v>
      </x:c>
      <x:c r="N5" s="126">
        <x:f>SUM('1:31'!G6)</x:f>
        <x:v>22836000</x:v>
      </x:c>
      <x:c r="O5" s="69"/>
      <x:c r="P5" s="69"/>
    </x:row>
    <x:row r="6" spans="1:16" ht="16.399999999999999">
      <x:c r="A6" s="156" t="s">
        <x:v>35</x:v>
      </x:c>
      <x:c r="B6" s="157"/>
      <x:c r="C6" s="16">
        <x:v>6985000</x:v>
      </x:c>
      <x:c r="D6" s="16">
        <x:f>C6</x:f>
        <x:v>6985000</x:v>
      </x:c>
      <x:c r="E6" s="149">
        <x:f>D6/$B$45</x:f>
        <x:v>0.050745195189195666</x:v>
      </x:c>
      <x:c r="F6" s="172" t="s">
        <x:v>6</x:v>
      </x:c>
      <x:c r="G6" s="67" t="s">
        <x:v>20</x:v>
      </x:c>
      <x:c r="H6" s="16">
        <x:f>SUM('1:31'!I4)</x:f>
        <x:v>35201475</x:v>
      </x:c>
      <x:c r="I6" s="70">
        <x:f>H6/$B$45</x:f>
        <x:v>0.25573453397603313</x:v>
      </x:c>
      <x:c r="J6" s="175">
        <x:f>SUM(H6:H18)</x:f>
        <x:v>50648980</x:v>
      </x:c>
      <x:c r="K6" s="182">
        <x:f>J6/$B$45</x:f>
        <x:v>0.36795882265335256</x:v>
      </x:c>
      <x:c r="M6" s="75"/>
      <x:c r="N6" s="127"/>
      <x:c r="O6" s="69"/>
      <x:c r="P6" s="69"/>
    </x:row>
    <x:row r="7" spans="1:16" ht="16.75">
      <x:c r="A7" s="156" t="s">
        <x:v>38</x:v>
      </x:c>
      <x:c r="B7" s="157"/>
      <x:c r="C7" s="16">
        <x:v>2600000</x:v>
      </x:c>
      <x:c r="D7" s="16">
        <x:f>C7</x:f>
        <x:v>2600000</x:v>
      </x:c>
      <x:c r="E7" s="17">
        <x:f t="shared" ref="E7:E17" si="0">D7/$B$45</x:f>
        <x:v>0.018888691122678415</x:v>
      </x:c>
      <x:c r="F7" s="173"/>
      <x:c r="G7" s="67" t="s">
        <x:v>6</x:v>
      </x:c>
      <x:c r="H7" s="16">
        <x:f>SUM('1:31'!I5)</x:f>
        <x:v>6967265</x:v>
      </x:c>
      <x:c r="I7" s="70">
        <x:f>H7/$B$45</x:f>
        <x:v>0.050616352521095399</x:v>
      </x:c>
      <x:c r="J7" s="162"/>
      <x:c r="K7" s="171"/>
      <x:c r="M7" s="144" t="s">
        <x:v>64</x:v>
      </x:c>
      <x:c r="N7" s="128">
        <x:f>SUM('31'!C15)</x:f>
        <x:v>775</x:v>
      </x:c>
      <x:c r="O7" s="69"/>
      <x:c r="P7" s="69"/>
    </x:row>
    <x:row r="8" spans="1:16" ht="16.399999999999999">
      <x:c r="A8" s="156" t="s">
        <x:v>5</x:v>
      </x:c>
      <x:c r="B8" s="157"/>
      <x:c r="C8" s="16">
        <x:v>154000</x:v>
      </x:c>
      <x:c r="D8" s="16">
        <x:f t="shared" ref="D8:D17" si="1">C8</x:f>
        <x:v>154000</x:v>
      </x:c>
      <x:c r="E8" s="17">
        <x:f>D8/$B$45</x:f>
        <x:v>0.0011187917049586447</x:v>
      </x:c>
      <x:c r="F8" s="173"/>
      <x:c r="G8" s="67" t="s">
        <x:v>24</x:v>
      </x:c>
      <x:c r="H8" s="16">
        <x:f>SUM('1:31'!I7)</x:f>
        <x:v>3706540</x:v>
      </x:c>
      <x:c r="I8" s="150">
        <x:f>H8/$B$45</x:f>
        <x:v>0.026927572766866331</x:v>
      </x:c>
      <x:c r="J8" s="162"/>
      <x:c r="K8" s="171"/>
      <x:c r="M8" s="77" t="s">
        <x:v>42</x:v>
      </x:c>
      <x:c r="N8" s="129">
        <x:f>SUM('31'!C13)</x:f>
        <x:v>244</x:v>
      </x:c>
      <x:c r="O8" s="69"/>
      <x:c r="P8" s="69"/>
    </x:row>
    <x:row r="9" spans="1:16" ht="16.399999999999999">
      <x:c r="A9" s="158" t="s">
        <x:v>10</x:v>
      </x:c>
      <x:c r="B9" s="157"/>
      <x:c r="C9" s="16">
        <x:v>670000</x:v>
      </x:c>
      <x:c r="D9" s="16">
        <x:f t="shared" si="1"/>
        <x:v>670000</x:v>
      </x:c>
      <x:c r="E9" s="17">
        <x:f t="shared" si="0"/>
        <x:v>0.0048674704046902072</x:v>
      </x:c>
      <x:c r="F9" s="173"/>
      <x:c r="G9" s="67" t="s">
        <x:v>45</x:v>
      </x:c>
      <x:c r="H9" s="16">
        <x:f>SUM('1:31'!I8)</x:f>
        <x:v>738000</x:v>
      </x:c>
      <x:c r="I9" s="150">
        <x:f>H9/$B$45</x:f>
        <x:v>0.0053614823263602581</x:v>
      </x:c>
      <x:c r="J9" s="162"/>
      <x:c r="K9" s="171"/>
      <x:c r="M9" s="77" t="s">
        <x:v>51</x:v>
      </x:c>
      <x:c r="N9" s="129">
        <x:f>SUM('31'!C17)</x:f>
        <x:v>198</x:v>
      </x:c>
      <x:c r="O9" s="69"/>
      <x:c r="P9" s="69"/>
    </x:row>
    <x:row r="10" spans="1:16" ht="16.399999999999999">
      <x:c r="A10" s="156" t="s">
        <x:v>81</x:v>
      </x:c>
      <x:c r="B10" s="157"/>
      <x:c r="C10" s="16">
        <x:v>66000</x:v>
      </x:c>
      <x:c r="D10" s="16">
        <x:f t="shared" si="1"/>
        <x:v>66000</x:v>
      </x:c>
      <x:c r="E10" s="17">
        <x:f t="shared" si="0"/>
        <x:v>0.00047948215926799055</x:v>
      </x:c>
      <x:c r="F10" s="173"/>
      <x:c r="G10" s="67" t="s">
        <x:v>58</x:v>
      </x:c>
      <x:c r="H10" s="16">
        <x:f>SUM('1:31'!I11)</x:f>
        <x:v>100000</x:v>
      </x:c>
      <x:c r="I10" s="70">
        <x:f>H10/$B$45</x:f>
        <x:v>0.00072648812010301603</x:v>
      </x:c>
      <x:c r="J10" s="162"/>
      <x:c r="K10" s="171"/>
      <x:c r="M10" s="77" t="s">
        <x:v>133</x:v>
      </x:c>
      <x:c r="N10" s="129">
        <x:f>SUM('31'!F13)</x:f>
        <x:v>144</x:v>
      </x:c>
      <x:c r="O10" s="69"/>
      <x:c r="P10" s="69"/>
    </x:row>
    <x:row r="11" spans="1:16" ht="16.399999999999999">
      <x:c r="A11" s="156" t="s">
        <x:v>46</x:v>
      </x:c>
      <x:c r="B11" s="157"/>
      <x:c r="C11" s="16">
        <x:v>330000</x:v>
      </x:c>
      <x:c r="D11" s="16">
        <x:f t="shared" si="1"/>
        <x:v>330000</x:v>
      </x:c>
      <x:c r="E11" s="17">
        <x:f t="shared" si="0"/>
        <x:v>0.0023974107963399527</x:v>
      </x:c>
      <x:c r="F11" s="173"/>
      <x:c r="G11" s="67" t="s">
        <x:v>102</x:v>
      </x:c>
      <x:c r="H11" s="16">
        <x:f>SUM('1:31'!I12)</x:f>
        <x:v>0</x:v>
      </x:c>
      <x:c r="I11" s="70">
        <x:f>H11/$B$45</x:f>
        <x:v>0</x:v>
      </x:c>
      <x:c r="J11" s="162"/>
      <x:c r="K11" s="171"/>
      <x:c r="M11" s="77" t="s">
        <x:v>95</x:v>
      </x:c>
      <x:c r="N11" s="129">
        <x:f>SUM('31'!F15)</x:f>
        <x:v>392</x:v>
      </x:c>
      <x:c r="O11" s="69"/>
      <x:c r="P11" s="69"/>
    </x:row>
    <x:row r="12" spans="1:16" ht="16.399999999999999">
      <x:c r="A12" s="156" t="s">
        <x:v>37</x:v>
      </x:c>
      <x:c r="B12" s="157"/>
      <x:c r="C12" s="16">
        <x:v>48000</x:v>
      </x:c>
      <x:c r="D12" s="16">
        <x:f t="shared" si="1"/>
        <x:v>48000</x:v>
      </x:c>
      <x:c r="E12" s="17">
        <x:f t="shared" si="0"/>
        <x:v>0.0003487142976494477</x:v>
      </x:c>
      <x:c r="F12" s="173"/>
      <x:c r="G12" s="67" t="s">
        <x:v>121</x:v>
      </x:c>
      <x:c r="H12" s="16">
        <x:f>SUM('1:31'!I13)</x:f>
        <x:v>200000</x:v>
      </x:c>
      <x:c r="I12" s="70">
        <x:f>H12/$B$45</x:f>
        <x:v>0.0014529762402060321</x:v>
      </x:c>
      <x:c r="J12" s="162"/>
      <x:c r="K12" s="171"/>
      <x:c r="M12" s="77" t="s">
        <x:v>117</x:v>
      </x:c>
      <x:c r="N12" s="129">
        <x:f>SUM('31'!F17)</x:f>
        <x:v>409</x:v>
      </x:c>
      <x:c r="O12" s="69"/>
      <x:c r="P12" s="69"/>
    </x:row>
    <x:row r="13" spans="1:16" ht="16.399999999999999">
      <x:c r="A13" s="158" t="s">
        <x:v>100</x:v>
      </x:c>
      <x:c r="B13" s="157"/>
      <x:c r="C13" s="16">
        <x:v>66000</x:v>
      </x:c>
      <x:c r="D13" s="16">
        <x:f t="shared" si="1"/>
        <x:v>66000</x:v>
      </x:c>
      <x:c r="E13" s="17">
        <x:f t="shared" si="0"/>
        <x:v>0.00047948215926799055</x:v>
      </x:c>
      <x:c r="F13" s="173"/>
      <x:c r="G13" s="67" t="s">
        <x:v>111</x:v>
      </x:c>
      <x:c r="H13" s="16">
        <x:f>SUM('1:31'!I14)</x:f>
        <x:v>0</x:v>
      </x:c>
      <x:c r="I13" s="70">
        <x:f>H13/$B$45</x:f>
        <x:v>0</x:v>
      </x:c>
      <x:c r="J13" s="162"/>
      <x:c r="K13" s="171"/>
      <x:c r="M13" s="143" t="s">
        <x:v>91</x:v>
      </x:c>
      <x:c r="N13" s="129">
        <x:f>SUM('31'!C19)</x:f>
        <x:v>387</x:v>
      </x:c>
      <x:c r="O13" s="69"/>
      <x:c r="P13" s="69"/>
    </x:row>
    <x:row r="14" spans="1:16" ht="16.399999999999999">
      <x:c r="A14" s="156"/>
      <x:c r="B14" s="157"/>
      <x:c r="C14" s="16"/>
      <x:c r="D14" s="16">
        <x:f t="shared" si="1"/>
        <x:v>0</x:v>
      </x:c>
      <x:c r="E14" s="17">
        <x:f t="shared" si="0"/>
        <x:v>0</x:v>
      </x:c>
      <x:c r="F14" s="173"/>
      <x:c r="G14" s="67" t="s">
        <x:v>7</x:v>
      </x:c>
      <x:c r="H14" s="16">
        <x:f>SUM('1:31'!I17)</x:f>
        <x:v>20800</x:v>
      </x:c>
      <x:c r="I14" s="70">
        <x:f>H14/$B$45</x:f>
        <x:v>0.00015110952898142734</x:v>
      </x:c>
      <x:c r="J14" s="162"/>
      <x:c r="K14" s="171"/>
      <x:c r="M14" s="131" t="s">
        <x:v>130</x:v>
      </x:c>
      <x:c r="N14" s="129">
        <x:f>SUM('31'!F19)</x:f>
        <x:v>178</x:v>
      </x:c>
      <x:c r="O14" s="69"/>
      <x:c r="P14" s="69"/>
    </x:row>
    <x:row r="15" spans="1:16" ht="16.75">
      <x:c r="A15" s="156"/>
      <x:c r="B15" s="157"/>
      <x:c r="C15" s="16"/>
      <x:c r="D15" s="16">
        <x:f t="shared" si="1"/>
        <x:v>0</x:v>
      </x:c>
      <x:c r="E15" s="17">
        <x:f t="shared" si="0"/>
        <x:v>0</x:v>
      </x:c>
      <x:c r="F15" s="173"/>
      <x:c r="G15" s="148" t="s">
        <x:v>106</x:v>
      </x:c>
      <x:c r="H15" s="91">
        <x:f>SUM('1:31'!I15)</x:f>
        <x:v>3714900</x:v>
      </x:c>
      <x:c r="I15" s="72">
        <x:f>H15/$B$45</x:f>
        <x:v>0.026988307173706941</x:v>
      </x:c>
      <x:c r="J15" s="162"/>
      <x:c r="K15" s="171"/>
      <x:c r="M15" s="140" t="s">
        <x:v>168</x:v>
      </x:c>
      <x:c r="N15" s="130">
        <x:f>SUM('31'!F21)</x:f>
        <x:v>1911</x:v>
      </x:c>
      <x:c r="O15" s="69"/>
      <x:c r="P15" s="69"/>
    </x:row>
    <x:row r="16" spans="1:16" ht="16.399999999999999">
      <x:c r="A16" s="159" t="s">
        <x:v>59</x:v>
      </x:c>
      <x:c r="B16" s="160"/>
      <x:c r="C16" s="16"/>
      <x:c r="D16" s="16">
        <x:f t="shared" si="1"/>
        <x:v>0</x:v>
      </x:c>
      <x:c r="E16" s="17">
        <x:f t="shared" si="0"/>
        <x:v>0</x:v>
      </x:c>
      <x:c r="F16" s="173"/>
      <x:c r="J16" s="162"/>
      <x:c r="K16" s="171"/>
      <x:c r="M16" s="75"/>
      <x:c r="N16" s="127"/>
      <x:c r="O16" s="69"/>
      <x:c r="P16" s="69"/>
    </x:row>
    <x:row r="17" spans="1:16" ht="16.399999999999999">
      <x:c r="A17" s="159" t="s">
        <x:v>31</x:v>
      </x:c>
      <x:c r="B17" s="160"/>
      <x:c r="C17" s="16">
        <x:v>1177000</x:v>
      </x:c>
      <x:c r="D17" s="16">
        <x:f t="shared" si="1"/>
        <x:v>1177000</x:v>
      </x:c>
      <x:c r="E17" s="17">
        <x:f t="shared" si="0"/>
        <x:v>0.0085507651736124977</x:v>
      </x:c>
      <x:c r="F17" s="173"/>
      <x:c r="J17" s="162"/>
      <x:c r="K17" s="171"/>
      <x:c r="M17" s="69"/>
      <x:c r="N17" s="69"/>
      <x:c r="O17" s="69"/>
      <x:c r="P17" s="69"/>
    </x:row>
    <x:row r="18" spans="1:14" ht="17.149999999999999">
      <x:c r="A18" s="188" t="s">
        <x:v>79</x:v>
      </x:c>
      <x:c r="B18" s="189"/>
      <x:c r="C18" s="190">
        <x:f>SUM(D6:D17)</x:f>
        <x:v>12096000</x:v>
      </x:c>
      <x:c r="D18" s="191"/>
      <x:c r="E18" s="90">
        <x:f>SUM(E6:E17)</x:f>
        <x:v>0.087876003007660825</x:v>
      </x:c>
      <x:c r="F18" s="174"/>
      <x:c r="J18" s="176"/>
      <x:c r="K18" s="183"/>
      <x:c r="M18" s="82"/>
      <x:c r="N18" s="69"/>
    </x:row>
    <x:row r="19" spans="1:14" ht="17.449999999999999" customHeight="1">
      <x:c r="A19" s="192" t="s">
        <x:v>56</x:v>
      </x:c>
      <x:c r="B19" s="96" t="s">
        <x:v>44</x:v>
      </x:c>
      <x:c r="C19" s="106">
        <x:v>4000000</x:v>
      </x:c>
      <x:c r="D19" s="162">
        <x:f>SUM(C19:C30)</x:f>
        <x:v>24628700</x:v>
      </x:c>
      <x:c r="E19" s="165">
        <x:f>D19/$B$45</x:f>
        <x:v>0.17892457963581151</x:v>
      </x:c>
      <x:c r="F19" s="198" t="s">
        <x:v>75</x:v>
      </x:c>
      <x:c r="G19" s="146" t="s">
        <x:v>36</x:v>
      </x:c>
      <x:c r="H19" s="16">
        <x:f>SUM('1:31'!K4)</x:f>
        <x:v>849000</x:v>
      </x:c>
      <x:c r="I19" s="71">
        <x:f t="shared" ref="I19:I22" si="2">H19/$B$45</x:f>
        <x:v>0.0061678841396746063</x:v>
      </x:c>
      <x:c r="J19" s="161">
        <x:f>SUM(H19:H32)</x:f>
        <x:v>2574162</x:v>
      </x:c>
      <x:c r="K19" s="170">
        <x:f>J19/$B$45</x:f>
        <x:v>0.018700981122206198</x:v>
      </x:c>
      <x:c r="M19" s="69"/>
      <x:c r="N19" s="69"/>
    </x:row>
    <x:row r="20" spans="1:16" ht="16.399999999999999">
      <x:c r="A20" s="192"/>
      <x:c r="B20" s="138" t="s">
        <x:v>23</x:v>
      </x:c>
      <x:c r="C20" s="16">
        <x:v>3800000</x:v>
      </x:c>
      <x:c r="D20" s="162"/>
      <x:c r="E20" s="166"/>
      <x:c r="F20" s="199"/>
      <x:c r="G20" s="147" t="s">
        <x:v>127</x:v>
      </x:c>
      <x:c r="H20" s="16">
        <x:f>SUM('1:31'!K6)</x:f>
        <x:v>264500</x:v>
      </x:c>
      <x:c r="I20" s="70">
        <x:f t="shared" si="2"/>
        <x:v>0.0019215610776724774</x:v>
      </x:c>
      <x:c r="J20" s="162"/>
      <x:c r="K20" s="171"/>
      <x:c r="M20" s="69"/>
      <x:c r="N20" s="69"/>
      <x:c r="P20" s="92"/>
    </x:row>
    <x:row r="21" spans="1:16" ht="16.399999999999999">
      <x:c r="A21" s="192"/>
      <x:c r="B21" s="145" t="s">
        <x:v>41</x:v>
      </x:c>
      <x:c r="C21" s="16">
        <x:v>3500000</x:v>
      </x:c>
      <x:c r="D21" s="162"/>
      <x:c r="E21" s="166"/>
      <x:c r="F21" s="199"/>
      <x:c r="G21" s="147" t="s">
        <x:v>76</x:v>
      </x:c>
      <x:c r="H21" s="16">
        <x:f>SUM('1:31'!K7)</x:f>
        <x:v>65800</x:v>
      </x:c>
      <x:c r="I21" s="70">
        <x:f t="shared" si="2"/>
        <x:v>0.00047802918302778454</x:v>
      </x:c>
      <x:c r="J21" s="162"/>
      <x:c r="K21" s="171"/>
      <x:c r="M21" s="69"/>
      <x:c r="N21" s="69"/>
      <x:c r="P21" s="92"/>
    </x:row>
    <x:row r="22" spans="1:16" ht="16.399999999999999">
      <x:c r="A22" s="192"/>
      <x:c r="B22" s="138" t="s">
        <x:v>47</x:v>
      </x:c>
      <x:c r="C22" s="16">
        <x:v>3200000</x:v>
      </x:c>
      <x:c r="D22" s="162"/>
      <x:c r="E22" s="166"/>
      <x:c r="F22" s="199"/>
      <x:c r="G22" s="67" t="s">
        <x:v>16</x:v>
      </x:c>
      <x:c r="H22" s="16">
        <x:f>SUM('1:31'!K9)</x:f>
        <x:v>0</x:v>
      </x:c>
      <x:c r="I22" s="70">
        <x:f t="shared" si="2"/>
        <x:v>0</x:v>
      </x:c>
      <x:c r="J22" s="162"/>
      <x:c r="K22" s="171"/>
      <x:c r="M22" s="69"/>
      <x:c r="N22" s="69"/>
      <x:c r="P22" s="92"/>
    </x:row>
    <x:row r="23" spans="1:16" ht="16.399999999999999">
      <x:c r="A23" s="192"/>
      <x:c r="D23" s="162"/>
      <x:c r="E23" s="166"/>
      <x:c r="F23" s="199"/>
      <x:c r="G23" s="67" t="s">
        <x:v>53</x:v>
      </x:c>
      <x:c r="H23" s="16">
        <x:f>SUM('1:31'!K10)</x:f>
        <x:v>53300</x:v>
      </x:c>
      <x:c r="I23" s="70">
        <x:f>H23/$B$45</x:f>
        <x:v>0.00038721816801490753</x:v>
      </x:c>
      <x:c r="J23" s="162"/>
      <x:c r="K23" s="171"/>
      <x:c r="M23" s="69"/>
      <x:c r="N23" s="69"/>
      <x:c r="P23" s="92"/>
    </x:row>
    <x:row r="24" spans="1:16" ht="16.399999999999999">
      <x:c r="A24" s="192"/>
      <x:c r="B24" s="138" t="s">
        <x:v>154</x:v>
      </x:c>
      <x:c r="C24" s="16">
        <x:v>1500000</x:v>
      </x:c>
      <x:c r="D24" s="162"/>
      <x:c r="E24" s="166"/>
      <x:c r="F24" s="199"/>
      <x:c r="G24" s="67" t="s">
        <x:v>82</x:v>
      </x:c>
      <x:c r="H24" s="16">
        <x:f>SUM('1:31'!K11)</x:f>
        <x:v>0</x:v>
      </x:c>
      <x:c r="I24" s="70">
        <x:f>H24/$B$45</x:f>
        <x:v>0</x:v>
      </x:c>
      <x:c r="J24" s="162"/>
      <x:c r="K24" s="171"/>
      <x:c r="M24" s="69"/>
      <x:c r="N24" s="69"/>
      <x:c r="P24" s="15"/>
    </x:row>
    <x:row r="25" spans="1:14" ht="16.399999999999999">
      <x:c r="A25" s="192"/>
      <x:c r="B25" s="138" t="s">
        <x:v>29</x:v>
      </x:c>
      <x:c r="C25" s="16">
        <x:f>SUM('1:31'!C32)</x:f>
        <x:v>1319000</x:v>
      </x:c>
      <x:c r="D25" s="162"/>
      <x:c r="E25" s="166"/>
      <x:c r="F25" s="199"/>
      <x:c r="G25" s="67" t="s">
        <x:v>74</x:v>
      </x:c>
      <x:c r="H25" s="16">
        <x:f>SUM('1:31'!K15)</x:f>
        <x:v>2200</x:v>
      </x:c>
      <x:c r="I25" s="70">
        <x:f>H25/$B$45</x:f>
        <x:v>1.5982738642266353E-5</x:v>
      </x:c>
      <x:c r="J25" s="162"/>
      <x:c r="K25" s="171"/>
      <x:c r="M25" s="69"/>
      <x:c r="N25" s="69"/>
    </x:row>
    <x:row r="26" spans="1:21" ht="16.399999999999999">
      <x:c r="A26" s="192"/>
      <x:c r="B26" s="138" t="s">
        <x:v>21</x:v>
      </x:c>
      <x:c r="C26" s="16">
        <x:f>SUM('1:31'!C33)</x:f>
        <x:v>1384500</x:v>
      </x:c>
      <x:c r="D26" s="162"/>
      <x:c r="E26" s="166"/>
      <x:c r="F26" s="199"/>
      <x:c r="G26" s="67" t="s">
        <x:v>97</x:v>
      </x:c>
      <x:c r="H26" s="16">
        <x:f>SUM('1:31'!K16)</x:f>
        <x:v>1325362</x:v>
      </x:c>
      <x:c r="I26" s="70">
        <x:f>H26/$B$45</x:f>
        <x:v>0.0096285974783597347</x:v>
      </x:c>
      <x:c r="J26" s="162"/>
      <x:c r="K26" s="171"/>
      <x:c r="M26" s="69"/>
      <x:c r="N26" s="69"/>
      <x:c r="P26" s="92"/>
      <x:c r="T26" s="105"/>
      <x:c r="U26" s="104"/>
    </x:row>
    <x:row r="27" spans="1:21" ht="16.399999999999999">
      <x:c r="A27" s="192"/>
      <x:c r="B27" s="138" t="s">
        <x:v>152</x:v>
      </x:c>
      <x:c r="C27" s="16">
        <x:f>SUM('1:31'!F27)</x:f>
        <x:v>1430000</x:v>
      </x:c>
      <x:c r="D27" s="162"/>
      <x:c r="E27" s="166"/>
      <x:c r="F27" s="199"/>
      <x:c r="G27" s="67" t="s">
        <x:v>90</x:v>
      </x:c>
      <x:c r="H27" s="16">
        <x:f>SUM('1:31'!K17)</x:f>
        <x:v>14000</x:v>
      </x:c>
      <x:c r="I27" s="70">
        <x:f>H27/$B$45</x:f>
        <x:v>0.00010170833681442224</x:v>
      </x:c>
      <x:c r="J27" s="162"/>
      <x:c r="K27" s="171"/>
      <x:c r="M27" s="69"/>
      <x:c r="N27" s="69"/>
      <x:c r="P27" s="92"/>
      <x:c r="T27" s="105"/>
      <x:c r="U27" s="104"/>
    </x:row>
    <x:row r="28" spans="1:21" ht="16.399999999999999">
      <x:c r="A28" s="192"/>
      <x:c r="B28" s="1" t="s">
        <x:v>57</x:v>
      </x:c>
      <x:c r="C28" s="104">
        <x:f>SUM('1:31'!F29)</x:f>
        <x:v>538200</x:v>
      </x:c>
      <x:c r="D28" s="162"/>
      <x:c r="E28" s="166"/>
      <x:c r="F28" s="199"/>
      <x:c r="G28" s="67"/>
      <x:c r="H28" s="16"/>
      <x:c r="I28" s="70"/>
      <x:c r="J28" s="162"/>
      <x:c r="K28" s="171"/>
      <x:c r="P28" s="92"/>
      <x:c r="T28" s="105"/>
      <x:c r="U28" s="104"/>
    </x:row>
    <x:row r="29" spans="1:21" ht="16.399999999999999">
      <x:c r="A29" s="192"/>
      <x:c r="B29" s="138" t="s">
        <x:v>138</x:v>
      </x:c>
      <x:c r="C29" s="16">
        <x:f>SUM('1:31'!F32)</x:f>
        <x:v>71000</x:v>
      </x:c>
      <x:c r="D29" s="162"/>
      <x:c r="E29" s="166"/>
      <x:c r="F29" s="199"/>
      <x:c r="J29" s="162"/>
      <x:c r="K29" s="171"/>
      <x:c r="P29" s="92"/>
      <x:c r="T29" s="105"/>
      <x:c r="U29" s="104"/>
    </x:row>
    <x:row r="30" spans="1:21" ht="16.399999999999999">
      <x:c r="A30" s="192"/>
      <x:c r="B30" s="138" t="s">
        <x:v>4</x:v>
      </x:c>
      <x:c r="C30" s="16">
        <x:f>SUM('1:31'!F31)</x:f>
        <x:v>3886000</x:v>
      </x:c>
      <x:c r="D30" s="162"/>
      <x:c r="E30" s="166"/>
      <x:c r="F30" s="199"/>
      <x:c r="J30" s="162"/>
      <x:c r="K30" s="171"/>
      <x:c r="P30" s="92"/>
      <x:c r="T30" s="105"/>
      <x:c r="U30" s="104"/>
    </x:row>
    <x:row r="31" spans="1:11" ht="16.399999999999999">
      <x:c r="A31" s="193"/>
      <x:c r="B31" s="138" t="s">
        <x:v>54</x:v>
      </x:c>
      <x:c r="C31" s="16">
        <x:f>SUM(C19:C30)</x:f>
        <x:v>24628700</x:v>
      </x:c>
      <x:c r="D31" s="167"/>
      <x:c r="E31" s="166"/>
      <x:c r="F31" s="199"/>
      <x:c r="J31" s="162"/>
      <x:c r="K31" s="171"/>
    </x:row>
    <x:row r="32" spans="1:11" ht="16.399999999999999">
      <x:c r="A32" s="168" t="s">
        <x:v>68</x:v>
      </x:c>
      <x:c r="B32" s="169"/>
      <x:c r="C32" s="19">
        <x:f>SUM(C19:C22)*0.1</x:f>
        <x:v>1450000</x:v>
      </x:c>
      <x:c r="D32" s="16">
        <x:f>C32</x:f>
        <x:v>1450000</x:v>
      </x:c>
      <x:c r="E32" s="171">
        <x:f>(D32:D33)/$B$45</x:f>
        <x:v>0.010534077741493732</x:v>
      </x:c>
      <x:c r="F32" s="199"/>
      <x:c r="G32" s="103"/>
      <x:c r="H32" s="83"/>
      <x:c r="I32" s="70"/>
      <x:c r="J32" s="162"/>
      <x:c r="K32" s="171"/>
    </x:row>
    <x:row r="33" spans="1:11" ht="16.75">
      <x:c r="A33" s="186" t="s">
        <x:v>78</x:v>
      </x:c>
      <x:c r="B33" s="187"/>
      <x:c r="C33" s="141"/>
      <x:c r="D33" s="142">
        <x:f>C33</x:f>
        <x:v>0</x:v>
      </x:c>
      <x:c r="E33" s="183"/>
      <x:c r="F33" s="194" t="s">
        <x:v>69</x:v>
      </x:c>
      <x:c r="G33" s="195"/>
      <x:c r="H33" s="84">
        <x:f>SUM('1:31'!$G$5)</x:f>
        <x:v>222655</x:v>
      </x:c>
      <x:c r="I33" s="84"/>
      <x:c r="J33" s="84">
        <x:f>H33</x:f>
        <x:v>222655</x:v>
      </x:c>
      <x:c r="K33" s="85">
        <x:f>J33/$B$45</x:f>
        <x:v>0.0016175621238153704</x:v>
      </x:c>
    </x:row>
    <x:row r="34" spans="1:11" ht="21.399999999999999">
      <x:c r="A34" s="163" t="s">
        <x:v>79</x:v>
      </x:c>
      <x:c r="B34" s="164"/>
      <x:c r="C34" s="151">
        <x:f>SUM(C6:D17,C19:C24,C32:C33)</x:f>
        <x:v>41642000</x:v>
      </x:c>
      <x:c r="D34" s="152"/>
      <x:c r="E34" s="20">
        <x:f>SUM(E19:E33)</x:f>
        <x:v>0.18945865737730525</x:v>
      </x:c>
      <x:c r="F34" s="196" t="s">
        <x:v>149</x:v>
      </x:c>
      <x:c r="G34" s="197"/>
      <x:c r="H34" s="86">
        <x:f>SUM('1:31'!$G$4)</x:f>
        <x:v>3037554</x:v>
      </x:c>
      <x:c r="I34" s="86"/>
      <x:c r="J34" s="86">
        <x:f>H34</x:f>
        <x:v>3037554</x:v>
      </x:c>
      <x:c r="K34" s="87">
        <x:f>J34/$B$45</x:f>
        <x:v>0.022067468951713967</x:v>
      </x:c>
    </x:row>
    <x:row r="35" spans="1:11" ht="21.399999999999999">
      <x:c r="A35" s="154" t="s">
        <x:v>112</x:v>
      </x:c>
      <x:c r="B35" s="155"/>
      <x:c r="E35" s="21">
        <x:f>E18+E34</x:f>
        <x:v>0.27733466038496607</x:v>
      </x:c>
      <x:c r="F35" s="154"/>
      <x:c r="G35" s="155"/>
      <x:c r="H35" s="151">
        <x:f>SUM(J6:J34)</x:f>
        <x:v>56483351</x:v>
      </x:c>
      <x:c r="I35" s="152"/>
      <x:c r="J35" s="153"/>
      <x:c r="K35" s="22">
        <x:f>SUM(K6:K34)</x:f>
        <x:v>0.41034483485108808</x:v>
      </x:c>
    </x:row>
    <x:row r="36" spans="6:11" ht="20.649999999999999">
      <x:c r="F36" s="102"/>
      <x:c r="G36" s="102"/>
      <x:c r="H36" s="101"/>
      <x:c r="I36" s="101"/>
      <x:c r="J36" s="101"/>
      <x:c r="K36" s="100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</x:v>
      </x:c>
      <x:c r="B38" s="25" t="s">
        <x:v>39</x:v>
      </x:c>
      <x:c r="C38" s="26" t="s">
        <x:v>136</x:v>
      </x:c>
      <x:c r="D38" s="99" t="s">
        <x:v>115</x:v>
      </x:c>
      <x:c r="F38" s="27" t="s">
        <x:v>105</x:v>
      </x:c>
      <x:c r="G38" s="28"/>
      <x:c r="H38" s="28"/>
      <x:c r="I38" s="28"/>
      <x:c r="J38" s="28"/>
      <x:c r="K38" s="29"/>
    </x:row>
    <x:row r="39" spans="1:11" ht="17.800000000000001">
      <x:c r="A39" s="118" t="s">
        <x:v>92</x:v>
      </x:c>
      <x:c r="B39" s="30">
        <x:f>$C$34</x:f>
        <x:v>41642000</x:v>
      </x:c>
      <x:c r="C39" s="31">
        <x:f>B39/$B$41</x:f>
        <x:v>0.42437555204261129</x:v>
      </x:c>
      <x:c r="D39" s="32">
        <x:f>B39/$B$45</x:f>
        <x:v>0.30252418297329792</x:v>
      </x:c>
      <x:c r="F39" s="33" t="s">
        <x:v>65</x:v>
      </x:c>
      <x:c r="G39" s="34"/>
      <x:c r="H39" s="34"/>
      <x:c r="I39" s="34"/>
      <x:c r="J39" s="34"/>
      <x:c r="K39" s="74"/>
    </x:row>
    <x:row r="40" spans="1:11" ht="17.800000000000001">
      <x:c r="A40" s="119" t="s">
        <x:v>80</x:v>
      </x:c>
      <x:c r="B40" s="35">
        <x:f>$H$35</x:f>
        <x:v>56483351</x:v>
      </x:c>
      <x:c r="C40" s="31">
        <x:f>B40/$B$41</x:f>
        <x:v>0.57562444795738876</x:v>
      </x:c>
      <x:c r="D40" s="32">
        <x:f>B40/$B$45</x:f>
        <x:v>0.41034483485108808</x:v>
      </x:c>
      <x:c r="F40" s="184" t="s">
        <x:v>30</x:v>
      </x:c>
      <x:c r="G40" s="185"/>
      <x:c r="H40" s="34" t="s">
        <x:v>15</x:v>
      </x:c>
      <x:c r="I40" s="34"/>
      <x:c r="J40" s="34"/>
      <x:c r="K40" s="36">
        <x:f>$C$34</x:f>
        <x:v>41642000</x:v>
      </x:c>
    </x:row>
    <x:row r="41" spans="1:11" ht="17.800000000000001">
      <x:c r="A41" s="120" t="s">
        <x:v>25</x:v>
      </x:c>
      <x:c r="B41" s="115">
        <x:f>SUM(B39:B40)</x:f>
        <x:v>98125351</x:v>
      </x:c>
      <x:c r="C41" s="116">
        <x:f>SUM(C39:C40)</x:f>
        <x:v>1</x:v>
      </x:c>
      <x:c r="D41" s="117">
        <x:f>SUM(D39:D40)</x:f>
        <x:v>0.71286901782438594</x:v>
      </x:c>
      <x:c r="F41" s="184" t="s">
        <x:v>1</x:v>
      </x:c>
      <x:c r="G41" s="185"/>
      <x:c r="H41" s="34" t="s">
        <x:v>0</x:v>
      </x:c>
      <x:c r="I41" s="34"/>
      <x:c r="J41" s="34"/>
      <x:c r="K41" s="39">
        <x:f>$H$35</x:f>
        <x:v>56483351</x:v>
      </x:c>
    </x:row>
    <x:row r="42" spans="1:11" customHeight="1">
      <x:c r="A42" s="121" t="s">
        <x:v>122</x:v>
      </x:c>
      <x:c r="B42" s="48">
        <x:f>SUM('1:31'!C4)</x:f>
        <x:v>114832000</x:v>
      </x:c>
      <x:c r="C42" s="49"/>
      <x:c r="D42" s="40">
        <x:f>B42/$B$45</x:f>
        <x:v>0.83424083807669536</x:v>
      </x:c>
      <x:c r="F42" s="184" t="s">
        <x:v>60</x:v>
      </x:c>
      <x:c r="G42" s="185"/>
      <x:c r="H42" s="34" t="s">
        <x:v>34</x:v>
      </x:c>
      <x:c r="I42" s="34"/>
      <x:c r="J42" s="34"/>
      <x:c r="K42" s="39">
        <x:f>$B$45</x:f>
        <x:v>137648500</x:v>
      </x:c>
    </x:row>
    <x:row r="43" spans="1:11" customHeight="1">
      <x:c r="A43" s="119" t="s">
        <x:v>129</x:v>
      </x:c>
      <x:c r="B43" s="35">
        <x:f>SUM('1:31'!C5)</x:f>
        <x:v>22816500</x:v>
      </x:c>
      <x:c r="C43" s="35"/>
      <x:c r="D43" s="41">
        <x:f>B43/$B$45</x:f>
        <x:v>0.16575916192330464</x:v>
      </x:c>
      <x:c r="F43" s="184" t="s">
        <x:v>140</x:v>
      </x:c>
      <x:c r="G43" s="185"/>
      <x:c r="H43" s="34" t="s">
        <x:v>55</x:v>
      </x:c>
      <x:c r="I43" s="34"/>
      <x:c r="J43" s="34"/>
      <x:c r="K43" s="42">
        <x:f>(K41)/K42</x:f>
        <x:v>0.41034483485108808</x:v>
      </x:c>
    </x:row>
    <x:row r="44" spans="1:11" customHeight="1">
      <x:c r="A44" s="119" t="s">
        <x:v>135</x:v>
      </x:c>
      <x:c r="B44" s="35">
        <x:f>SUM('1:31'!C6)</x:f>
        <x:v>0</x:v>
      </x:c>
      <x:c r="C44" s="18"/>
      <x:c r="D44" s="41">
        <x:f>B44/$B$45</x:f>
        <x:v>0</x:v>
      </x:c>
      <x:c r="F44" s="43" t="s">
        <x:v>67</x:v>
      </x:c>
      <x:c r="G44" s="44"/>
      <x:c r="H44" s="44" t="s">
        <x:v>148</x:v>
      </x:c>
      <x:c r="I44" s="44"/>
      <x:c r="J44" s="44"/>
      <x:c r="K44" s="45">
        <x:f>K40/(1-K43)</x:f>
        <x:v>70620936.542604014</x:v>
      </x:c>
    </x:row>
    <x:row r="45" spans="1:4" customHeight="1">
      <x:c r="A45" s="122" t="s">
        <x:v>11</x:v>
      </x:c>
      <x:c r="B45" s="37">
        <x:f>SUM(B42:B44)</x:f>
        <x:v>137648500</x:v>
      </x:c>
      <x:c r="C45" s="50"/>
      <x:c r="D45" s="38"/>
    </x:row>
    <x:row r="46" spans="1:4" customHeight="1">
      <x:c r="A46" s="123" t="s">
        <x:v>89</x:v>
      </x:c>
      <x:c r="B46" s="46">
        <x:f>B45-B41</x:f>
        <x:v>39523149</x:v>
      </x:c>
      <x:c r="C46" s="47"/>
      <x:c r="D46" s="73">
        <x:f>B46/B45</x:f>
        <x:v>0.28713098217561395</x:v>
      </x:c>
    </x:row>
    <x:row r="47" spans="1:13" ht="20.100000000000001" customHeight="1">
      <x:c r="A47" s="121" t="s">
        <x:v>108</x:v>
      </x:c>
      <x:c r="B47" s="48">
        <x:f>INT(B45*0.05)</x:f>
        <x:v>6882425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3" t="s">
        <x:v>99</x:v>
      </x:c>
      <x:c r="B48" s="30">
        <x:f>INT(B45*0.02)</x:f>
        <x:v>2752970</x:v>
      </x:c>
      <x:c r="C48" s="78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2" t="s">
        <x:v>107</x:v>
      </x:c>
      <x:c r="B49" s="37">
        <x:f>B46-B47-B48</x:f>
        <x:v>29887754</x:v>
      </x:c>
      <x:c r="C49" s="50"/>
      <x:c r="D49" s="73">
        <x:f>B49/B45</x:f>
        <x:v>0.21713098217561397</x:v>
      </x:c>
      <x:c r="E49" s="93"/>
      <x:c r="F49" s="94"/>
    </x:row>
    <x:row r="50" spans="1:5" s="23" customFormat="1" customHeight="1">
      <x:c r="A50" s="98"/>
      <x:c r="B50" s="1"/>
      <x:c r="C50" s="1"/>
      <x:c r="D50" s="1"/>
      <x:c r="E50" s="1"/>
    </x:row>
    <x:row r="51" spans="1:5" s="23" customFormat="1" customHeight="1">
      <x:c r="A51" s="98"/>
      <x:c r="B51" s="1"/>
      <x:c r="C51" s="1"/>
      <x:c r="D51" s="1"/>
      <x:c r="E51" s="93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7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abSelected="1" topLeftCell="A1" zoomScale="85" zoomScaleNormal="85" zoomScaleSheetLayoutView="75" workbookViewId="0">
      <x:selection activeCell="C6" activeCellId="0" sqref="C6:D7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</x:v>
      </x:c>
      <x:c r="G1" s="68" t="s">
        <x:v>28</x:v>
      </x:c>
      <x:c r="H1" s="52" t="s">
        <x:v>123</x:v>
      </x:c>
      <x:c r="I1" s="52">
        <x:f>F1-K1</x:f>
        <x:v>1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5339000</x:v>
      </x:c>
      <x:c r="D2" s="274"/>
      <x:c r="E2" s="277" t="s">
        <x:v>40</x:v>
      </x:c>
      <x:c r="F2" s="278"/>
      <x:c r="G2" s="266">
        <x:v>85600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2" ht="30.949999999999999" customHeight="1">
      <x:c r="A4" s="268" t="s">
        <x:v>22</x:v>
      </x:c>
      <x:c r="B4" s="269"/>
      <x:c r="C4" s="261">
        <x:v>4631000</x:v>
      </x:c>
      <x:c r="D4" s="261"/>
      <x:c r="E4" s="276" t="s">
        <x:v>149</x:v>
      </x:c>
      <x:c r="F4" s="276"/>
      <x:c r="G4" s="133">
        <x:f>INT(C4*0.0275)</x:f>
        <x:v>127352</x:v>
      </x:c>
      <x:c r="H4" s="54" t="s">
        <x:v>20</x:v>
      </x:c>
      <x:c r="I4" s="124">
        <x:v>242202</x:v>
      </x:c>
      <x:c r="J4" s="80" t="s">
        <x:v>36</x:v>
      </x:c>
      <x:c r="K4" s="58"/>
      <x:c r="L4" s="95"/>
    </x:row>
    <x:row r="5" spans="1:11" ht="30.949999999999999" customHeight="1">
      <x:c r="A5" s="268" t="s">
        <x:v>61</x:v>
      </x:c>
      <x:c r="B5" s="269"/>
      <x:c r="C5" s="261">
        <x:v>708000</x:v>
      </x:c>
      <x:c r="D5" s="261"/>
      <x:c r="E5" s="260" t="s">
        <x:v>70</x:v>
      </x:c>
      <x:c r="F5" s="260"/>
      <x:c r="G5" s="133">
        <x:f>INT(C5*0.01)</x:f>
        <x:v>7080</x:v>
      </x:c>
      <x:c r="H5" s="54" t="s">
        <x:v>6</x:v>
      </x:c>
      <x:c r="I5" s="124">
        <x:f>28860+7000+34500+36000</x:f>
        <x:v>106360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700000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93600</x:v>
      </x:c>
      <x:c r="D8" s="261"/>
      <x:c r="E8" s="287" t="s">
        <x:v>110</x:v>
      </x:c>
      <x:c r="F8" s="288"/>
      <x:c r="G8" s="293">
        <x:f>C5+G2-G6-C22</x:f>
        <x:v>93600</x:v>
      </x:c>
      <x:c r="H8" s="54" t="s">
        <x:v>45</x:v>
      </x:c>
      <x:c r="I8" s="124">
        <x:v>60000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>
        <x:v>50000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155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10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SUM('1'!$C$12)</x:f>
        <x:v>10</x:v>
      </x:c>
      <x:c r="D13" s="279"/>
      <x:c r="E13" s="280"/>
      <x:c r="F13" s="289">
        <x:f>SUM('1'!$F$12)</x:f>
        <x:v>1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SUM('1'!$C$14)</x:f>
        <x:v>20</x:v>
      </x:c>
      <x:c r="D15" s="279"/>
      <x:c r="E15" s="280"/>
      <x:c r="F15" s="289">
        <x:f>SUM('1'!$F$14)</x:f>
        <x:v>17</x:v>
      </x:c>
      <x:c r="G15" s="290"/>
      <x:c r="H15" s="54" t="s">
        <x:v>106</x:v>
      </x:c>
      <x:c r="I15" s="58">
        <x:v>321000</x:v>
      </x:c>
      <x:c r="J15" s="54" t="s">
        <x:v>74</x:v>
      </x:c>
      <x:c r="K15" s="58">
        <x:v>2200</x:v>
      </x:c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SUM('1'!$C$16)</x:f>
        <x:v>9</x:v>
      </x:c>
      <x:c r="D17" s="279"/>
      <x:c r="E17" s="280"/>
      <x:c r="F17" s="286">
        <x:f>SUM('1'!$F$16)</x:f>
        <x:v>14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SUM('1'!$C$18)</x:f>
        <x:v>10</x:v>
      </x:c>
      <x:c r="D19" s="279"/>
      <x:c r="E19" s="280"/>
      <x:c r="F19" s="286">
        <x:f>SUM('1'!$F$18)</x:f>
        <x:v>9</x:v>
      </x:c>
      <x:c r="G19" s="286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59" t="s">
        <x:v>48</x:v>
      </x:c>
      <x:c r="B20" s="260" t="s">
        <x:v>164</x:v>
      </x:c>
      <x:c r="C20" s="132">
        <x:v>13</x:v>
      </x:c>
      <x:c r="D20" s="260" t="s">
        <x:v>113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1:13" ht="21.949999999999999" customHeight="1">
      <x:c r="A21" s="59" t="s">
        <x:v>96</x:v>
      </x:c>
      <x:c r="B21" s="260"/>
      <x:c r="C21" s="132"/>
      <x:c r="D21" s="260" t="s">
        <x:v>114</x:v>
      </x:c>
      <x:c r="E21" s="260"/>
      <x:c r="F21" s="286">
        <x:f>SUM('1'!$F$20)</x:f>
        <x:v>61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284"/>
      <x:c r="D23" s="284"/>
      <x:c r="E23" s="284"/>
      <x:c r="F23" s="284"/>
      <x:c r="G23" s="284"/>
      <x:c r="H23" s="107" t="s">
        <x:v>94</x:v>
      </x:c>
      <x:c r="I23" s="108">
        <x:f>SUM(I4:I22)</x:f>
        <x:v>729562</x:v>
      </x:c>
      <x:c r="J23" s="61" t="s">
        <x:v>119</x:v>
      </x:c>
      <x:c r="K23" s="62">
        <x:f>SUM(K4:K22)</x:f>
        <x:v>2200</x:v>
      </x:c>
      <x:c r="M23" s="89" t="s">
        <x:v>93</x:v>
      </x:c>
      <x:c r="N23" s="282">
        <x:f>C5+C6</x:f>
        <x:v>708000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0.1366476868327402</x:v>
      </x:c>
      <x:c r="J24" s="61" t="s">
        <x:v>8</x:v>
      </x:c>
      <x:c r="K24" s="63">
        <x:f>K23/A25</x:f>
        <x:v>0.00041206218392957484</x:v>
      </x:c>
    </x:row>
    <x:row r="25" spans="1:11" ht="34.149999999999999" customHeight="1">
      <x:c r="A25" s="311">
        <x:f>C2</x:f>
        <x:v>5339000</x:v>
      </x:c>
      <x:c r="B25" s="275"/>
      <x:c r="C25" s="275">
        <x:f>E25/I1</x:f>
        <x:v>5339000</x:v>
      </x:c>
      <x:c r="D25" s="275"/>
      <x:c r="E25" s="275">
        <x:f>SUM('1'!$A$25)</x:f>
        <x:v>5339000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SUM('1'!$K$23)</x:f>
        <x:v>2200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0.1366476868327402</x:v>
      </x:c>
      <x:c r="J26" s="64" t="s">
        <x:v>128</x:v>
      </x:c>
      <x:c r="K26" s="65">
        <x:f>K25/$E$25</x:f>
        <x:v>0.00041206218392957484</x:v>
      </x:c>
    </x:row>
    <x:row r="27" spans="1:13" ht="30.949999999999999" customHeight="1">
      <x:c r="A27" s="304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842129.0322580646</x:v>
      </x:c>
      <x:c r="M27" s="66"/>
    </x:row>
    <x:row r="28" spans="1:13" ht="30.949999999999999" customHeight="1">
      <x:c r="A28" s="305"/>
      <x:c r="B28" s="54" t="s">
        <x:v>23</x:v>
      </x:c>
      <x:c r="C28" s="312">
        <x:f>3800000/31</x:f>
        <x:v>122580.64516129032</x:v>
      </x:c>
      <x:c r="D28" s="313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0.1577316037194352</x:v>
      </x:c>
      <x:c r="M28" s="66"/>
    </x:row>
    <x:row r="29" spans="1:13" ht="30.949999999999999" customHeight="1">
      <x:c r="A29" s="305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SUM('1'!$I$27)</x:f>
        <x:v>842129.0322580646</x:v>
      </x:c>
      <x:c r="M29" s="66"/>
    </x:row>
    <x:row r="30" spans="1:13" ht="30.949999999999999" customHeight="1">
      <x:c r="A30" s="305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</x:v>
      </x:c>
      <x:c r="M30" s="66"/>
    </x:row>
    <x:row r="31" spans="1:7" customHeight="1">
      <x:c r="A31" s="305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05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>
        <x:v>71000</x:v>
      </x:c>
      <x:c r="G32" s="310"/>
    </x:row>
    <x:row r="33" spans="1:4" customHeight="1">
      <x:c r="A33" s="305"/>
      <x:c r="B33" s="54" t="s">
        <x:v>21</x:v>
      </x:c>
      <x:c r="C33" s="307"/>
      <x:c r="D33" s="308"/>
    </x:row>
    <x:row r="34" spans="1:4" customHeight="1">
      <x:c r="A34" s="306"/>
      <x:c r="B34" s="54" t="s">
        <x:v>57</x:v>
      </x:c>
      <x:c r="C34" s="309"/>
      <x:c r="D34" s="310"/>
    </x:row>
  </x:sheetData>
  <x:mergeCells count="75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C11:G11"/>
    <x:mergeCell ref="F12:G1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F19:G19"/>
    <x:mergeCell ref="B20:B21"/>
    <x:mergeCell ref="D21:E21"/>
    <x:mergeCell ref="F21:G2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abSelected="1" topLeftCell="A1" zoomScale="85" zoomScaleNormal="85" zoomScaleSheetLayoutView="75" workbookViewId="0">
      <x:selection activeCell="E30" activeCellId="0" sqref="E30:E30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</x:v>
      </x:c>
      <x:c r="G1" s="68" t="s">
        <x:v>18</x:v>
      </x:c>
      <x:c r="H1" s="52" t="s">
        <x:v>123</x:v>
      </x:c>
      <x:c r="I1" s="52">
        <x:f>F1-K1</x:f>
        <x:v>2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4313500</x:v>
      </x:c>
      <x:c r="D2" s="274"/>
      <x:c r="E2" s="277" t="s">
        <x:v>40</x:v>
      </x:c>
      <x:c r="F2" s="278"/>
      <x:c r="G2" s="266">
        <x:v>93600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3656500</x:v>
      </x:c>
      <x:c r="D4" s="261"/>
      <x:c r="E4" s="276" t="s">
        <x:v>149</x:v>
      </x:c>
      <x:c r="F4" s="276"/>
      <x:c r="G4" s="133">
        <x:f>INT(C4*0.0275)</x:f>
        <x:v>100553</x:v>
      </x:c>
      <x:c r="H4" s="54" t="s">
        <x:v>20</x:v>
      </x:c>
      <x:c r="I4" s="125">
        <x:f>221000+200074+284410+272250+30650-19800</x:f>
        <x:v>988584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657000</x:v>
      </x:c>
      <x:c r="D5" s="261"/>
      <x:c r="E5" s="260" t="s">
        <x:v>70</x:v>
      </x:c>
      <x:c r="F5" s="260"/>
      <x:c r="G5" s="133">
        <x:f>INT(C5*0.01)</x:f>
        <x:v>6570</x:v>
      </x:c>
      <x:c r="H5" s="54" t="s">
        <x:v>6</x:v>
      </x:c>
      <x:c r="I5" s="137">
        <x:f>17320+75640+26040+10500+44000+59312+78760+100000+69000+72000+7360+15580</x:f>
        <x:v>575512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600000</x:v>
      </x:c>
      <x:c r="H6" s="54"/>
      <x:c r="I6" s="125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5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153100</x:v>
      </x:c>
      <x:c r="D8" s="261"/>
      <x:c r="E8" s="287" t="s">
        <x:v>110</x:v>
      </x:c>
      <x:c r="F8" s="288"/>
      <x:c r="G8" s="293">
        <x:f>C5+G2-G6-C22</x:f>
        <x:v>150600</x:v>
      </x:c>
      <x:c r="H8" s="54" t="s">
        <x:v>45</x:v>
      </x:c>
      <x:c r="I8" s="125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5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SUM('1:2'!$C$12)</x:f>
        <x:v>15</x:v>
      </x:c>
      <x:c r="D13" s="279"/>
      <x:c r="E13" s="280"/>
      <x:c r="F13" s="289">
        <x:f>SUM('1:2'!$F$12)</x:f>
        <x:v>2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SUM('1:2'!$C$14)</x:f>
        <x:v>40</x:v>
      </x:c>
      <x:c r="D15" s="279"/>
      <x:c r="E15" s="280"/>
      <x:c r="F15" s="289">
        <x:f>SUM('1:2'!$F$14)</x:f>
        <x:v>34</x:v>
      </x:c>
      <x:c r="G15" s="290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SUM('1:2'!$C$16)</x:f>
        <x:v>18</x:v>
      </x:c>
      <x:c r="D17" s="279"/>
      <x:c r="E17" s="280"/>
      <x:c r="F17" s="286">
        <x:f>SUM('1:2'!$F$16)</x:f>
        <x:v>28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SUM('1:2'!$C$18)</x:f>
        <x:v>20</x:v>
      </x:c>
      <x:c r="D19" s="279"/>
      <x:c r="E19" s="280"/>
      <x:c r="F19" s="286">
        <x:f>SUM('1:2'!$F$18)</x:f>
        <x:v>18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SUM('1:2'!$F$20)</x:f>
        <x:v>122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1564096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657000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0.36260484525327458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4313500</x:v>
      </x:c>
      <x:c r="B25" s="275"/>
      <x:c r="C25" s="275">
        <x:f>E25/I1</x:f>
        <x:v>2669500</x:v>
      </x:c>
      <x:c r="D25" s="275"/>
      <x:c r="E25" s="275">
        <x:f>SUM('1'!$A$25)</x:f>
        <x:v>5339000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SUM('1'!$K$23)</x:f>
        <x:v>2200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0.1366476868327402</x:v>
      </x:c>
      <x:c r="J26" s="64" t="s">
        <x:v>128</x:v>
      </x:c>
      <x:c r="K26" s="65">
        <x:f>K25/$E$25</x:f>
        <x:v>0.00041206218392957484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771129.0322580646</x:v>
      </x:c>
      <x:c r="M27" s="66"/>
    </x:row>
    <x:row r="28" spans="1:13" ht="30.949999999999999" customHeight="1">
      <x:c r="A28" s="318"/>
      <x:c r="B28" s="54" t="s">
        <x:v>23</x:v>
      </x:c>
      <x:c r="C28" s="312">
        <x:f>3800000/31</x:f>
        <x:v>122580.64516129032</x:v>
      </x:c>
      <x:c r="D28" s="313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0.17877107505692932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SUM('1:2'!$I$27)</x:f>
        <x:v>1613258.0645161292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2.0920727881196401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F15:G15"/>
    <x:mergeCell ref="F12:G12"/>
    <x:mergeCell ref="F13:G13"/>
    <x:mergeCell ref="F14:G14"/>
    <x:mergeCell ref="F16:G16"/>
    <x:mergeCell ref="F17:G17"/>
    <x:mergeCell ref="F21:G21"/>
    <x:mergeCell ref="C31:D31"/>
    <x:mergeCell ref="F29:G29"/>
    <x:mergeCell ref="C22:G22"/>
    <x:mergeCell ref="F18:G18"/>
    <x:mergeCell ref="F19:G19"/>
    <x:mergeCell ref="F20:G20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D21:E2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abSelected="1" topLeftCell="A8" zoomScale="85" zoomScaleNormal="85" zoomScaleSheetLayoutView="75" workbookViewId="0">
      <x:selection activeCell="E30" activeCellId="0" sqref="E30:E3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3</x:v>
      </x:c>
      <x:c r="G1" s="68" t="s">
        <x:v>19</x:v>
      </x:c>
      <x:c r="H1" s="52" t="s">
        <x:v>123</x:v>
      </x:c>
      <x:c r="I1" s="52">
        <x:f>F1-K1</x:f>
        <x:v>3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3143000</x:v>
      </x:c>
      <x:c r="D2" s="274"/>
      <x:c r="E2" s="277" t="s">
        <x:v>40</x:v>
      </x:c>
      <x:c r="F2" s="278"/>
      <x:c r="G2" s="266">
        <x:v>153100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2330000</x:v>
      </x:c>
      <x:c r="D4" s="261"/>
      <x:c r="E4" s="276" t="s">
        <x:v>149</x:v>
      </x:c>
      <x:c r="F4" s="276"/>
      <x:c r="G4" s="133">
        <x:f>C4*0.0275</x:f>
        <x:v>64075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813000</x:v>
      </x:c>
      <x:c r="D5" s="261"/>
      <x:c r="E5" s="260" t="s">
        <x:v>70</x:v>
      </x:c>
      <x:c r="F5" s="260"/>
      <x:c r="G5" s="133">
        <x:f>INT(C5*0.01)</x:f>
        <x:v>8130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910000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56100</x:v>
      </x:c>
      <x:c r="D8" s="261"/>
      <x:c r="E8" s="287" t="s">
        <x:v>110</x:v>
      </x:c>
      <x:c r="F8" s="288"/>
      <x:c r="G8" s="293">
        <x:f>C5+G2-G6-C22</x:f>
        <x:v>56100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21.75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21.75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9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SUM('1:3'!$C$12)</x:f>
        <x:v>24</x:v>
      </x:c>
      <x:c r="D13" s="279"/>
      <x:c r="E13" s="280"/>
      <x:c r="F13" s="289">
        <x:f>SUM('1:3'!$F$12)</x:f>
        <x:v>3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SUM('1:3'!$C$14)</x:f>
        <x:v>60</x:v>
      </x:c>
      <x:c r="D15" s="279"/>
      <x:c r="E15" s="280"/>
      <x:c r="F15" s="289">
        <x:f>SUM('1:3'!$F$14)</x:f>
        <x:v>51</x:v>
      </x:c>
      <x:c r="G15" s="290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SUM('1:3'!$C$16)</x:f>
        <x:v>27</x:v>
      </x:c>
      <x:c r="D17" s="279"/>
      <x:c r="E17" s="280"/>
      <x:c r="F17" s="286">
        <x:f>SUM('1:3'!$F$16)</x:f>
        <x:v>42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SUM('1:3'!$C$18)</x:f>
        <x:v>30</x:v>
      </x:c>
      <x:c r="D19" s="279"/>
      <x:c r="E19" s="280"/>
      <x:c r="F19" s="286">
        <x:f>SUM('1:3'!$F$18)</x:f>
        <x:v>27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SUM('1:3'!$F$20)</x:f>
        <x:v>183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0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813000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3143000</x:v>
      </x:c>
      <x:c r="B25" s="275"/>
      <x:c r="C25" s="275">
        <x:f>E25/I1</x:f>
        <x:v>4265166.666666667</x:v>
      </x:c>
      <x:c r="D25" s="275"/>
      <x:c r="E25" s="275">
        <x:f>SUM('1:3'!$A$25)</x:f>
        <x:v>12795500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SUM('1:3'!$K$23)</x:f>
        <x:v>2200</x:v>
      </x:c>
    </x:row>
    <x:row r="26" spans="1:11" ht="34.149999999999999" customHeight="1">
      <x:c r="A26" s="259" t="s">
        <x:v>142</x:v>
      </x:c>
      <x:c r="B26" s="260"/>
      <x:c r="C26" s="320"/>
      <x:c r="D26" s="260"/>
      <x:c r="E26" s="261"/>
      <x:c r="F26" s="261"/>
      <x:c r="G26" s="261"/>
      <x:c r="H26" s="107" t="s">
        <x:v>128</x:v>
      </x:c>
      <x:c r="I26" s="110">
        <x:f>I25/$E$25</x:f>
        <x:v>0.057017076315892305</x:v>
      </x:c>
      <x:c r="J26" s="64" t="s">
        <x:v>128</x:v>
      </x:c>
      <x:c r="K26" s="65">
        <x:f>K25/$E$25</x:f>
        <x:v>0.00017193544605525381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849129.0322580646</x:v>
      </x:c>
      <x:c r="M27" s="66"/>
    </x:row>
    <x:row r="28" spans="1:13" ht="30.949999999999999" customHeight="1">
      <x:c r="A28" s="318"/>
      <x:c r="B28" s="54" t="s">
        <x:v>23</x:v>
      </x:c>
      <x:c r="C28" s="312">
        <x:f>3800000/31</x:f>
        <x:v>122580.64516129032</x:v>
      </x:c>
      <x:c r="D28" s="313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0.27016513912124229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SUM('1:3'!$I$27)</x:f>
        <x:v>2462387.0967741939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2.8998974281046994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13000*6</x:f>
        <x:v>78000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abSelected="1" topLeftCell="A1" zoomScale="85" zoomScaleNormal="85" zoomScaleSheetLayoutView="75" workbookViewId="0">
      <x:selection activeCell="E30" activeCellId="0" sqref="E30:E3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4</x:v>
      </x:c>
      <x:c r="G1" s="68" t="s">
        <x:v>49</x:v>
      </x:c>
      <x:c r="H1" s="52" t="s">
        <x:v>123</x:v>
      </x:c>
      <x:c r="I1" s="52">
        <x:f>F1-K1</x:f>
        <x:v>4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2805500</x:v>
      </x:c>
      <x:c r="D2" s="274"/>
      <x:c r="E2" s="277" t="s">
        <x:v>40</x:v>
      </x:c>
      <x:c r="F2" s="278"/>
      <x:c r="G2" s="266">
        <x:v>56100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2407500</x:v>
      </x:c>
      <x:c r="D4" s="261"/>
      <x:c r="E4" s="276" t="s">
        <x:v>149</x:v>
      </x:c>
      <x:c r="F4" s="276"/>
      <x:c r="G4" s="133">
        <x:f>INT(C4*0.0275)</x:f>
        <x:v>66206</x:v>
      </x:c>
      <x:c r="H4" s="54" t="s">
        <x:v>20</x:v>
      </x:c>
      <x:c r="I4" s="124">
        <x:f>289190+264825+477600+452000+221000+244384+145215</x:f>
        <x:v>2094214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398000</x:v>
      </x:c>
      <x:c r="D5" s="261"/>
      <x:c r="E5" s="260" t="s">
        <x:v>70</x:v>
      </x:c>
      <x:c r="F5" s="260"/>
      <x:c r="G5" s="133">
        <x:f>INT(C5*0.01)</x:f>
        <x:v>3980</x:v>
      </x:c>
      <x:c r="H5" s="54" t="s">
        <x:v>6</x:v>
      </x:c>
      <x:c r="I5" s="124">
        <x:f>50000+69000+36000+44000+29656+39380+9620+14340+10140+19800+8040+45430+30160+13020</x:f>
        <x:v>418586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350000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243900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104100</x:v>
      </x:c>
      <x:c r="D8" s="261"/>
      <x:c r="E8" s="287" t="s">
        <x:v>110</x:v>
      </x:c>
      <x:c r="F8" s="288"/>
      <x:c r="G8" s="293">
        <x:f>C5+G2-G6-C22</x:f>
        <x:v>104100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>
        <x:v>49000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>
        <x:v>13000</x:v>
      </x:c>
    </x:row>
    <x:row r="11" spans="1:11" ht="33" customHeight="1">
      <x:c r="A11" s="259" t="s">
        <x:v>103</x:v>
      </x:c>
      <x:c r="B11" s="260"/>
      <x:c r="C11" s="299" t="s">
        <x:v>157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2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SUM('1:4'!$C$12)</x:f>
        <x:v>26</x:v>
      </x:c>
      <x:c r="D13" s="279"/>
      <x:c r="E13" s="280"/>
      <x:c r="F13" s="289">
        <x:f>SUM('1:4'!$F$12)</x:f>
        <x:v>4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SUM('1:4'!$C$14)</x:f>
        <x:v>80</x:v>
      </x:c>
      <x:c r="D15" s="279"/>
      <x:c r="E15" s="280"/>
      <x:c r="F15" s="289">
        <x:f>SUM('1:4'!$F$14)</x:f>
        <x:v>68</x:v>
      </x:c>
      <x:c r="G15" s="290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SUM('1:4'!$C$16)</x:f>
        <x:v>36</x:v>
      </x:c>
      <x:c r="D17" s="279"/>
      <x:c r="E17" s="280"/>
      <x:c r="F17" s="286">
        <x:f>SUM('1:4'!$F$16)</x:f>
        <x:v>56</x:v>
      </x:c>
      <x:c r="G17" s="286"/>
      <x:c r="H17" s="54" t="s">
        <x:v>7</x:v>
      </x:c>
      <x:c r="I17" s="58">
        <x:f>1600*2</x:f>
        <x:v>3200</x:v>
      </x:c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SUM('1:4'!$C$18)</x:f>
        <x:v>40</x:v>
      </x:c>
      <x:c r="D19" s="279"/>
      <x:c r="E19" s="280"/>
      <x:c r="F19" s="286">
        <x:f>SUM('1:4'!$F$18)</x:f>
        <x:v>36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SUM('1:4'!$F$20)</x:f>
        <x:v>244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2759900</x:v>
      </x:c>
      <x:c r="J23" s="61" t="s">
        <x:v>119</x:v>
      </x:c>
      <x:c r="K23" s="62">
        <x:f>SUM(K4:K22)</x:f>
        <x:v>13000</x:v>
      </x:c>
      <x:c r="M23" s="88" t="s">
        <x:v>93</x:v>
      </x:c>
      <x:c r="N23" s="282">
        <x:f>C5+C6</x:f>
        <x:v>398000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0.98374621279629304</x:v>
      </x:c>
      <x:c r="J24" s="61" t="s">
        <x:v>8</x:v>
      </x:c>
      <x:c r="K24" s="63">
        <x:f>K23/A25</x:f>
        <x:v>0.0046337551238638391</x:v>
      </x:c>
    </x:row>
    <x:row r="25" spans="1:11" ht="34.149999999999999" customHeight="1">
      <x:c r="A25" s="311">
        <x:f>C2</x:f>
        <x:v>2805500</x:v>
      </x:c>
      <x:c r="B25" s="275"/>
      <x:c r="C25" s="275">
        <x:f>E25/I1</x:f>
        <x:v>3900250</x:v>
      </x:c>
      <x:c r="D25" s="275"/>
      <x:c r="E25" s="275">
        <x:f>SUM('1:4'!$A$25)</x:f>
        <x:v>15601000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SUM('1:4'!$K$23)</x:f>
        <x:v>15200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0.046763797192487661</x:v>
      </x:c>
      <x:c r="J26" s="64" t="s">
        <x:v>128</x:v>
      </x:c>
      <x:c r="K26" s="65">
        <x:f>K25/$E$25</x:f>
        <x:v>0.00097429651945388121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771129.0322580646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0.27486331572199774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SUM('1:4'!$I$27)</x:f>
        <x:v>3233516.1290322584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4.1932231750679776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abSelected="1" topLeftCell="A10" zoomScale="85" zoomScaleNormal="85" zoomScaleSheetLayoutView="75" workbookViewId="0">
      <x:selection activeCell="E30" activeCellId="0" sqref="E30:E3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5</x:v>
      </x:c>
      <x:c r="G1" s="68" t="s">
        <x:v>62</x:v>
      </x:c>
      <x:c r="H1" s="52" t="s">
        <x:v>123</x:v>
      </x:c>
      <x:c r="I1" s="52">
        <x:f>F1-K1</x:f>
        <x:v>5</x:v>
      </x:c>
      <x:c r="J1" s="52" t="s">
        <x:v>98</x:v>
      </x:c>
      <x:c r="K1" s="52"/>
    </x:row>
    <x:row r="2" spans="1:11" ht="20.100000000000001" customHeight="1">
      <x:c r="A2" s="329" t="s">
        <x:v>9</x:v>
      </x:c>
      <x:c r="B2" s="330"/>
      <x:c r="C2" s="333">
        <x:f>SUM(C4:D7)</x:f>
        <x:v>3374000</x:v>
      </x:c>
      <x:c r="D2" s="334"/>
      <x:c r="E2" s="277" t="s">
        <x:v>40</x:v>
      </x:c>
      <x:c r="F2" s="278"/>
      <x:c r="G2" s="266">
        <x:v>104100</x:v>
      </x:c>
      <x:c r="H2" s="337" t="s">
        <x:v>6</x:v>
      </x:c>
      <x:c r="I2" s="338"/>
      <x:c r="J2" s="262" t="s">
        <x:v>74</x:v>
      </x:c>
      <x:c r="K2" s="326"/>
    </x:row>
    <x:row r="3" spans="1:11" ht="20.100000000000001" customHeight="1">
      <x:c r="A3" s="331"/>
      <x:c r="B3" s="332"/>
      <x:c r="C3" s="335"/>
      <x:c r="D3" s="336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340" t="s">
        <x:v>22</x:v>
      </x:c>
      <x:c r="B4" s="341"/>
      <x:c r="C4" s="309">
        <x:v>2541500</x:v>
      </x:c>
      <x:c r="D4" s="310"/>
      <x:c r="E4" s="342" t="s">
        <x:v>149</x:v>
      </x:c>
      <x:c r="F4" s="343"/>
      <x:c r="G4" s="133">
        <x:f>INT(C4*0.0275)</x:f>
        <x:v>69891</x:v>
      </x:c>
      <x:c r="H4" s="54" t="s">
        <x:v>20</x:v>
      </x:c>
      <x:c r="I4" s="124">
        <x:f>739698+237575+164577+10+452000</x:f>
        <x:v>1593860</x:v>
      </x:c>
      <x:c r="J4" s="80" t="s">
        <x:v>36</x:v>
      </x:c>
      <x:c r="K4" s="58"/>
    </x:row>
    <x:row r="5" spans="1:11" ht="30.949999999999999" customHeight="1">
      <x:c r="A5" s="340" t="s">
        <x:v>61</x:v>
      </x:c>
      <x:c r="B5" s="341"/>
      <x:c r="C5" s="309">
        <x:v>832500</x:v>
      </x:c>
      <x:c r="D5" s="310"/>
      <x:c r="E5" s="291" t="s">
        <x:v>70</x:v>
      </x:c>
      <x:c r="F5" s="292"/>
      <x:c r="G5" s="133">
        <x:f>INT(C5*0.01)</x:f>
        <x:v>8325</x:v>
      </x:c>
      <x:c r="H5" s="54" t="s">
        <x:v>6</x:v>
      </x:c>
      <x:c r="I5" s="124">
        <x:f>100000+34500+44000+59312+44000+39380+9620</x:f>
        <x:v>330812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870000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347" t="s">
        <x:v>134</x:v>
      </x:c>
      <x:c r="B8" s="288"/>
      <x:c r="C8" s="300">
        <x:v>66600</x:v>
      </x:c>
      <x:c r="D8" s="301"/>
      <x:c r="E8" s="287" t="s">
        <x:v>110</x:v>
      </x:c>
      <x:c r="F8" s="288"/>
      <x:c r="G8" s="293">
        <x:f>C5+G2-G6</x:f>
        <x:v>66600</x:v>
      </x:c>
      <x:c r="H8" s="54" t="s">
        <x:v>45</x:v>
      </x:c>
      <x:c r="I8" s="124"/>
      <x:c r="J8" s="81"/>
      <x:c r="K8" s="58"/>
    </x:row>
    <x:row r="9" spans="1:11" ht="21.949999999999999" customHeight="1">
      <x:c r="A9" s="348"/>
      <x:c r="B9" s="280"/>
      <x:c r="C9" s="302"/>
      <x:c r="D9" s="303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339" t="s">
        <x:v>143</x:v>
      </x:c>
      <x:c r="B10" s="292"/>
      <x:c r="C10" s="309"/>
      <x:c r="D10" s="310"/>
      <x:c r="E10" s="291" t="s">
        <x:v>87</x:v>
      </x:c>
      <x:c r="F10" s="292"/>
      <x:c r="G10" s="55"/>
      <x:c r="H10" s="54"/>
      <x:c r="I10" s="124"/>
      <x:c r="J10" s="54" t="s">
        <x:v>53</x:v>
      </x:c>
      <x:c r="K10" s="58"/>
    </x:row>
    <x:row r="11" spans="1:11" ht="33" customHeight="1">
      <x:c r="A11" s="339" t="s">
        <x:v>103</x:v>
      </x:c>
      <x:c r="B11" s="292"/>
      <x:c r="C11" s="344"/>
      <x:c r="D11" s="345"/>
      <x:c r="E11" s="345"/>
      <x:c r="F11" s="345"/>
      <x:c r="G11" s="346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7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SUM('1:5'!$C$12)</x:f>
        <x:v>33</x:v>
      </x:c>
      <x:c r="D13" s="279"/>
      <x:c r="E13" s="280"/>
      <x:c r="F13" s="289">
        <x:f>SUM('1:5'!$F$12)</x:f>
        <x:v>5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SUM('1:5'!$C$14)</x:f>
        <x:v>100</x:v>
      </x:c>
      <x:c r="D15" s="279"/>
      <x:c r="E15" s="280"/>
      <x:c r="F15" s="289">
        <x:f>SUM('1:5'!$F$14)</x:f>
        <x:v>85</x:v>
      </x:c>
      <x:c r="G15" s="290"/>
      <x:c r="H15" s="54" t="s">
        <x:v>106</x:v>
      </x:c>
      <x:c r="I15" s="58">
        <x:f>4900+30000+11800+10500+7500+10600</x:f>
        <x:v>75300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327">
        <x:v>14</x:v>
      </x:c>
      <x:c r="G16" s="328"/>
      <x:c r="H16" s="54"/>
      <x:c r="I16" s="58"/>
      <x:c r="J16" s="54" t="s">
        <x:v>97</x:v>
      </x:c>
      <x:c r="K16" s="58">
        <x:v>65400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SUM('1:5'!$C$16)</x:f>
        <x:v>45</x:v>
      </x:c>
      <x:c r="D17" s="279"/>
      <x:c r="E17" s="280"/>
      <x:c r="F17" s="289">
        <x:f>SUM('1:5'!$F$16)</x:f>
        <x:v>70</x:v>
      </x:c>
      <x:c r="G17" s="290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327">
        <x:v>9</x:v>
      </x:c>
      <x:c r="G18" s="32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SUM('1:5'!$C$18)</x:f>
        <x:v>50</x:v>
      </x:c>
      <x:c r="D19" s="279"/>
      <x:c r="E19" s="280"/>
      <x:c r="F19" s="289">
        <x:f>SUM('1:5'!$F$18)</x:f>
        <x:v>45</x:v>
      </x:c>
      <x:c r="G19" s="290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132"/>
      <x:c r="C20" s="132"/>
      <x:c r="D20" s="291" t="s">
        <x:v>113</x:v>
      </x:c>
      <x:c r="E20" s="292"/>
      <x:c r="F20" s="327">
        <x:v>61</x:v>
      </x:c>
      <x:c r="G20" s="328"/>
      <x:c r="H20" s="58"/>
      <x:c r="J20" s="54"/>
      <x:c r="K20" s="58"/>
      <x:c r="L20" s="60"/>
      <x:c r="M20" s="11"/>
    </x:row>
    <x:row r="21" spans="1:13" ht="21.949999999999999" customHeight="1">
      <x:c r="A21" s="132"/>
      <x:c r="C21" s="132"/>
      <x:c r="D21" s="291" t="s">
        <x:v>114</x:v>
      </x:c>
      <x:c r="E21" s="292"/>
      <x:c r="F21" s="289">
        <x:f>SUM('1:5'!$F$20)</x:f>
        <x:v>305</x:v>
      </x:c>
      <x:c r="G21" s="290"/>
      <x:c r="H21" s="58"/>
      <x:c r="J21" s="54"/>
      <x:c r="K21" s="58"/>
      <x:c r="L21" s="60"/>
      <x:c r="M21" s="11"/>
    </x:row>
    <x:row r="22" spans="1:13" ht="32.100000000000001" customHeight="1">
      <x:c r="A22" s="339" t="s">
        <x:v>83</x:v>
      </x:c>
      <x:c r="B22" s="292"/>
      <x:c r="C22" s="349"/>
      <x:c r="D22" s="350"/>
      <x:c r="E22" s="350"/>
      <x:c r="F22" s="350"/>
      <x:c r="G22" s="351"/>
      <x:c r="H22" s="54"/>
      <x:c r="J22" s="54"/>
      <x:c r="K22" s="58"/>
      <x:c r="L22" s="60"/>
      <x:c r="M22" s="11"/>
    </x:row>
    <x:row r="23" spans="1:15" ht="34.149999999999999" customHeight="1">
      <x:c r="A23" s="339" t="s">
        <x:v>124</x:v>
      </x:c>
      <x:c r="B23" s="292"/>
      <x:c r="C23" s="323"/>
      <x:c r="D23" s="324"/>
      <x:c r="E23" s="324"/>
      <x:c r="F23" s="324"/>
      <x:c r="G23" s="325"/>
      <x:c r="H23" s="107" t="s">
        <x:v>94</x:v>
      </x:c>
      <x:c r="I23" s="108">
        <x:f>SUM(I4:I22)</x:f>
        <x:v>1999972</x:v>
      </x:c>
      <x:c r="J23" s="61" t="s">
        <x:v>119</x:v>
      </x:c>
      <x:c r="K23" s="62">
        <x:f>SUM(K4:K22)</x:f>
        <x:v>65400</x:v>
      </x:c>
      <x:c r="M23" s="88" t="s">
        <x:v>93</x:v>
      </x:c>
      <x:c r="N23" s="282">
        <x:f>C5+C6</x:f>
        <x:v>832500</x:v>
      </x:c>
      <x:c r="O23" s="283"/>
    </x:row>
    <x:row r="24" spans="1:11" ht="34.149999999999999" customHeight="1">
      <x:c r="A24" s="339" t="s">
        <x:v>8</x:v>
      </x:c>
      <x:c r="B24" s="292"/>
      <x:c r="C24" s="291" t="s">
        <x:v>86</x:v>
      </x:c>
      <x:c r="D24" s="292"/>
      <x:c r="E24" s="291" t="s">
        <x:v>101</x:v>
      </x:c>
      <x:c r="F24" s="322"/>
      <x:c r="G24" s="292"/>
      <x:c r="H24" s="107" t="s">
        <x:v>8</x:v>
      </x:c>
      <x:c r="I24" s="109">
        <x:f>I23/A25</x:f>
        <x:v>0.5927599288678127</x:v>
      </x:c>
      <x:c r="J24" s="61" t="s">
        <x:v>8</x:v>
      </x:c>
      <x:c r="K24" s="63">
        <x:f>K23/A25</x:f>
        <x:v>0.019383521043272081</x:v>
      </x:c>
    </x:row>
    <x:row r="25" spans="1:11" ht="34.149999999999999" customHeight="1">
      <x:c r="A25" s="353">
        <x:f>C2</x:f>
        <x:v>3374000</x:v>
      </x:c>
      <x:c r="B25" s="313"/>
      <x:c r="C25" s="312">
        <x:f>E25/I1</x:f>
        <x:v>3795000</x:v>
      </x:c>
      <x:c r="D25" s="313"/>
      <x:c r="E25" s="312">
        <x:f>SUM('1:5'!$A$25)</x:f>
        <x:v>18975000</x:v>
      </x:c>
      <x:c r="F25" s="321"/>
      <x:c r="G25" s="313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SUM('1:5'!$K$23)</x:f>
        <x:v>80600</x:v>
      </x:c>
    </x:row>
    <x:row r="26" spans="1:11" ht="34.149999999999999" customHeight="1">
      <x:c r="A26" s="339" t="s">
        <x:v>142</x:v>
      </x:c>
      <x:c r="B26" s="292"/>
      <x:c r="C26" s="291"/>
      <x:c r="D26" s="292"/>
      <x:c r="E26" s="309"/>
      <x:c r="F26" s="352"/>
      <x:c r="G26" s="310"/>
      <x:c r="H26" s="107" t="s">
        <x:v>128</x:v>
      </x:c>
      <x:c r="I26" s="110">
        <x:f>I25/$E$25</x:f>
        <x:v>0.03844859025032938</x:v>
      </x:c>
      <x:c r="J26" s="64" t="s">
        <x:v>128</x:v>
      </x:c>
      <x:c r="K26" s="65">
        <x:f>K25/$E$25</x:f>
        <x:v>0.0042476943346508563</x:v>
      </x:c>
    </x:row>
    <x:row r="27" spans="1:13" ht="30.949999999999999" customHeight="1">
      <x:c r="A27" s="304" t="s">
        <x:v>141</x:v>
      </x:c>
      <x:c r="B27" s="54" t="s">
        <x:v>44</x:v>
      </x:c>
      <x:c r="C27" s="312">
        <x:f>4000000/31</x:f>
        <x:v>129032.25806451614</x:v>
      </x:c>
      <x:c r="D27" s="313"/>
      <x:c r="E27" s="55" t="s">
        <x:v>152</x:v>
      </x:c>
      <x:c r="F27" s="309">
        <x:f>13000*5</x:f>
        <x:v>65000</x:v>
      </x:c>
      <x:c r="G27" s="310"/>
      <x:c r="H27" s="111" t="s">
        <x:v>118</x:v>
      </x:c>
      <x:c r="I27" s="112">
        <x:f>SUM(C27:D34,F27:G32)</x:f>
        <x:v>901129.0322580646</x:v>
      </x:c>
      <x:c r="M27" s="66"/>
    </x:row>
    <x:row r="28" spans="1:13" ht="30.949999999999999" customHeight="1">
      <x:c r="A28" s="305"/>
      <x:c r="B28" s="54" t="s">
        <x:v>23</x:v>
      </x:c>
      <x:c r="C28" s="312">
        <x:f>3800000/31</x:f>
        <x:v>122580.64516129032</x:v>
      </x:c>
      <x:c r="D28" s="313"/>
      <x:c r="E28" s="55" t="s">
        <x:v>154</x:v>
      </x:c>
      <x:c r="F28" s="312">
        <x:f>1500000/31</x:f>
        <x:v>48387.096774193546</x:v>
      </x:c>
      <x:c r="G28" s="313"/>
      <x:c r="H28" s="111" t="s">
        <x:v>8</x:v>
      </x:c>
      <x:c r="I28" s="113">
        <x:f>I27/$A$25</x:f>
        <x:v>0.26708032965562079</x:v>
      </x:c>
      <x:c r="M28" s="66"/>
    </x:row>
    <x:row r="29" spans="1:13" ht="30.949999999999999" customHeight="1">
      <x:c r="A29" s="305"/>
      <x:c r="B29" s="54" t="s">
        <x:v>47</x:v>
      </x:c>
      <x:c r="C29" s="312">
        <x:f>3200000/31</x:f>
        <x:v>103225.80645161291</x:v>
      </x:c>
      <x:c r="D29" s="313"/>
      <x:c r="E29" s="54" t="s">
        <x:v>57</x:v>
      </x:c>
      <x:c r="F29" s="309"/>
      <x:c r="G29" s="310"/>
      <x:c r="H29" s="111" t="s">
        <x:v>33</x:v>
      </x:c>
      <x:c r="I29" s="112">
        <x:f>SUM('1:5'!$I$27)</x:f>
        <x:v>4134645.1612903229</x:v>
      </x:c>
      <x:c r="M29" s="66"/>
    </x:row>
    <x:row r="30" spans="1:13" ht="30.949999999999999" customHeight="1">
      <x:c r="A30" s="305"/>
      <x:c r="B30" s="54"/>
      <x:c r="C30" s="354"/>
      <x:c r="D30" s="355"/>
      <x:c r="E30" s="55"/>
      <x:c r="F30" s="309"/>
      <x:c r="G30" s="310"/>
      <x:c r="H30" s="111" t="s">
        <x:v>128</x:v>
      </x:c>
      <x:c r="I30" s="113">
        <x:f>I29/$I$27</x:f>
        <x:v>4.5882942545194201</x:v>
      </x:c>
      <x:c r="M30" s="66"/>
    </x:row>
    <x:row r="31" spans="1:7" customHeight="1">
      <x:c r="A31" s="305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05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05"/>
      <x:c r="B33" s="54" t="s">
        <x:v>21</x:v>
      </x:c>
      <x:c r="C33" s="307">
        <x:f>13000*10</x:f>
        <x:v>130000</x:v>
      </x:c>
      <x:c r="D33" s="308"/>
    </x:row>
    <x:row r="34" spans="1:4" customHeight="1">
      <x:c r="A34" s="306"/>
      <x:c r="B34" s="54" t="s">
        <x:v>57</x:v>
      </x:c>
      <x:c r="C34" s="309"/>
      <x:c r="D34" s="310"/>
    </x:row>
  </x:sheetData>
  <x:mergeCells count="74">
    <x:mergeCell ref="F32:G32"/>
    <x:mergeCell ref="C8:D9"/>
    <x:mergeCell ref="E8:F9"/>
    <x:mergeCell ref="G8:G9"/>
    <x:mergeCell ref="E25:G2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D20:E20"/>
    <x:mergeCell ref="F20:G20"/>
    <x:mergeCell ref="D21:E21"/>
    <x:mergeCell ref="F21:G21"/>
    <x:mergeCell ref="F18:G18"/>
    <x:mergeCell ref="F19:G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abSelected="1" topLeftCell="A11" zoomScale="85" zoomScaleNormal="85" zoomScaleSheetLayoutView="75" workbookViewId="0">
      <x:selection activeCell="E30" activeCellId="0" sqref="E30:E3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6</x:v>
      </x:c>
      <x:c r="G1" s="68" t="s">
        <x:v>27</x:v>
      </x:c>
      <x:c r="H1" s="52" t="s">
        <x:v>123</x:v>
      </x:c>
      <x:c r="I1" s="52">
        <x:f>F1-K1</x:f>
        <x:v>6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4250500</x:v>
      </x:c>
      <x:c r="D2" s="274"/>
      <x:c r="E2" s="277" t="s">
        <x:v>40</x:v>
      </x:c>
      <x:c r="F2" s="278"/>
      <x:c r="G2" s="266">
        <x:v>66600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3839500</x:v>
      </x:c>
      <x:c r="D4" s="261"/>
      <x:c r="E4" s="276" t="s">
        <x:v>149</x:v>
      </x:c>
      <x:c r="F4" s="276"/>
      <x:c r="G4" s="133">
        <x:f>INT(C4*0.0275)</x:f>
        <x:v>105586</x:v>
      </x:c>
      <x:c r="H4" s="54" t="s">
        <x:v>20</x:v>
      </x:c>
      <x:c r="I4" s="124">
        <x:f>292050+43500+452000+221000+187166</x:f>
        <x:v>1195716</x:v>
      </x:c>
      <x:c r="J4" s="80" t="s">
        <x:v>36</x:v>
      </x:c>
      <x:c r="K4" s="58">
        <x:v>164000</x:v>
      </x:c>
    </x:row>
    <x:row r="5" spans="1:11" ht="30.949999999999999" customHeight="1">
      <x:c r="A5" s="268" t="s">
        <x:v>61</x:v>
      </x:c>
      <x:c r="B5" s="269"/>
      <x:c r="C5" s="261">
        <x:v>411000</x:v>
      </x:c>
      <x:c r="D5" s="261"/>
      <x:c r="E5" s="260" t="s">
        <x:v>70</x:v>
      </x:c>
      <x:c r="F5" s="260"/>
      <x:c r="G5" s="133">
        <x:f>INT(C5*0.01)</x:f>
        <x:v>4110</x:v>
      </x:c>
      <x:c r="H5" s="54" t="s">
        <x:v>6</x:v>
      </x:c>
      <x:c r="I5" s="124">
        <x:f>34500+28680</x:f>
        <x:v>63180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400000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290400</x:v>
      </x:c>
      <x:c r="J7" s="81" t="s">
        <x:v>116</x:v>
      </x:c>
      <x:c r="K7" s="58">
        <x:v>12500</x:v>
      </x:c>
    </x:row>
    <x:row r="8" spans="1:11" ht="21.949999999999999" customHeight="1">
      <x:c r="A8" s="259" t="s">
        <x:v>134</x:v>
      </x:c>
      <x:c r="B8" s="260"/>
      <x:c r="C8" s="261">
        <x:v>77600</x:v>
      </x:c>
      <x:c r="D8" s="261"/>
      <x:c r="E8" s="287" t="s">
        <x:v>110</x:v>
      </x:c>
      <x:c r="F8" s="288"/>
      <x:c r="G8" s="293">
        <x:f>C5+G2-G6-C22</x:f>
        <x:v>77600</x:v>
      </x:c>
      <x:c r="H8" s="54" t="s">
        <x:v>45</x:v>
      </x:c>
      <x:c r="I8" s="124">
        <x:f>60000</x:f>
        <x:v>60000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>
        <x:v>50000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151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5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SUM('1:6'!$C$12)</x:f>
        <x:v>38</x:v>
      </x:c>
      <x:c r="D13" s="279"/>
      <x:c r="E13" s="280"/>
      <x:c r="F13" s="289">
        <x:f>SUM('1:6'!$F$12)</x:f>
        <x:v>6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SUM('1:6'!$C$14)</x:f>
        <x:v>120</x:v>
      </x:c>
      <x:c r="D15" s="279"/>
      <x:c r="E15" s="280"/>
      <x:c r="F15" s="289">
        <x:f>SUM('1:6'!$F$14)</x:f>
        <x:v>102</x:v>
      </x:c>
      <x:c r="G15" s="290"/>
      <x:c r="H15" s="54" t="s">
        <x:v>106</x:v>
      </x:c>
      <x:c r="I15" s="58">
        <x:f>9800+45000+11800+8400+14000+3500</x:f>
        <x:v>92500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SUM('1:6'!$C$16)</x:f>
        <x:v>54</x:v>
      </x:c>
      <x:c r="D17" s="279"/>
      <x:c r="E17" s="280"/>
      <x:c r="F17" s="286">
        <x:f>SUM('1:6'!$F$16)</x:f>
        <x:v>84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SUM('1:6'!$C$18)</x:f>
        <x:v>60</x:v>
      </x:c>
      <x:c r="D19" s="279"/>
      <x:c r="E19" s="280"/>
      <x:c r="F19" s="286">
        <x:f>SUM('1:6'!$F$18)</x:f>
        <x:v>54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SUM('1:6'!$F$20)</x:f>
        <x:v>366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1701796</x:v>
      </x:c>
      <x:c r="J23" s="61" t="s">
        <x:v>119</x:v>
      </x:c>
      <x:c r="K23" s="62">
        <x:f>SUM(K4:K22)</x:f>
        <x:v>176500</x:v>
      </x:c>
      <x:c r="M23" s="88" t="s">
        <x:v>93</x:v>
      </x:c>
      <x:c r="N23" s="282">
        <x:f>C5+C6</x:f>
        <x:v>411000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0.40037548523703093</x:v>
      </x:c>
      <x:c r="J24" s="61" t="s">
        <x:v>8</x:v>
      </x:c>
      <x:c r="K24" s="63">
        <x:f>K23/A25</x:f>
        <x:v>0.041524526526291022</x:v>
      </x:c>
    </x:row>
    <x:row r="25" spans="1:11" ht="34.149999999999999" customHeight="1">
      <x:c r="A25" s="311">
        <x:f>C2</x:f>
        <x:v>4250500</x:v>
      </x:c>
      <x:c r="B25" s="275"/>
      <x:c r="C25" s="275">
        <x:f>E25/I1</x:f>
        <x:v>3870916.6666666665</x:v>
      </x:c>
      <x:c r="D25" s="275"/>
      <x:c r="E25" s="275">
        <x:f>SUM('1:6'!$A$25)</x:f>
        <x:v>23225500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SUM('1:6'!$K$23)</x:f>
        <x:v>257100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0.031412111687584766</x:v>
      </x:c>
      <x:c r="J26" s="64" t="s">
        <x:v>128</x:v>
      </x:c>
      <x:c r="K26" s="65">
        <x:f>K25/$E$25</x:f>
        <x:v>0.011069729392262815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4">
        <x:f>SUM(C27:D34,F27:G32)</x:f>
        <x:v>823129.0322580646</x:v>
      </x:c>
      <x:c r="M27" s="66"/>
    </x:row>
    <x:row r="28" spans="1:13" ht="30.949999999999999" customHeight="1">
      <x:c r="A28" s="318"/>
      <x:c r="B28" s="54" t="s">
        <x:v>23</x:v>
      </x:c>
      <x:c r="C28" s="312">
        <x:f>3800000/31</x:f>
        <x:v>122580.64516129032</x:v>
      </x:c>
      <x:c r="D28" s="313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0.19365463645643208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SUM('1:6'!$I$27)</x:f>
        <x:v>4957774.1935483878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6.0230826507818316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abSelected="1" topLeftCell="A25" zoomScale="85" zoomScaleNormal="85" zoomScaleSheetLayoutView="75" workbookViewId="0">
      <x:selection activeCell="E30" activeCellId="0" sqref="E30:E3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7</x:v>
      </x:c>
      <x:c r="G1" s="68" t="s">
        <x:v>50</x:v>
      </x:c>
      <x:c r="H1" s="52" t="s">
        <x:v>123</x:v>
      </x:c>
      <x:c r="I1" s="52">
        <x:f>F1-K1</x:f>
        <x:v>7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5310000</x:v>
      </x:c>
      <x:c r="D2" s="274"/>
      <x:c r="E2" s="277" t="s">
        <x:v>40</x:v>
      </x:c>
      <x:c r="F2" s="278"/>
      <x:c r="G2" s="266">
        <x:v>77600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4640500</x:v>
      </x:c>
      <x:c r="D4" s="261"/>
      <x:c r="E4" s="276" t="s">
        <x:v>149</x:v>
      </x:c>
      <x:c r="F4" s="276"/>
      <x:c r="G4" s="133">
        <x:f>INT(C4*0.0275)</x:f>
        <x:v>127613</x:v>
      </x:c>
      <x:c r="H4" s="54" t="s">
        <x:v>20</x:v>
      </x:c>
      <x:c r="I4" s="124">
        <x:f>56220+452000+221000</x:f>
        <x:v>729220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669500</x:v>
      </x:c>
      <x:c r="D5" s="261"/>
      <x:c r="E5" s="260" t="s">
        <x:v>70</x:v>
      </x:c>
      <x:c r="F5" s="260"/>
      <x:c r="G5" s="133">
        <x:f>INT(C5*0.01)</x:f>
        <x:v>6695</x:v>
      </x:c>
      <x:c r="H5" s="54" t="s">
        <x:v>6</x:v>
      </x:c>
      <x:c r="I5" s="124">
        <x:f>9620+13020+30300</x:f>
        <x:v>52940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600000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203500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147300</x:v>
      </x:c>
      <x:c r="D8" s="261"/>
      <x:c r="E8" s="287" t="s">
        <x:v>110</x:v>
      </x:c>
      <x:c r="F8" s="288"/>
      <x:c r="G8" s="293">
        <x:f>C5+G2-G6-C22</x:f>
        <x:v>147100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10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SUM('1:7'!$C$12)</x:f>
        <x:v>48</x:v>
      </x:c>
      <x:c r="D13" s="279"/>
      <x:c r="E13" s="280"/>
      <x:c r="F13" s="289">
        <x:f>SUM('1:7'!$F$12)</x:f>
        <x:v>7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SUM('1:7'!$C$14)</x:f>
        <x:v>140</x:v>
      </x:c>
      <x:c r="D15" s="279"/>
      <x:c r="E15" s="280"/>
      <x:c r="F15" s="289">
        <x:f>SUM('1:7'!$F$14)</x:f>
        <x:v>119</x:v>
      </x:c>
      <x:c r="G15" s="290"/>
      <x:c r="H15" s="54" t="s">
        <x:v>106</x:v>
      </x:c>
      <x:c r="I15" s="58">
        <x:f>4900+5500+7500+28000+4500+11800+7500+10500+6600+30000</x:f>
        <x:v>116800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SUM('1:7'!$C$16)</x:f>
        <x:v>63</x:v>
      </x:c>
      <x:c r="D17" s="279"/>
      <x:c r="E17" s="280"/>
      <x:c r="F17" s="286">
        <x:f>SUM('1:7'!$F$16)</x:f>
        <x:v>98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SUM('1:7'!$C$18)</x:f>
        <x:v>70</x:v>
      </x:c>
      <x:c r="D19" s="279"/>
      <x:c r="E19" s="280"/>
      <x:c r="F19" s="286">
        <x:f>SUM('1:7'!$F$18)</x:f>
        <x:v>63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SUM('1:7'!$F$20)</x:f>
        <x:v>427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1102460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669500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0.20761958568738229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5310000</x:v>
      </x:c>
      <x:c r="B25" s="275"/>
      <x:c r="C25" s="275">
        <x:f>E25/I1</x:f>
        <x:v>4076500</x:v>
      </x:c>
      <x:c r="D25" s="275"/>
      <x:c r="E25" s="275">
        <x:f>SUM('1:7'!$A$25)</x:f>
        <x:v>28535500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SUM('1:7'!$K$23)</x:f>
        <x:v>257100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0.025566820276497697</x:v>
      </x:c>
      <x:c r="J26" s="64" t="s">
        <x:v>128</x:v>
      </x:c>
      <x:c r="K26" s="65">
        <x:f>K25/$E$25</x:f>
        <x:v>0.0090098298610502715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771129.0322580646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0.14522203997327016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SUM('1:7'!$I$27)</x:f>
        <x:v>5728903.2258064523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7.4292407446140976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abSelected="1" topLeftCell="D23" zoomScale="85" zoomScaleNormal="85" zoomScaleSheetLayoutView="75" workbookViewId="0">
      <x:selection activeCell="E30" activeCellId="0" sqref="E30:E3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8</x:v>
      </x:c>
      <x:c r="G1" s="68" t="s">
        <x:v>28</x:v>
      </x:c>
      <x:c r="H1" s="52" t="s">
        <x:v>123</x:v>
      </x:c>
      <x:c r="I1" s="52">
        <x:f>F1-K1</x:f>
        <x:v>8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4599000</x:v>
      </x:c>
      <x:c r="D2" s="274"/>
      <x:c r="E2" s="277" t="s">
        <x:v>40</x:v>
      </x:c>
      <x:c r="F2" s="278"/>
      <x:c r="G2" s="266">
        <x:v>147300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3242500</x:v>
      </x:c>
      <x:c r="D4" s="261"/>
      <x:c r="E4" s="276" t="s">
        <x:v>149</x:v>
      </x:c>
      <x:c r="F4" s="276"/>
      <x:c r="G4" s="133">
        <x:f>INT(C4*0.0275)</x:f>
        <x:v>89168</x:v>
      </x:c>
      <x:c r="H4" s="54" t="s">
        <x:v>20</x:v>
      </x:c>
      <x:c r="I4" s="124">
        <x:f>284625+232050</x:f>
        <x:v>516675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1356500</x:v>
      </x:c>
      <x:c r="D5" s="261"/>
      <x:c r="E5" s="260" t="s">
        <x:v>70</x:v>
      </x:c>
      <x:c r="F5" s="260"/>
      <x:c r="G5" s="133">
        <x:f>INT(C5*0.01)</x:f>
        <x:v>13565</x:v>
      </x:c>
      <x:c r="H5" s="54" t="s">
        <x:v>6</x:v>
      </x:c>
      <x:c r="I5" s="124">
        <x:f>59312+69000+50000+7000+7360</x:f>
        <x:v>192672</x:v>
      </x:c>
      <x:c r="J5" s="81"/>
      <x:c r="K5" s="58"/>
    </x:row>
    <x:row r="6" spans="1:13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f>1350000+28000</x:f>
        <x:v>1378000</x:v>
      </x:c>
      <x:c r="H6" s="54"/>
      <x:c r="I6" s="124"/>
      <x:c r="J6" s="81" t="s">
        <x:v>127</x:v>
      </x:c>
      <x:c r="K6" s="58"/>
      <x:c r="M6" s="124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392000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125800</x:v>
      </x:c>
      <x:c r="D8" s="261"/>
      <x:c r="E8" s="287" t="s">
        <x:v>110</x:v>
      </x:c>
      <x:c r="F8" s="288"/>
      <x:c r="G8" s="293">
        <x:f>C5+G2-G6-C22</x:f>
        <x:v>125800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>
        <x:v>50000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150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10</x:v>
      </x:c>
      <x:c r="D12" s="287" t="s">
        <x:v>133</x:v>
      </x:c>
      <x:c r="E12" s="288"/>
      <x:c r="F12" s="291">
        <x:v>7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SUM('1:8'!$C$12)</x:f>
        <x:v>58</x:v>
      </x:c>
      <x:c r="D13" s="279"/>
      <x:c r="E13" s="280"/>
      <x:c r="F13" s="289">
        <x:f>SUM('1:8'!$F$12)</x:f>
        <x:v>14</x:v>
      </x:c>
      <x:c r="G13" s="290"/>
      <x:c r="H13" s="54" t="s">
        <x:v>126</x:v>
      </x:c>
      <x:c r="I13" s="58">
        <x:v>200000</x:v>
      </x:c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34</x:v>
      </x:c>
      <x:c r="D14" s="287" t="s">
        <x:v>95</x:v>
      </x:c>
      <x:c r="E14" s="288"/>
      <x:c r="F14" s="291">
        <x:v>13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SUM('1:8'!$C$14)</x:f>
        <x:v>174</x:v>
      </x:c>
      <x:c r="D15" s="279"/>
      <x:c r="E15" s="280"/>
      <x:c r="F15" s="289">
        <x:f>SUM('1:8'!$F$14)</x:f>
        <x:v>132</x:v>
      </x:c>
      <x:c r="G15" s="290"/>
      <x:c r="H15" s="54" t="s">
        <x:v>106</x:v>
      </x:c>
      <x:c r="I15" s="58">
        <x:f>4900+5500+4800+20000+45000+15000+3500+13500+11800+10500+2450</x:f>
        <x:v>136950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4</x:v>
      </x:c>
      <x:c r="D16" s="287" t="s">
        <x:v>117</x:v>
      </x:c>
      <x:c r="E16" s="288"/>
      <x:c r="F16" s="285">
        <x:v>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SUM('1:8'!$C$16)</x:f>
        <x:v>67</x:v>
      </x:c>
      <x:c r="D17" s="279"/>
      <x:c r="E17" s="280"/>
      <x:c r="F17" s="286">
        <x:f>SUM('1:8'!$F$16)</x:f>
        <x:v>102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6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SUM('1:8'!$C$18)</x:f>
        <x:v>80</x:v>
      </x:c>
      <x:c r="D19" s="279"/>
      <x:c r="E19" s="280"/>
      <x:c r="F19" s="286">
        <x:f>SUM('1:8'!$F$18)</x:f>
        <x:v>69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67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SUM('1:8'!$F$20)</x:f>
        <x:v>494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1500297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1356500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0.32622243966079584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4599000</x:v>
      </x:c>
      <x:c r="B25" s="275"/>
      <x:c r="C25" s="275">
        <x:f>E25/I1</x:f>
        <x:v>4141812.5</x:v>
      </x:c>
      <x:c r="D25" s="275"/>
      <x:c r="E25" s="275">
        <x:f>SUM('1:8'!$A$25)</x:f>
        <x:v>33134500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SUM('1:8'!$K$23)</x:f>
        <x:v>257100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0.02201819855437686</x:v>
      </x:c>
      <x:c r="J26" s="64" t="s">
        <x:v>128</x:v>
      </x:c>
      <x:c r="K26" s="65">
        <x:f>K25/$E$25</x:f>
        <x:v>0.0077592841298344626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13000*4.5</x:f>
        <x:v>58500</x:v>
      </x:c>
      <x:c r="G27" s="261"/>
      <x:c r="H27" s="111" t="s">
        <x:v>118</x:v>
      </x:c>
      <x:c r="I27" s="112">
        <x:f>SUM(C27:D34,F27:G32)</x:f>
        <x:v>758629.0322580646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0.16495521466798535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SUM('1:8'!$I$27)</x:f>
        <x:v>6487532.2580645168</x:v>
      </x:c>
      <x:c r="M29" s="66" t="s">
        <x:v>63</x:v>
      </x:c>
    </x:row>
    <x:row r="30" spans="1:13" ht="30.949999999999999" customHeight="1">
      <x:c r="A30" s="318"/>
      <x:c r="B30" s="54"/>
      <x:c r="C30" s="354"/>
      <x:c r="D30" s="355"/>
      <x:c r="E30" s="55"/>
      <x:c r="F30" s="309"/>
      <x:c r="G30" s="310"/>
      <x:c r="H30" s="111" t="s">
        <x:v>128</x:v>
      </x:c>
      <x:c r="I30" s="113">
        <x:f>I29/$I$27</x:f>
        <x:v>8.5516530243435742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abSelected="1" topLeftCell="A7" zoomScale="85" zoomScaleNormal="85" zoomScaleSheetLayoutView="75" workbookViewId="0">
      <x:selection activeCell="F29" activeCellId="0" sqref="F29:G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9</x:v>
      </x:c>
      <x:c r="G1" s="68" t="s">
        <x:v>18</x:v>
      </x:c>
      <x:c r="H1" s="52" t="s">
        <x:v>123</x:v>
      </x:c>
      <x:c r="I1" s="52">
        <x:f>F1-K1</x:f>
        <x:v>9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4662000</x:v>
      </x:c>
      <x:c r="D2" s="274"/>
      <x:c r="E2" s="277" t="s">
        <x:v>40</x:v>
      </x:c>
      <x:c r="F2" s="278"/>
      <x:c r="G2" s="266">
        <x:v>125800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3851000</x:v>
      </x:c>
      <x:c r="D4" s="261"/>
      <x:c r="E4" s="276" t="s">
        <x:v>149</x:v>
      </x:c>
      <x:c r="F4" s="276"/>
      <x:c r="G4" s="133">
        <x:f>INT(C4*0.0275)</x:f>
        <x:v>105902</x:v>
      </x:c>
      <x:c r="H4" s="54" t="s">
        <x:v>20</x:v>
      </x:c>
      <x:c r="I4" s="124">
        <x:f>282020+56220+477600+221000+486586+422737+30650</x:f>
        <x:v>1976813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811000</x:v>
      </x:c>
      <x:c r="D5" s="261"/>
      <x:c r="E5" s="260" t="s">
        <x:v>70</x:v>
      </x:c>
      <x:c r="F5" s="260"/>
      <x:c r="G5" s="133">
        <x:f>INT(C5*0.01)</x:f>
        <x:v>8110</x:v>
      </x:c>
      <x:c r="H5" s="54" t="s">
        <x:v>6</x:v>
      </x:c>
      <x:c r="I5" s="124">
        <x:f>29656+39380+50000+69000+72000+29190+3500+18400+13020</x:f>
        <x:v>324146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800000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136800</x:v>
      </x:c>
      <x:c r="D8" s="261"/>
      <x:c r="E8" s="287" t="s">
        <x:v>110</x:v>
      </x:c>
      <x:c r="F8" s="288"/>
      <x:c r="G8" s="293">
        <x:f>C5+G2-G6-C22</x:f>
        <x:v>136800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>
        <x:v>95000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147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11</x:v>
      </x:c>
      <x:c r="D12" s="287" t="s">
        <x:v>133</x:v>
      </x:c>
      <x:c r="E12" s="288"/>
      <x:c r="F12" s="291">
        <x:v>3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SUM('1:9'!$C$12)</x:f>
        <x:v>69</x:v>
      </x:c>
      <x:c r="D13" s="279"/>
      <x:c r="E13" s="280"/>
      <x:c r="F13" s="289">
        <x:f>SUM('1:9'!$F$12)</x:f>
        <x:v>17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39</x:v>
      </x:c>
      <x:c r="D14" s="287" t="s">
        <x:v>95</x:v>
      </x:c>
      <x:c r="E14" s="288"/>
      <x:c r="F14" s="291">
        <x:v>11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SUM('1:9'!$C$14)</x:f>
        <x:v>213</x:v>
      </x:c>
      <x:c r="D15" s="279"/>
      <x:c r="E15" s="280"/>
      <x:c r="F15" s="289">
        <x:f>SUM('1:9'!$F$14)</x:f>
        <x:v>143</x:v>
      </x:c>
      <x:c r="G15" s="290"/>
      <x:c r="H15" s="54" t="s">
        <x:v>106</x:v>
      </x:c>
      <x:c r="I15" s="58">
        <x:v>204600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10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SUM('1:9'!$C$16)</x:f>
        <x:v>77</x:v>
      </x:c>
      <x:c r="D17" s="279"/>
      <x:c r="E17" s="280"/>
      <x:c r="F17" s="286">
        <x:f>SUM('1:9'!$F$16)</x:f>
        <x:v>116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15</x:v>
      </x:c>
      <x:c r="D18" s="287" t="s">
        <x:v>130</x:v>
      </x:c>
      <x:c r="E18" s="288"/>
      <x:c r="F18" s="295">
        <x:v>3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SUM('1:9'!$C$18)</x:f>
        <x:v>95</x:v>
      </x:c>
      <x:c r="D19" s="279"/>
      <x:c r="E19" s="280"/>
      <x:c r="F19" s="286">
        <x:f>SUM('1:9'!$F$18)</x:f>
        <x:v>72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55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SUM('1:9'!$F$20)</x:f>
        <x:v>549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 t="s">
        <x:v>147</x:v>
      </x:c>
      <x:c r="D23" s="316"/>
      <x:c r="E23" s="316"/>
      <x:c r="F23" s="316"/>
      <x:c r="G23" s="316"/>
      <x:c r="H23" s="107" t="s">
        <x:v>94</x:v>
      </x:c>
      <x:c r="I23" s="108">
        <x:f>SUM(I4:I22)</x:f>
        <x:v>2505559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811000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0.53744294294294293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4662000</x:v>
      </x:c>
      <x:c r="B25" s="275"/>
      <x:c r="C25" s="275">
        <x:f>E25/I1</x:f>
        <x:v>4199611.111111111</x:v>
      </x:c>
      <x:c r="D25" s="275"/>
      <x:c r="E25" s="275">
        <x:f>SUM('1:9'!$A$25)</x:f>
        <x:v>37796500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SUM('1:9'!$K$23)</x:f>
        <x:v>257100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0.01930236926699562</x:v>
      </x:c>
      <x:c r="J26" s="64" t="s">
        <x:v>128</x:v>
      </x:c>
      <x:c r="K26" s="65">
        <x:f>K25/$E$25</x:f>
        <x:v>0.006802217136507349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/>
      <x:c r="G27" s="261"/>
      <x:c r="H27" s="111" t="s">
        <x:v>118</x:v>
      </x:c>
      <x:c r="I27" s="112">
        <x:f>SUM(C27:D34,F27:G32)</x:f>
        <x:v>770129.0322580646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0.16519284261219747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SUM('1:9'!$I$27)</x:f>
        <x:v>7257661.2903225813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9.4239549300494261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abSelected="1" topLeftCell="A28" zoomScale="85" zoomScaleNormal="85" zoomScaleSheetLayoutView="75" workbookViewId="0">
      <x:selection activeCell="E30" activeCellId="0" sqref="E30:E3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10</x:v>
      </x:c>
      <x:c r="G1" s="68" t="s">
        <x:v>19</x:v>
      </x:c>
      <x:c r="H1" s="52" t="s">
        <x:v>123</x:v>
      </x:c>
      <x:c r="I1" s="52">
        <x:f>F1-K1</x:f>
        <x:v>10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4993000</x:v>
      </x:c>
      <x:c r="D2" s="274"/>
      <x:c r="E2" s="277" t="s">
        <x:v>40</x:v>
      </x:c>
      <x:c r="F2" s="278"/>
      <x:c r="G2" s="266">
        <x:v>136800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4223000</x:v>
      </x:c>
      <x:c r="D4" s="261"/>
      <x:c r="E4" s="276" t="s">
        <x:v>149</x:v>
      </x:c>
      <x:c r="F4" s="276"/>
      <x:c r="G4" s="133">
        <x:f>INT(C4*0.0275)</x:f>
        <x:v>116132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770000</x:v>
      </x:c>
      <x:c r="D5" s="261"/>
      <x:c r="E5" s="260" t="s">
        <x:v>70</x:v>
      </x:c>
      <x:c r="F5" s="260"/>
      <x:c r="G5" s="133">
        <x:f>INT(C5*0.01)</x:f>
        <x:v>7700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801000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105600</x:v>
      </x:c>
      <x:c r="D8" s="261"/>
      <x:c r="E8" s="287" t="s">
        <x:v>110</x:v>
      </x:c>
      <x:c r="F8" s="288"/>
      <x:c r="G8" s="293">
        <x:f>C5+G2-G6-C22</x:f>
        <x:v>105800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161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6</x:v>
      </x:c>
      <x:c r="D12" s="287" t="s">
        <x:v>133</x:v>
      </x:c>
      <x:c r="E12" s="288"/>
      <x:c r="F12" s="291">
        <x:v>4</x:v>
      </x:c>
      <x:c r="G12" s="292"/>
      <x:c r="H12" s="54" t="s">
        <x:v>102</x:v>
      </x:c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SUM('1:10'!$C$12)</x:f>
        <x:v>75</x:v>
      </x:c>
      <x:c r="D13" s="279"/>
      <x:c r="E13" s="280"/>
      <x:c r="F13" s="289">
        <x:f>SUM('1:10'!$F$12)</x:f>
        <x:v>21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40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SUM('1:10'!$C$14)</x:f>
        <x:v>253</x:v>
      </x:c>
      <x:c r="D15" s="279"/>
      <x:c r="E15" s="280"/>
      <x:c r="F15" s="289">
        <x:f>SUM('1:10'!$F$14)</x:f>
        <x:v>160</x:v>
      </x:c>
      <x:c r="G15" s="290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10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>
        <x:v>188013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v>20</x:v>
      </x:c>
      <x:c r="D17" s="279"/>
      <x:c r="E17" s="280"/>
      <x:c r="F17" s="286">
        <x:f>F19</x:f>
        <x:v>73</x:v>
      </x:c>
      <x:c r="G17" s="286"/>
      <x:c r="H17" s="54" t="s">
        <x:v>7</x:v>
      </x:c>
      <x:c r="I17" s="58">
        <x:v>6400</x:v>
      </x:c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20</x:v>
      </x:c>
      <x:c r="D18" s="287" t="s">
        <x:v>130</x:v>
      </x:c>
      <x:c r="E18" s="288"/>
      <x:c r="F18" s="295">
        <x:v>1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SUM('1:10'!$C$18)</x:f>
        <x:v>115</x:v>
      </x:c>
      <x:c r="D19" s="279"/>
      <x:c r="E19" s="280"/>
      <x:c r="F19" s="286">
        <x:f>SUM('1:10'!$F$18)</x:f>
        <x:v>73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70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SUM('1:10'!$F$20)</x:f>
        <x:v>619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6400</x:v>
      </x:c>
      <x:c r="J23" s="61" t="s">
        <x:v>119</x:v>
      </x:c>
      <x:c r="K23" s="62">
        <x:f>SUM(K4:K22)</x:f>
        <x:v>188013</x:v>
      </x:c>
      <x:c r="M23" s="88" t="s">
        <x:v>93</x:v>
      </x:c>
      <x:c r="N23" s="282">
        <x:f>C5+C6</x:f>
        <x:v>770000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0.0012817945123172441</x:v>
      </x:c>
      <x:c r="J24" s="61" t="s">
        <x:v>8</x:v>
      </x:c>
      <x:c r="K24" s="63">
        <x:f>K23/A25</x:f>
        <x:v>0.037655317444422194</x:v>
      </x:c>
    </x:row>
    <x:row r="25" spans="1:11" ht="34.149999999999999" customHeight="1">
      <x:c r="A25" s="311">
        <x:f>C2</x:f>
        <x:v>4993000</x:v>
      </x:c>
      <x:c r="B25" s="275"/>
      <x:c r="C25" s="275">
        <x:f>E25/I1</x:f>
        <x:v>4278950</x:v>
      </x:c>
      <x:c r="D25" s="275"/>
      <x:c r="E25" s="275">
        <x:f>SUM('1:10'!$A$25)</x:f>
        <x:v>42789500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SUM('1:10'!$K$21)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0.017050023954474813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/>
      <x:c r="G27" s="261"/>
      <x:c r="H27" s="111" t="s">
        <x:v>118</x:v>
      </x:c>
      <x:c r="I27" s="112">
        <x:f>SUM(C27:D34,F27:G32)</x:f>
        <x:v>794129.0322580646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0.15904847431565483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SUM('1:10'!$I$25)</x:f>
        <x:v>7295620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9.1869453245592645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13000*6</x:f>
        <x:v>78000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abSelected="1" topLeftCell="A26" zoomScale="85" zoomScaleNormal="85" zoomScaleSheetLayoutView="75" workbookViewId="0">
      <x:selection activeCell="J31" activeCellId="0" sqref="J31:J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11</x:v>
      </x:c>
      <x:c r="G1" s="68" t="s">
        <x:v>49</x:v>
      </x:c>
      <x:c r="H1" s="52" t="s">
        <x:v>123</x:v>
      </x:c>
      <x:c r="I1" s="52">
        <x:f>F1-K1</x:f>
        <x:v>11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3780500</x:v>
      </x:c>
      <x:c r="D2" s="274"/>
      <x:c r="E2" s="277" t="s">
        <x:v>40</x:v>
      </x:c>
      <x:c r="F2" s="278"/>
      <x:c r="G2" s="266">
        <x:v>105600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2988500</x:v>
      </x:c>
      <x:c r="D4" s="261"/>
      <x:c r="E4" s="276" t="s">
        <x:v>149</x:v>
      </x:c>
      <x:c r="F4" s="276"/>
      <x:c r="G4" s="133">
        <x:f>INT(C4*0.0275)</x:f>
        <x:v>82183</x:v>
      </x:c>
      <x:c r="H4" s="54" t="s">
        <x:v>20</x:v>
      </x:c>
      <x:c r="I4" s="124">
        <x:f>289575+30650+904000</x:f>
        <x:v>1224225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792000</x:v>
      </x:c>
      <x:c r="D5" s="261"/>
      <x:c r="E5" s="260" t="s">
        <x:v>70</x:v>
      </x:c>
      <x:c r="F5" s="260"/>
      <x:c r="G5" s="133">
        <x:f>INT(C5*0.01)</x:f>
        <x:v>7920</x:v>
      </x:c>
      <x:c r="H5" s="54" t="s">
        <x:v>6</x:v>
      </x:c>
      <x:c r="I5" s="124">
        <x:f>100000+69000+36000+44000+59312+39380+7360+13970+11380+3200+2450</x:f>
        <x:v>386052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840000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f>97600-48100</x:f>
        <x:v>49500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57600</x:v>
      </x:c>
      <x:c r="D8" s="261"/>
      <x:c r="E8" s="287" t="s">
        <x:v>110</x:v>
      </x:c>
      <x:c r="F8" s="288"/>
      <x:c r="G8" s="293">
        <x:f>C5+G2-G6-C22</x:f>
        <x:v>57600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>
        <x:v>13000</x:v>
      </x:c>
    </x:row>
    <x:row r="11" spans="1:16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  <x:c r="M11" s="52"/>
      <x:c r="N11" s="52"/>
      <x:c r="O11" s="52"/>
      <x:c r="P11" s="52"/>
    </x:row>
    <x:row r="12" spans="1:12" ht="21.949999999999999" customHeight="1">
      <x:c r="A12" s="59" t="s">
        <x:v>48</x:v>
      </x:c>
      <x:c r="B12" s="297" t="s">
        <x:v>42</x:v>
      </x:c>
      <x:c r="C12" s="79">
        <x:v>5</x:v>
      </x:c>
      <x:c r="D12" s="287" t="s">
        <x:v>133</x:v>
      </x:c>
      <x:c r="E12" s="288"/>
      <x:c r="F12" s="291">
        <x:v>8</x:v>
      </x:c>
      <x:c r="G12" s="292"/>
      <x:c r="H12" s="54" t="s">
        <x:v>102</x:v>
      </x:c>
      <x:c r="I12" s="58"/>
      <x:c r="J12" s="54"/>
      <x:c r="K12" s="58"/>
      <x:c r="L12" s="60"/>
    </x:row>
    <x:row r="13" spans="1:12" ht="21.949999999999999" customHeight="1">
      <x:c r="A13" s="59" t="s">
        <x:v>96</x:v>
      </x:c>
      <x:c r="B13" s="298"/>
      <x:c r="C13" s="134">
        <x:f>SUM('1:11'!$C$12)</x:f>
        <x:v>80</x:v>
      </x:c>
      <x:c r="D13" s="279"/>
      <x:c r="E13" s="280"/>
      <x:c r="F13" s="289">
        <x:f>SUM('1:11'!$F$12)</x:f>
        <x:v>29</x:v>
      </x:c>
      <x:c r="G13" s="290"/>
      <x:c r="H13" s="54" t="s">
        <x:v>126</x:v>
      </x:c>
      <x:c r="I13" s="58"/>
      <x:c r="J13" s="54"/>
      <x:c r="K13" s="58"/>
      <x:c r="L13" s="60"/>
    </x:row>
    <x:row r="14" spans="1:13" ht="21.949999999999999" customHeight="1">
      <x:c r="A14" s="59" t="s">
        <x:v>48</x:v>
      </x:c>
      <x:c r="B14" s="297" t="s">
        <x:v>64</x:v>
      </x:c>
      <x:c r="C14" s="79">
        <x:v>18</x:v>
      </x:c>
      <x:c r="D14" s="287" t="s">
        <x:v>95</x:v>
      </x:c>
      <x:c r="E14" s="288"/>
      <x:c r="F14" s="291">
        <x:v>6</x:v>
      </x:c>
      <x:c r="G14" s="292"/>
      <x:c r="H14" s="54" t="s">
        <x:v>111</x:v>
      </x:c>
      <x:c r="I14" s="58"/>
      <x:c r="J14" s="54"/>
      <x:c r="K14" s="58"/>
      <x:c r="L14" s="60"/>
      <x:c r="M14" s="53" t="s">
        <x:v>153</x:v>
      </x:c>
    </x:row>
    <x:row r="15" spans="1:12" ht="21.949999999999999" customHeight="1">
      <x:c r="A15" s="59" t="s">
        <x:v>96</x:v>
      </x:c>
      <x:c r="B15" s="298"/>
      <x:c r="C15" s="134">
        <x:f>SUM('1:11'!$C$14)</x:f>
        <x:v>271</x:v>
      </x:c>
      <x:c r="D15" s="279"/>
      <x:c r="E15" s="280"/>
      <x:c r="F15" s="289">
        <x:f>SUM('1:11'!$F$14)</x:f>
        <x:v>166</x:v>
      </x:c>
      <x:c r="G15" s="290"/>
      <x:c r="H15" s="54" t="s">
        <x:v>106</x:v>
      </x:c>
      <x:c r="I15" s="58">
        <x:f>52000+9800+4600+12500+4800+2550+28000+5500+37500+11500+10500+4000+1500+5000</x:f>
        <x:v>189750</x:v>
      </x:c>
      <x:c r="J15" s="54" t="s">
        <x:v>74</x:v>
      </x:c>
      <x:c r="K15" s="58"/>
      <x:c r="L15" s="60"/>
    </x:row>
    <x:row r="16" spans="1:12" ht="21.949999999999999" customHeight="1">
      <x:c r="A16" s="59" t="s">
        <x:v>48</x:v>
      </x:c>
      <x:c r="B16" s="297" t="s">
        <x:v>51</x:v>
      </x:c>
      <x:c r="C16" s="79">
        <x:v>6</x:v>
      </x:c>
      <x:c r="D16" s="287" t="s">
        <x:v>117</x:v>
      </x:c>
      <x:c r="E16" s="288"/>
      <x:c r="F16" s="285">
        <x:v>8</x:v>
      </x:c>
      <x:c r="G16" s="285"/>
      <x:c r="H16" s="54"/>
      <x:c r="I16" s="58"/>
      <x:c r="J16" s="54" t="s">
        <x:v>97</x:v>
      </x:c>
      <x:c r="K16" s="58"/>
      <x:c r="L16" s="60"/>
    </x:row>
    <x:row r="17" spans="1:12" ht="21.949999999999999" customHeight="1">
      <x:c r="A17" s="59" t="s">
        <x:v>96</x:v>
      </x:c>
      <x:c r="B17" s="298"/>
      <x:c r="C17" s="134">
        <x:f>SUM('1:11'!$C$16)</x:f>
        <x:v>93</x:v>
      </x:c>
      <x:c r="D17" s="279"/>
      <x:c r="E17" s="280"/>
      <x:c r="F17" s="286">
        <x:f>SUM('1:11'!$F$16)</x:f>
        <x:v>138</x:v>
      </x:c>
      <x:c r="G17" s="286"/>
      <x:c r="H17" s="54" t="s">
        <x:v>7</x:v>
      </x:c>
      <x:c r="I17" s="58"/>
      <x:c r="J17" s="54" t="s">
        <x:v>90</x:v>
      </x:c>
      <x:c r="K17" s="58">
        <x:v>4000</x:v>
      </x:c>
      <x:c r="L17" s="60"/>
    </x:row>
    <x:row r="18" spans="1:12" ht="21.949999999999999" customHeight="1">
      <x:c r="A18" s="59" t="s">
        <x:v>48</x:v>
      </x:c>
      <x:c r="B18" s="297" t="s">
        <x:v>91</x:v>
      </x:c>
      <x:c r="C18" s="79">
        <x:v>14</x:v>
      </x:c>
      <x:c r="D18" s="287" t="s">
        <x:v>130</x:v>
      </x:c>
      <x:c r="E18" s="288"/>
      <x:c r="F18" s="295">
        <x:v>3</x:v>
      </x:c>
      <x:c r="G18" s="296"/>
      <x:c r="H18" s="54"/>
      <x:c r="I18" s="58"/>
      <x:c r="J18" s="54"/>
      <x:c r="K18" s="58"/>
      <x:c r="L18" s="60"/>
    </x:row>
    <x:row r="19" spans="1:12" ht="21.949999999999999" customHeight="1">
      <x:c r="A19" s="59" t="s">
        <x:v>96</x:v>
      </x:c>
      <x:c r="B19" s="298"/>
      <x:c r="C19" s="134">
        <x:f>SUM('1:11'!$C$18)</x:f>
        <x:v>129</x:v>
      </x:c>
      <x:c r="D19" s="279"/>
      <x:c r="E19" s="280"/>
      <x:c r="F19" s="286">
        <x:f>SUM('1:11'!$F$18)</x:f>
        <x:v>76</x:v>
      </x:c>
      <x:c r="G19" s="286"/>
      <x:c r="H19" s="58"/>
      <x:c r="I19" s="58"/>
      <x:c r="J19" s="54"/>
      <x:c r="K19" s="58"/>
      <x:c r="L19" s="60"/>
    </x:row>
    <x:row r="20" spans="4:12" ht="21.949999999999999" customHeight="1">
      <x:c r="D20" s="260" t="s">
        <x:v>113</x:v>
      </x:c>
      <x:c r="E20" s="260"/>
      <x:c r="F20" s="285">
        <x:v>60</x:v>
      </x:c>
      <x:c r="G20" s="285"/>
      <x:c r="H20" s="58"/>
      <x:c r="J20" s="54"/>
      <x:c r="K20" s="58"/>
      <x:c r="L20" s="60"/>
    </x:row>
    <x:row r="21" spans="4:12" ht="21.949999999999999" customHeight="1">
      <x:c r="D21" s="260" t="s">
        <x:v>114</x:v>
      </x:c>
      <x:c r="E21" s="260"/>
      <x:c r="F21" s="286">
        <x:f>SUM('1:11'!$F$20)</x:f>
        <x:v>679</x:v>
      </x:c>
      <x:c r="G21" s="286"/>
      <x:c r="H21" s="58"/>
      <x:c r="J21" s="54"/>
      <x:c r="K21" s="58"/>
      <x:c r="L21" s="60"/>
    </x:row>
    <x:row r="22" spans="1:12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1911527</x:v>
      </x:c>
      <x:c r="J23" s="61" t="s">
        <x:v>119</x:v>
      </x:c>
      <x:c r="K23" s="62">
        <x:f>SUM(K4:K22)</x:f>
        <x:v>17000</x:v>
      </x:c>
      <x:c r="M23" s="88" t="s">
        <x:v>93</x:v>
      </x:c>
      <x:c r="N23" s="282">
        <x:f>C5+C6</x:f>
        <x:v>792000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0.50562809152228538</x:v>
      </x:c>
      <x:c r="J24" s="61" t="s">
        <x:v>8</x:v>
      </x:c>
      <x:c r="K24" s="63">
        <x:f>K23/A25</x:f>
        <x:v>0.004496759687871975</x:v>
      </x:c>
    </x:row>
    <x:row r="25" spans="1:11" ht="34.149999999999999" customHeight="1">
      <x:c r="A25" s="311">
        <x:f>C2</x:f>
        <x:v>3780500</x:v>
      </x:c>
      <x:c r="B25" s="275"/>
      <x:c r="C25" s="275">
        <x:f>E25/I1</x:f>
        <x:v>4233636.3636363633</x:v>
      </x:c>
      <x:c r="D25" s="275"/>
      <x:c r="E25" s="275">
        <x:f>SUM('1:11'!$A$25)</x:f>
        <x:v>46570000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SUM('1:11'!$K$21)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0.015665922267554221</x:v>
      </x:c>
      <x:c r="J26" s="64" t="s">
        <x:v>128</x:v>
      </x:c>
      <x:c r="K26" s="65">
        <x:f>K25/$E$25</x:f>
        <x:v>0</x:v>
      </x:c>
    </x:row>
    <x:row r="27" spans="1:9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811629.0322580646</x:v>
      </x:c>
    </x:row>
    <x:row r="28" spans="1:9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0.21468827728027101</x:v>
      </x:c>
    </x:row>
    <x:row r="29" spans="1:9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11700*5</x:f>
        <x:v>58500</x:v>
      </x:c>
      <x:c r="G29" s="261"/>
      <x:c r="H29" s="111" t="s">
        <x:v>33</x:v>
      </x:c>
      <x:c r="I29" s="112">
        <x:f>SUM('1:11'!$I$25)</x:f>
        <x:v>8025182</x:v>
      </x:c>
    </x:row>
    <x:row r="30" spans="1:9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9.8877463484429953</x:v>
      </x:c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>
        <x:f>13000*4</x:f>
        <x:v>52000</x:v>
      </x:c>
      <x:c r="D32" s="308"/>
      <x:c r="E32" s="55" t="s">
        <x:v>138</x:v>
      </x:c>
      <x:c r="F32" s="309"/>
      <x:c r="G32" s="310"/>
    </x:row>
    <x:row r="33" spans="1:3" customHeight="1">
      <x:c r="A33" s="318"/>
      <x:c r="B33" s="54" t="s">
        <x:v>21</x:v>
      </x:c>
      <x:c r="C33" s="132"/>
    </x:row>
    <x:row r="34" spans="1:4" customHeight="1">
      <x:c r="A34" s="319"/>
      <x:c r="B34" s="54" t="s">
        <x:v>57</x:v>
      </x:c>
      <x:c r="C34" s="307"/>
      <x:c r="D34" s="308"/>
    </x:row>
  </x:sheetData>
  <x:mergeCells count="73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abSelected="1" topLeftCell="A1" zoomScale="85" zoomScaleNormal="85" zoomScaleSheetLayoutView="75" workbookViewId="0">
      <x:selection activeCell="A1" activeCellId="0" sqref="A1:O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12</x:v>
      </x:c>
      <x:c r="G1" s="68" t="s">
        <x:v>62</x:v>
      </x:c>
      <x:c r="H1" s="52" t="s">
        <x:v>123</x:v>
      </x:c>
      <x:c r="I1" s="52">
        <x:f>F1-K1</x:f>
        <x:v>12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4315500</x:v>
      </x:c>
      <x:c r="D2" s="274"/>
      <x:c r="E2" s="277" t="s">
        <x:v>40</x:v>
      </x:c>
      <x:c r="F2" s="278"/>
      <x:c r="G2" s="266">
        <x:v>57600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3565500</x:v>
      </x:c>
      <x:c r="D4" s="261"/>
      <x:c r="E4" s="276" t="s">
        <x:v>149</x:v>
      </x:c>
      <x:c r="F4" s="276"/>
      <x:c r="G4" s="133">
        <x:f>INT(C4*0.0275)</x:f>
        <x:v>98051</x:v>
      </x:c>
      <x:c r="H4" s="54" t="s">
        <x:v>20</x:v>
      </x:c>
      <x:c r="I4" s="124">
        <x:f>836550+243100+480040+180712+296360</x:f>
        <x:v>2036762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750000</x:v>
      </x:c>
      <x:c r="D5" s="261"/>
      <x:c r="E5" s="260" t="s">
        <x:v>70</x:v>
      </x:c>
      <x:c r="F5" s="260"/>
      <x:c r="G5" s="133">
        <x:f>INT(C5*0.01)</x:f>
        <x:v>7500</x:v>
      </x:c>
      <x:c r="H5" s="54" t="s">
        <x:v>6</x:v>
      </x:c>
      <x:c r="I5" s="124">
        <x:f>16100+53350+45430+44000+29656+69000+36000</x:f>
        <x:v>293536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768000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39600</x:v>
      </x:c>
      <x:c r="D8" s="261"/>
      <x:c r="E8" s="287" t="s">
        <x:v>110</x:v>
      </x:c>
      <x:c r="F8" s="288"/>
      <x:c r="G8" s="293">
        <x:f>C5+G2-G6-C22</x:f>
        <x:v>39600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357" t="s">
        <x:v>156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17</x:v>
      </x:c>
      <x:c r="D12" s="287" t="s">
        <x:v>133</x:v>
      </x:c>
      <x:c r="E12" s="288"/>
      <x:c r="F12" s="291">
        <x:v>3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SUM('1:12'!$C$12)</x:f>
        <x:v>97</x:v>
      </x:c>
      <x:c r="D13" s="279"/>
      <x:c r="E13" s="280"/>
      <x:c r="F13" s="289">
        <x:f>SUM('1:12'!$F$12)</x:f>
        <x:v>32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19</x:v>
      </x:c>
      <x:c r="D14" s="287" t="s">
        <x:v>95</x:v>
      </x:c>
      <x:c r="E14" s="288"/>
      <x:c r="F14" s="291">
        <x:v>10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SUM('1:12'!$C$14)</x:f>
        <x:v>290</x:v>
      </x:c>
      <x:c r="D15" s="279"/>
      <x:c r="E15" s="280"/>
      <x:c r="F15" s="289">
        <x:f>SUM('1:12'!$F$14)</x:f>
        <x:v>176</x:v>
      </x:c>
      <x:c r="G15" s="290"/>
      <x:c r="H15" s="54" t="s">
        <x:v>106</x:v>
      </x:c>
      <x:c r="I15" s="58">
        <x:f>3500+22500+4900+28000+13000+10600+21000+4200+20000+8900</x:f>
        <x:v>136600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1</x:v>
      </x:c>
      <x:c r="D16" s="287" t="s">
        <x:v>117</x:v>
      </x:c>
      <x:c r="E16" s="288"/>
      <x:c r="F16" s="285">
        <x:v>5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SUM('1:12'!$C$16)</x:f>
        <x:v>94</x:v>
      </x:c>
      <x:c r="D17" s="279"/>
      <x:c r="E17" s="280"/>
      <x:c r="F17" s="286">
        <x:f>SUM('1:12'!$F$16)</x:f>
        <x:v>143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7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SUM('1:12'!$C$18)</x:f>
        <x:v>139</x:v>
      </x:c>
      <x:c r="D19" s="279"/>
      <x:c r="E19" s="280"/>
      <x:c r="F19" s="286">
        <x:f>SUM('1:12'!$F$18)</x:f>
        <x:v>83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327">
        <x:v>56</x:v>
      </x:c>
      <x:c r="G20" s="328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SUM('1:12'!$F$20)</x:f>
        <x:v>735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5"/>
      <x:c r="E23" s="315"/>
      <x:c r="F23" s="315"/>
      <x:c r="G23" s="315"/>
      <x:c r="H23" s="107" t="s">
        <x:v>94</x:v>
      </x:c>
      <x:c r="I23" s="108">
        <x:f>SUM(I4:I22)</x:f>
        <x:v>2466898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750000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0.57163665855636658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4315500</x:v>
      </x:c>
      <x:c r="B25" s="275"/>
      <x:c r="C25" s="275">
        <x:f>E25/I1</x:f>
        <x:v>4240458.333333333</x:v>
      </x:c>
      <x:c r="D25" s="275"/>
      <x:c r="E25" s="275">
        <x:f>SUM('1:12'!$A$25)</x:f>
        <x:v>50885500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SUM('1:12'!$K$21)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0.014337325957296284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356">
        <x:f>13000*5</x:f>
        <x:v>65000</x:v>
      </x:c>
      <x:c r="G27" s="356"/>
      <x:c r="H27" s="111" t="s">
        <x:v>118</x:v>
      </x:c>
      <x:c r="I27" s="112">
        <x:f>SUM(C27:D34,F27:G32)</x:f>
        <x:v>803929.0322580646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358">
        <x:f>1500000/31</x:f>
        <x:v>48387.096774193546</x:v>
      </x:c>
      <x:c r="G28" s="358"/>
      <x:c r="H28" s="111" t="s">
        <x:v>8</x:v>
      </x:c>
      <x:c r="I28" s="113">
        <x:f>I27/$A$25</x:f>
        <x:v>0.18628873415781824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</x:f>
        <x:v>46800</x:v>
      </x:c>
      <x:c r="G29" s="261"/>
      <x:c r="H29" s="111" t="s">
        <x:v>33</x:v>
      </x:c>
      <x:c r="I29" s="112">
        <x:f>SUM('1:12'!$I$25)</x:f>
        <x:v>8754744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10.889946312064135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>
        <x:f>14000*4</x:f>
        <x:v>56000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abSelected="1" topLeftCell="A25" zoomScale="85" zoomScaleNormal="85" zoomScaleSheetLayoutView="75" workbookViewId="0">
      <x:selection activeCell="L29" activeCellId="0" sqref="L29:L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13</x:v>
      </x:c>
      <x:c r="G1" s="68" t="s">
        <x:v>27</x:v>
      </x:c>
      <x:c r="H1" s="52" t="s">
        <x:v>123</x:v>
      </x:c>
      <x:c r="I1" s="52">
        <x:f>F1-K1</x:f>
        <x:v>13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5222000</x:v>
      </x:c>
      <x:c r="D2" s="274"/>
      <x:c r="E2" s="277" t="s">
        <x:v>40</x:v>
      </x:c>
      <x:c r="F2" s="278"/>
      <x:c r="G2" s="266">
        <x:v>39600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4431000</x:v>
      </x:c>
      <x:c r="D4" s="261"/>
      <x:c r="E4" s="276" t="s">
        <x:v>149</x:v>
      </x:c>
      <x:c r="F4" s="276"/>
      <x:c r="G4" s="133">
        <x:f>INT(C4*0.0275)</x:f>
        <x:v>121852</x:v>
      </x:c>
      <x:c r="H4" s="54" t="s">
        <x:v>20</x:v>
      </x:c>
      <x:c r="I4" s="124">
        <x:f>282150+56220+477600+190393+10+452000</x:f>
        <x:v>1458373</x:v>
      </x:c>
      <x:c r="J4" s="80" t="s">
        <x:v>36</x:v>
      </x:c>
      <x:c r="K4" s="58">
        <x:v>225000</x:v>
      </x:c>
    </x:row>
    <x:row r="5" spans="1:11" ht="30.949999999999999" customHeight="1">
      <x:c r="A5" s="268" t="s">
        <x:v>61</x:v>
      </x:c>
      <x:c r="B5" s="269"/>
      <x:c r="C5" s="261">
        <x:v>791000</x:v>
      </x:c>
      <x:c r="D5" s="261"/>
      <x:c r="E5" s="260" t="s">
        <x:v>70</x:v>
      </x:c>
      <x:c r="F5" s="260"/>
      <x:c r="G5" s="133">
        <x:f>INT(C5*0.01)</x:f>
        <x:v>7910</x:v>
      </x:c>
      <x:c r="H5" s="54" t="s">
        <x:v>6</x:v>
      </x:c>
      <x:c r="I5" s="124">
        <x:f>50000+34500+36000</x:f>
        <x:v>120500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670000</x:v>
      </x:c>
      <x:c r="H6" s="54"/>
      <x:c r="I6" s="124"/>
      <x:c r="J6" s="81" t="s">
        <x:v>127</x:v>
      </x:c>
      <x:c r="K6" s="58">
        <x:v>12500</x:v>
      </x:c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160600</x:v>
      </x:c>
      <x:c r="D8" s="261"/>
      <x:c r="E8" s="287" t="s">
        <x:v>110</x:v>
      </x:c>
      <x:c r="F8" s="288"/>
      <x:c r="G8" s="293">
        <x:f>C5+G2-G6-C22</x:f>
        <x:v>160600</x:v>
      </x:c>
      <x:c r="H8" s="54" t="s">
        <x:v>45</x:v>
      </x:c>
      <x:c r="I8" s="124">
        <x:v>60000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10</x:v>
      </x:c>
      <x:c r="D12" s="287" t="s">
        <x:v>133</x:v>
      </x:c>
      <x:c r="E12" s="288"/>
      <x:c r="F12" s="291">
        <x:v>8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SUM('1:13'!$C$12)</x:f>
        <x:v>107</x:v>
      </x:c>
      <x:c r="D13" s="279"/>
      <x:c r="E13" s="280"/>
      <x:c r="F13" s="289">
        <x:f>SUM('1:13'!$F$12)</x:f>
        <x:v>40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35</x:v>
      </x:c>
      <x:c r="D14" s="287" t="s">
        <x:v>95</x:v>
      </x:c>
      <x:c r="E14" s="288"/>
      <x:c r="F14" s="291">
        <x:v>16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SUM('1:13'!$C$14)</x:f>
        <x:v>325</x:v>
      </x:c>
      <x:c r="D15" s="279"/>
      <x:c r="E15" s="280"/>
      <x:c r="F15" s="289">
        <x:f>SUM('1:13'!$F$14)</x:f>
        <x:v>192</x:v>
      </x:c>
      <x:c r="G15" s="290"/>
      <x:c r="H15" s="54" t="s">
        <x:v>106</x:v>
      </x:c>
      <x:c r="I15" s="58">
        <x:f>37500+11000+6200+9800+4800+10500+13500+7500+14000</x:f>
        <x:v>114800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6</x:v>
      </x:c>
      <x:c r="D16" s="287" t="s">
        <x:v>117</x:v>
      </x:c>
      <x:c r="E16" s="288"/>
      <x:c r="F16" s="285">
        <x:v>22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SUM('1:13'!$C$16)</x:f>
        <x:v>100</x:v>
      </x:c>
      <x:c r="D17" s="279"/>
      <x:c r="E17" s="280"/>
      <x:c r="F17" s="286">
        <x:f>SUM('1:13'!$F$16)</x:f>
        <x:v>165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3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SUM('1:13'!$C$18)</x:f>
        <x:v>149</x:v>
      </x:c>
      <x:c r="D19" s="279"/>
      <x:c r="E19" s="280"/>
      <x:c r="F19" s="286">
        <x:f>SUM('1:13'!$F$18)</x:f>
        <x:v>86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SUM('1:13'!$F$20)</x:f>
        <x:v>796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1753673</x:v>
      </x:c>
      <x:c r="J23" s="61" t="s">
        <x:v>119</x:v>
      </x:c>
      <x:c r="K23" s="62">
        <x:f>SUM(K4:K22)</x:f>
        <x:v>237500</x:v>
      </x:c>
      <x:c r="M23" s="88" t="s">
        <x:v>93</x:v>
      </x:c>
      <x:c r="N23" s="282">
        <x:f>C5+C6</x:f>
        <x:v>791000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0.33582401378782079</x:v>
      </x:c>
      <x:c r="J24" s="61" t="s">
        <x:v>8</x:v>
      </x:c>
      <x:c r="K24" s="63">
        <x:f>K23/A25</x:f>
        <x:v>0.045480658751436233</x:v>
      </x:c>
    </x:row>
    <x:row r="25" spans="1:11" ht="34.149999999999999" customHeight="1">
      <x:c r="A25" s="311">
        <x:f>C2</x:f>
        <x:v>5222000</x:v>
      </x:c>
      <x:c r="B25" s="275"/>
      <x:c r="C25" s="275">
        <x:f>E25/I1</x:f>
        <x:v>4315961.538461538</x:v>
      </x:c>
      <x:c r="D25" s="275"/>
      <x:c r="E25" s="275">
        <x:f>SUM('1:13'!$A$25)</x:f>
        <x:v>56107500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SUM('1:13'!$K$21)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0.013002931871853139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817779.0322580646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0.15660264884298442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11700*4.5</x:f>
        <x:v>52650</x:v>
      </x:c>
      <x:c r="G29" s="261"/>
      <x:c r="H29" s="111" t="s">
        <x:v>33</x:v>
      </x:c>
      <x:c r="I29" s="112">
        <x:f>SUM('1:13'!$I$25)</x:f>
        <x:v>9484306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11.597639002569903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abSelected="1" topLeftCell="A26" zoomScale="85" zoomScaleNormal="85" zoomScaleSheetLayoutView="75" workbookViewId="0">
      <x:selection activeCell="F29" activeCellId="0" sqref="F29:G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14</x:v>
      </x:c>
      <x:c r="G1" s="68" t="s">
        <x:v>50</x:v>
      </x:c>
      <x:c r="H1" s="52" t="s">
        <x:v>123</x:v>
      </x:c>
      <x:c r="I1" s="52">
        <x:f>F1-K1</x:f>
        <x:v>14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4235000</x:v>
      </x:c>
      <x:c r="D2" s="274"/>
      <x:c r="E2" s="277" t="s">
        <x:v>40</x:v>
      </x:c>
      <x:c r="F2" s="278"/>
      <x:c r="G2" s="266">
        <x:v>160600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4031000</x:v>
      </x:c>
      <x:c r="D4" s="261"/>
      <x:c r="E4" s="276" t="s">
        <x:v>149</x:v>
      </x:c>
      <x:c r="F4" s="276"/>
      <x:c r="G4" s="133">
        <x:f>INT(C4*0.0275)</x:f>
        <x:v>110852</x:v>
      </x:c>
      <x:c r="H4" s="54" t="s">
        <x:v>20</x:v>
      </x:c>
      <x:c r="I4" s="124">
        <x:f>294525+43500+452000</x:f>
        <x:v>790025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204000</x:v>
      </x:c>
      <x:c r="D5" s="261"/>
      <x:c r="E5" s="260" t="s">
        <x:v>70</x:v>
      </x:c>
      <x:c r="F5" s="260"/>
      <x:c r="G5" s="133">
        <x:f>INT(C5*0.01)</x:f>
        <x:v>2040</x:v>
      </x:c>
      <x:c r="H5" s="54" t="s">
        <x:v>6</x:v>
      </x:c>
      <x:c r="I5" s="124">
        <x:f>44000+29656+50000+69000+36000+7360+13970+3200+24720</x:f>
        <x:v>277906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300000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f>509800-62900</x:f>
        <x:v>446900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64600</x:v>
      </x:c>
      <x:c r="D8" s="261"/>
      <x:c r="E8" s="287" t="s">
        <x:v>110</x:v>
      </x:c>
      <x:c r="F8" s="288"/>
      <x:c r="G8" s="293">
        <x:f>C5+G2-G6-C22</x:f>
        <x:v>64600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8</x:v>
      </x:c>
      <x:c r="D12" s="287" t="s">
        <x:v>133</x:v>
      </x:c>
      <x:c r="E12" s="288"/>
      <x:c r="F12" s="291">
        <x:v>6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SUM('1:14'!$C$12)</x:f>
        <x:v>115</x:v>
      </x:c>
      <x:c r="D13" s="279"/>
      <x:c r="E13" s="280"/>
      <x:c r="F13" s="289">
        <x:f>SUM('1:14'!$F$12)</x:f>
        <x:v>46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24</x:v>
      </x:c>
      <x:c r="D14" s="287" t="s">
        <x:v>95</x:v>
      </x:c>
      <x:c r="E14" s="288"/>
      <x:c r="F14" s="291">
        <x:v>9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SUM('1:14'!$C$14)</x:f>
        <x:v>349</x:v>
      </x:c>
      <x:c r="D15" s="279"/>
      <x:c r="E15" s="280"/>
      <x:c r="F15" s="289">
        <x:f>SUM('1:14'!$F$14)</x:f>
        <x:v>201</x:v>
      </x:c>
      <x:c r="G15" s="290"/>
      <x:c r="H15" s="54" t="s">
        <x:v>106</x:v>
      </x:c>
      <x:c r="I15" s="58">
        <x:f>37500+15000+4800+12500+4900</x:f>
        <x:v>74700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6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SUM('1:14'!$C$16)</x:f>
        <x:v>106</x:v>
      </x:c>
      <x:c r="D17" s="279"/>
      <x:c r="E17" s="280"/>
      <x:c r="F17" s="286">
        <x:f>SUM('1:14'!$F$16)</x:f>
        <x:v>179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12</x:v>
      </x:c>
      <x:c r="D18" s="287" t="s">
        <x:v>130</x:v>
      </x:c>
      <x:c r="E18" s="288"/>
      <x:c r="F18" s="295">
        <x:v>3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SUM('1:14'!$C$18)</x:f>
        <x:v>161</x:v>
      </x:c>
      <x:c r="D19" s="279"/>
      <x:c r="E19" s="280"/>
      <x:c r="F19" s="286">
        <x:f>SUM('1:14'!$F$18)</x:f>
        <x:v>89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SUM('1:14'!$F$20)</x:f>
        <x:v>859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1651531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204000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0.38997190082644628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4235000</x:v>
      </x:c>
      <x:c r="B25" s="275"/>
      <x:c r="C25" s="275">
        <x:f>E25/I1</x:f>
        <x:v>4310178.5714285718</x:v>
      </x:c>
      <x:c r="D25" s="275"/>
      <x:c r="E25" s="275">
        <x:f>SUM('1:14'!$A$25)</x:f>
        <x:v>60342500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SUM('1:14'!$K$21)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0.012090350913535237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13000*4</x:f>
        <x:v>52000</x:v>
      </x:c>
      <x:c r="G27" s="261"/>
      <x:c r="H27" s="111" t="s">
        <x:v>118</x:v>
      </x:c>
      <x:c r="I27" s="112">
        <x:f>SUM(C27:D34,F27:G32)</x:f>
        <x:v>939429.0322580646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0.22182503713295504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</x:f>
        <x:v>46800</x:v>
      </x:c>
      <x:c r="G29" s="261"/>
      <x:c r="H29" s="111" t="s">
        <x:v>33</x:v>
      </x:c>
      <x:c r="I29" s="112">
        <x:f>SUM('1:14'!$I$25)</x:f>
        <x:v>10213868</x:v>
      </x:c>
      <x:c r="M29" s="66" t="s">
        <x:v>63</x:v>
      </x:c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10.872421065643852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29</x:v>
      </x:c>
      <x:c r="C32" s="307">
        <x:f>14000*4</x:f>
        <x:v>56000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13000*10.5</x:f>
        <x:v>136500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abSelected="1" topLeftCell="A26" zoomScale="85" zoomScaleNormal="85" zoomScaleSheetLayoutView="75" workbookViewId="0">
      <x:selection activeCell="L35" activeCellId="0" sqref="L35:L35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15</x:v>
      </x:c>
      <x:c r="G1" s="68" t="s">
        <x:v>28</x:v>
      </x:c>
      <x:c r="H1" s="52" t="s">
        <x:v>123</x:v>
      </x:c>
      <x:c r="I1" s="52">
        <x:f>F1-K1</x:f>
        <x:v>15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5274000</x:v>
      </x:c>
      <x:c r="D2" s="274"/>
      <x:c r="E2" s="277" t="s">
        <x:v>40</x:v>
      </x:c>
      <x:c r="F2" s="278"/>
      <x:c r="G2" s="266">
        <x:v>64600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4375000</x:v>
      </x:c>
      <x:c r="D4" s="261"/>
      <x:c r="E4" s="276" t="s">
        <x:v>149</x:v>
      </x:c>
      <x:c r="F4" s="276"/>
      <x:c r="G4" s="133"/>
      <x:c r="H4" s="54" t="s">
        <x:v>20</x:v>
      </x:c>
      <x:c r="I4" s="124">
        <x:f>267680+294525+452000+499678+174258</x:f>
        <x:v>1688141</x:v>
      </x:c>
      <x:c r="J4" s="80" t="s">
        <x:v>36</x:v>
      </x:c>
      <x:c r="K4" s="58"/>
    </x:row>
    <x:row r="5" spans="1:13" ht="30.949999999999999" customHeight="1">
      <x:c r="A5" s="268" t="s">
        <x:v>61</x:v>
      </x:c>
      <x:c r="B5" s="269"/>
      <x:c r="C5" s="261">
        <x:v>899000</x:v>
      </x:c>
      <x:c r="D5" s="261"/>
      <x:c r="E5" s="260" t="s">
        <x:v>70</x:v>
      </x:c>
      <x:c r="F5" s="260"/>
      <x:c r="G5" s="133">
        <x:f>INT(C5*0.01)</x:f>
        <x:v>8990</x:v>
      </x:c>
      <x:c r="H5" s="54" t="s">
        <x:v>6</x:v>
      </x:c>
      <x:c r="I5" s="124">
        <x:f>49500+39490+44000+39380+50000+34500+36000</x:f>
        <x:v>292870</x:v>
      </x:c>
      <x:c r="J5" s="81"/>
      <x:c r="K5" s="58"/>
      <x:c r="M5" s="136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900000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63700</x:v>
      </x:c>
      <x:c r="D8" s="261"/>
      <x:c r="E8" s="287" t="s">
        <x:v>110</x:v>
      </x:c>
      <x:c r="F8" s="288"/>
      <x:c r="G8" s="293">
        <x:f>C5+G2-G6-C22</x:f>
        <x:v>63600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10</x:v>
      </x:c>
      <x:c r="D12" s="287" t="s">
        <x:v>133</x:v>
      </x:c>
      <x:c r="E12" s="288"/>
      <x:c r="F12" s="291">
        <x:v>18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SUM('1:15'!$C$12)</x:f>
        <x:v>125</x:v>
      </x:c>
      <x:c r="D13" s="279"/>
      <x:c r="E13" s="280"/>
      <x:c r="F13" s="289">
        <x:f>SUM('1:15'!$F$12)</x:f>
        <x:v>64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59</x:v>
      </x:c>
      <x:c r="D14" s="287" t="s">
        <x:v>95</x:v>
      </x:c>
      <x:c r="E14" s="288"/>
      <x:c r="F14" s="291">
        <x:v>24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SUM('1:15'!$C$14)</x:f>
        <x:v>408</x:v>
      </x:c>
      <x:c r="D15" s="279"/>
      <x:c r="E15" s="280"/>
      <x:c r="F15" s="289">
        <x:f>SUM('1:15'!$F$14)</x:f>
        <x:v>225</x:v>
      </x:c>
      <x:c r="G15" s="290"/>
      <x:c r="H15" s="54" t="s">
        <x:v>106</x:v>
      </x:c>
      <x:c r="I15" s="58">
        <x:f>75000+22500+14700+11000+6200+52000+10600+21000+28000+3500+2550+2450+4500+10500</x:f>
        <x:v>264500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12</x:v>
      </x:c>
      <x:c r="D16" s="287" t="s">
        <x:v>117</x:v>
      </x:c>
      <x:c r="E16" s="288"/>
      <x:c r="F16" s="285">
        <x:v>10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SUM('1:15'!$C$16)</x:f>
        <x:v>118</x:v>
      </x:c>
      <x:c r="D17" s="279"/>
      <x:c r="E17" s="280"/>
      <x:c r="F17" s="286">
        <x:f>SUM('1:15'!$F$16)</x:f>
        <x:v>189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17</x:v>
      </x:c>
      <x:c r="D18" s="287" t="s">
        <x:v>130</x:v>
      </x:c>
      <x:c r="E18" s="288"/>
      <x:c r="F18" s="295">
        <x:v>6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SUM('1:15'!$C$18)</x:f>
        <x:v>178</x:v>
      </x:c>
      <x:c r="D19" s="279"/>
      <x:c r="E19" s="280"/>
      <x:c r="F19" s="286">
        <x:f>SUM('1:15'!$F$18)</x:f>
        <x:v>95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71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SUM('1:15'!$F$20)</x:f>
        <x:v>930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2245511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899000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0.4257700037921881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5274000</x:v>
      </x:c>
      <x:c r="B25" s="275"/>
      <x:c r="C25" s="275">
        <x:f>E25/I1</x:f>
        <x:v>4374433.333333333</x:v>
      </x:c>
      <x:c r="D25" s="275"/>
      <x:c r="E25" s="275">
        <x:f>SUM('1:15'!$A$25)</x:f>
        <x:v>65616500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SUM('1:15'!$K$21)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0.011118575358332126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13000*4</x:f>
        <x:v>52000</x:v>
      </x:c>
      <x:c r="G27" s="261"/>
      <x:c r="H27" s="111" t="s">
        <x:v>118</x:v>
      </x:c>
      <x:c r="I27" s="112">
        <x:f>SUM(C27:D34,F27:G32)</x:f>
        <x:v>766129.0322580646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0.14526526967350487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SUM('1:15'!$I$25)</x:f>
        <x:v>10943430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14.284055999999998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142000</x:v>
      </x:c>
      <x:c r="G31" s="310"/>
    </x:row>
    <x:row r="32" spans="1:7" customHeight="1">
      <x:c r="A32" s="318"/>
      <x:c r="B32" s="54" t="s">
        <x:v>29</x:v>
      </x:c>
      <x:c r="C32" s="307">
        <x:f>14000*4</x:f>
        <x:v>56000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abSelected="1" topLeftCell="A26" zoomScale="85" zoomScaleNormal="85" zoomScaleSheetLayoutView="75" workbookViewId="0">
      <x:selection activeCell="A1" activeCellId="0" sqref="A1:K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16</x:v>
      </x:c>
      <x:c r="G1" s="68" t="s">
        <x:v>18</x:v>
      </x:c>
      <x:c r="H1" s="52" t="s">
        <x:v>123</x:v>
      </x:c>
      <x:c r="I1" s="52">
        <x:f>F1-K1</x:f>
        <x:v>16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5055500</x:v>
      </x:c>
      <x:c r="D2" s="274"/>
      <x:c r="E2" s="277" t="s">
        <x:v>40</x:v>
      </x:c>
      <x:c r="F2" s="278"/>
      <x:c r="G2" s="266">
        <x:v>63700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2" ht="30.949999999999999" customHeight="1">
      <x:c r="A4" s="268" t="s">
        <x:v>22</x:v>
      </x:c>
      <x:c r="B4" s="269"/>
      <x:c r="C4" s="261">
        <x:v>3627500</x:v>
      </x:c>
      <x:c r="D4" s="261"/>
      <x:c r="E4" s="276" t="s">
        <x:v>149</x:v>
      </x:c>
      <x:c r="F4" s="276"/>
      <x:c r="G4" s="133">
        <x:f>INT(C4*0.0275)</x:f>
        <x:v>99756</x:v>
      </x:c>
      <x:c r="H4" s="54" t="s">
        <x:v>20</x:v>
      </x:c>
      <x:c r="I4" s="124">
        <x:f>452000</x:f>
        <x:v>452000</x:v>
      </x:c>
      <x:c r="J4" s="80" t="s">
        <x:v>36</x:v>
      </x:c>
      <x:c r="K4" s="58"/>
      <x:c r="L4" s="97"/>
    </x:row>
    <x:row r="5" spans="1:11" ht="30.949999999999999" customHeight="1">
      <x:c r="A5" s="268" t="s">
        <x:v>61</x:v>
      </x:c>
      <x:c r="B5" s="269"/>
      <x:c r="C5" s="261">
        <x:v>1428000</x:v>
      </x:c>
      <x:c r="D5" s="261"/>
      <x:c r="E5" s="260" t="s">
        <x:v>70</x:v>
      </x:c>
      <x:c r="F5" s="260"/>
      <x:c r="G5" s="133">
        <x:f>INT(C5*0.01)</x:f>
        <x:v>14280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1350000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141700</x:v>
      </x:c>
      <x:c r="D8" s="261"/>
      <x:c r="E8" s="287" t="s">
        <x:v>110</x:v>
      </x:c>
      <x:c r="F8" s="288"/>
      <x:c r="G8" s="293">
        <x:f>C5+G2-G6-C22</x:f>
        <x:v>141700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5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SUM('1:16'!$C$12)</x:f>
        <x:v>130</x:v>
      </x:c>
      <x:c r="D13" s="279"/>
      <x:c r="E13" s="280"/>
      <x:c r="F13" s="289">
        <x:f>SUM('1:16'!$F$12)</x:f>
        <x:v>65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29</x:v>
      </x:c>
      <x:c r="D14" s="287" t="s">
        <x:v>95</x:v>
      </x:c>
      <x:c r="E14" s="288"/>
      <x:c r="F14" s="291">
        <x:v>19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SUM('1:16'!$C$14)</x:f>
        <x:v>437</x:v>
      </x:c>
      <x:c r="D15" s="279"/>
      <x:c r="E15" s="280"/>
      <x:c r="F15" s="289">
        <x:f>SUM('1:16'!$F$14)</x:f>
        <x:v>244</x:v>
      </x:c>
      <x:c r="G15" s="290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3</x:v>
      </x:c>
      <x:c r="D16" s="287" t="s">
        <x:v>117</x:v>
      </x:c>
      <x:c r="E16" s="288"/>
      <x:c r="F16" s="285">
        <x:v>17</x:v>
      </x:c>
      <x:c r="G16" s="285"/>
      <x:c r="H16" s="54"/>
      <x:c r="I16" s="58"/>
      <x:c r="J16" s="54" t="s">
        <x:v>97</x:v>
      </x:c>
      <x:c r="K16" s="58">
        <x:v>189965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SUM('1:16'!$C$16)</x:f>
        <x:v>121</x:v>
      </x:c>
      <x:c r="D17" s="279"/>
      <x:c r="E17" s="280"/>
      <x:c r="F17" s="286">
        <x:f>SUM('1:16'!$F$16)</x:f>
        <x:v>206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8</x:v>
      </x:c>
      <x:c r="D18" s="287" t="s">
        <x:v>130</x:v>
      </x:c>
      <x:c r="E18" s="288"/>
      <x:c r="F18" s="295">
        <x:v>7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SUM('1:16'!$C$18)</x:f>
        <x:v>186</x:v>
      </x:c>
      <x:c r="D19" s="279"/>
      <x:c r="E19" s="280"/>
      <x:c r="F19" s="286">
        <x:f>SUM('1:16'!$F$18)</x:f>
        <x:v>102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69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SUM('1:16'!$F$20)</x:f>
        <x:v>999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452000</x:v>
      </x:c>
      <x:c r="J23" s="61" t="s">
        <x:v>119</x:v>
      </x:c>
      <x:c r="K23" s="62">
        <x:f>SUM(K4:K22)</x:f>
        <x:v>189965</x:v>
      </x:c>
      <x:c r="M23" s="88" t="s">
        <x:v>93</x:v>
      </x:c>
      <x:c r="N23" s="282">
        <x:f>C5+C6</x:f>
        <x:v>1428000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0.089407575907427553</x:v>
      </x:c>
      <x:c r="J24" s="61" t="s">
        <x:v>8</x:v>
      </x:c>
      <x:c r="K24" s="63">
        <x:f>K23/A25</x:f>
        <x:v>0.03757590742755415</x:v>
      </x:c>
    </x:row>
    <x:row r="25" spans="1:11" ht="34.149999999999999" customHeight="1">
      <x:c r="A25" s="311">
        <x:f>C2</x:f>
        <x:v>5055500</x:v>
      </x:c>
      <x:c r="B25" s="275"/>
      <x:c r="C25" s="275">
        <x:f>E25/I1</x:f>
        <x:v>4417000</x:v>
      </x:c>
      <x:c r="D25" s="275"/>
      <x:c r="E25" s="275">
        <x:f>SUM('1:16'!$A$25)</x:f>
        <x:v>70672000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SUM('1:16'!$K$21)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0.01032321145573919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/>
      <x:c r="G27" s="261"/>
      <x:c r="H27" s="111" t="s">
        <x:v>118</x:v>
      </x:c>
      <x:c r="I27" s="112">
        <x:f>SUM(C27:D34,F27:G32)</x:f>
        <x:v>758129.0322580646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0.14996123672397677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SUM('1:16'!$I$25)</x:f>
        <x:v>11672992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15.397104586843671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abSelected="1" topLeftCell="A25" zoomScale="85" zoomScaleNormal="85" zoomScaleSheetLayoutView="75" workbookViewId="0">
      <x:selection activeCell="M28" activeCellId="0" sqref="M28:M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17</x:v>
      </x:c>
      <x:c r="G1" s="68" t="s">
        <x:v>162</x:v>
      </x:c>
      <x:c r="H1" s="52" t="s">
        <x:v>123</x:v>
      </x:c>
      <x:c r="I1" s="52">
        <x:f>F1-K1</x:f>
        <x:v>17</x:v>
      </x:c>
      <x:c r="J1" s="52" t="s">
        <x:v>98</x:v>
      </x:c>
      <x:c r="K1" s="52"/>
    </x:row>
    <x:row r="2" spans="1:11" ht="20.100000000000001" customHeight="1">
      <x:c r="A2" s="329" t="s">
        <x:v>9</x:v>
      </x:c>
      <x:c r="B2" s="330"/>
      <x:c r="C2" s="333">
        <x:f>SUM(C4:D7)</x:f>
        <x:v>4924000</x:v>
      </x:c>
      <x:c r="D2" s="334"/>
      <x:c r="E2" s="277" t="s">
        <x:v>40</x:v>
      </x:c>
      <x:c r="F2" s="278"/>
      <x:c r="G2" s="266">
        <x:v>141700</x:v>
      </x:c>
      <x:c r="H2" s="337" t="s">
        <x:v>6</x:v>
      </x:c>
      <x:c r="I2" s="338"/>
      <x:c r="J2" s="262" t="s">
        <x:v>74</x:v>
      </x:c>
      <x:c r="K2" s="326"/>
    </x:row>
    <x:row r="3" spans="1:11" ht="20.100000000000001" customHeight="1">
      <x:c r="A3" s="331"/>
      <x:c r="B3" s="332"/>
      <x:c r="C3" s="335"/>
      <x:c r="D3" s="336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340" t="s">
        <x:v>22</x:v>
      </x:c>
      <x:c r="B4" s="341"/>
      <x:c r="C4" s="309">
        <x:v>3245000</x:v>
      </x:c>
      <x:c r="D4" s="310"/>
      <x:c r="E4" s="342" t="s">
        <x:v>149</x:v>
      </x:c>
      <x:c r="F4" s="343"/>
      <x:c r="G4" s="133">
        <x:f>INT(C4*0.0275)</x:f>
        <x:v>89237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340" t="s">
        <x:v>61</x:v>
      </x:c>
      <x:c r="B5" s="341"/>
      <x:c r="C5" s="309">
        <x:v>1679000</x:v>
      </x:c>
      <x:c r="D5" s="310"/>
      <x:c r="E5" s="291" t="s">
        <x:v>70</x:v>
      </x:c>
      <x:c r="F5" s="292"/>
      <x:c r="G5" s="133">
        <x:f>INT(C5*0.01)</x:f>
        <x:v>16790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1559000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347" t="s">
        <x:v>134</x:v>
      </x:c>
      <x:c r="B8" s="288"/>
      <x:c r="C8" s="300">
        <x:v>261700</x:v>
      </x:c>
      <x:c r="D8" s="301"/>
      <x:c r="E8" s="287" t="s">
        <x:v>110</x:v>
      </x:c>
      <x:c r="F8" s="288"/>
      <x:c r="G8" s="293">
        <x:f>C5+G2-G6-C22</x:f>
        <x:v>261700</x:v>
      </x:c>
      <x:c r="H8" s="54" t="s">
        <x:v>45</x:v>
      </x:c>
      <x:c r="I8" s="124"/>
      <x:c r="J8" s="81"/>
      <x:c r="K8" s="58"/>
    </x:row>
    <x:row r="9" spans="1:11" ht="21.949999999999999" customHeight="1">
      <x:c r="A9" s="348"/>
      <x:c r="B9" s="280"/>
      <x:c r="C9" s="302"/>
      <x:c r="D9" s="303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339" t="s">
        <x:v>143</x:v>
      </x:c>
      <x:c r="B10" s="292"/>
      <x:c r="C10" s="309"/>
      <x:c r="D10" s="310"/>
      <x:c r="E10" s="291" t="s">
        <x:v>87</x:v>
      </x:c>
      <x:c r="F10" s="292"/>
      <x:c r="G10" s="55"/>
      <x:c r="H10" s="54"/>
      <x:c r="I10" s="124"/>
      <x:c r="J10" s="54" t="s">
        <x:v>53</x:v>
      </x:c>
      <x:c r="K10" s="58"/>
    </x:row>
    <x:row r="11" spans="1:11" ht="33" customHeight="1">
      <x:c r="A11" s="339" t="s">
        <x:v>103</x:v>
      </x:c>
      <x:c r="B11" s="292"/>
      <x:c r="C11" s="344" t="s">
        <x:v>145</x:v>
      </x:c>
      <x:c r="D11" s="345"/>
      <x:c r="E11" s="345"/>
      <x:c r="F11" s="345"/>
      <x:c r="G11" s="346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10</x:v>
      </x:c>
      <x:c r="D12" s="287" t="s">
        <x:v>133</x:v>
      </x:c>
      <x:c r="E12" s="288"/>
      <x:c r="F12" s="291">
        <x:v>13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SUM('1:17'!$C$12)</x:f>
        <x:v>140</x:v>
      </x:c>
      <x:c r="D13" s="279"/>
      <x:c r="E13" s="280"/>
      <x:c r="F13" s="289">
        <x:f>SUM('1:17'!$F$12)</x:f>
        <x:v>78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33</x:v>
      </x:c>
      <x:c r="D14" s="287" t="s">
        <x:v>95</x:v>
      </x:c>
      <x:c r="E14" s="288"/>
      <x:c r="F14" s="291">
        <x:v>23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SUM('1:17'!$C$14)</x:f>
        <x:v>470</x:v>
      </x:c>
      <x:c r="D15" s="279"/>
      <x:c r="E15" s="280"/>
      <x:c r="F15" s="289">
        <x:f>SUM('1:17'!$F$14)</x:f>
        <x:v>267</x:v>
      </x:c>
      <x:c r="G15" s="290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327">
        <x:v>14</x:v>
      </x:c>
      <x:c r="G16" s="328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SUM('1:17'!$C$16)</x:f>
        <x:v>130</x:v>
      </x:c>
      <x:c r="D17" s="279"/>
      <x:c r="E17" s="280"/>
      <x:c r="F17" s="289">
        <x:f>SUM('1:17'!$F$16)</x:f>
        <x:v>220</x:v>
      </x:c>
      <x:c r="G17" s="290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28</x:v>
      </x:c>
      <x:c r="D18" s="287" t="s">
        <x:v>130</x:v>
      </x:c>
      <x:c r="E18" s="288"/>
      <x:c r="F18" s="327">
        <x:v>6</x:v>
      </x:c>
      <x:c r="G18" s="32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SUM('1:17'!$C$18)</x:f>
        <x:v>214</x:v>
      </x:c>
      <x:c r="D19" s="279"/>
      <x:c r="E19" s="280"/>
      <x:c r="F19" s="289">
        <x:f>SUM('1:17'!$F$18)</x:f>
        <x:v>108</x:v>
      </x:c>
      <x:c r="G19" s="290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91" t="s">
        <x:v>113</x:v>
      </x:c>
      <x:c r="E20" s="292"/>
      <x:c r="F20" s="327">
        <x:v>63</x:v>
      </x:c>
      <x:c r="G20" s="328"/>
      <x:c r="H20" s="58"/>
      <x:c r="J20" s="54"/>
      <x:c r="K20" s="58"/>
      <x:c r="L20" s="60"/>
      <x:c r="M20" s="11"/>
    </x:row>
    <x:row r="21" spans="4:13" ht="21.949999999999999" customHeight="1">
      <x:c r="D21" s="291" t="s">
        <x:v>114</x:v>
      </x:c>
      <x:c r="E21" s="292"/>
      <x:c r="F21" s="289">
        <x:f>SUM('1:17'!$F$20)</x:f>
        <x:v>1062</x:v>
      </x:c>
      <x:c r="G21" s="290"/>
      <x:c r="H21" s="58"/>
      <x:c r="J21" s="54"/>
      <x:c r="K21" s="58"/>
      <x:c r="L21" s="60"/>
      <x:c r="M21" s="11"/>
    </x:row>
    <x:row r="22" spans="1:13" ht="32.100000000000001" customHeight="1">
      <x:c r="A22" s="339" t="s">
        <x:v>83</x:v>
      </x:c>
      <x:c r="B22" s="292"/>
      <x:c r="C22" s="359"/>
      <x:c r="D22" s="360"/>
      <x:c r="E22" s="360"/>
      <x:c r="F22" s="360"/>
      <x:c r="G22" s="361"/>
      <x:c r="H22" s="54"/>
      <x:c r="J22" s="54"/>
      <x:c r="K22" s="58"/>
      <x:c r="L22" s="60"/>
      <x:c r="M22" s="11"/>
    </x:row>
    <x:row r="23" spans="1:15" ht="34.149999999999999" customHeight="1">
      <x:c r="A23" s="339" t="s">
        <x:v>124</x:v>
      </x:c>
      <x:c r="B23" s="292"/>
      <x:c r="C23" s="323"/>
      <x:c r="D23" s="324"/>
      <x:c r="E23" s="324"/>
      <x:c r="F23" s="324"/>
      <x:c r="G23" s="325"/>
      <x:c r="H23" s="107" t="s">
        <x:v>94</x:v>
      </x:c>
      <x:c r="I23" s="108">
        <x:f>SUM(I4:I22)</x:f>
        <x:v>0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1679000</x:v>
      </x:c>
      <x:c r="O23" s="283"/>
    </x:row>
    <x:row r="24" spans="1:11" ht="34.149999999999999" customHeight="1">
      <x:c r="A24" s="339" t="s">
        <x:v>8</x:v>
      </x:c>
      <x:c r="B24" s="292"/>
      <x:c r="C24" s="291" t="s">
        <x:v>86</x:v>
      </x:c>
      <x:c r="D24" s="292"/>
      <x:c r="E24" s="291" t="s">
        <x:v>101</x:v>
      </x:c>
      <x:c r="F24" s="322"/>
      <x:c r="G24" s="292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53">
        <x:f>C2</x:f>
        <x:v>4924000</x:v>
      </x:c>
      <x:c r="B25" s="313"/>
      <x:c r="C25" s="312">
        <x:f>E25/I1</x:f>
        <x:v>4446823.5294117648</x:v>
      </x:c>
      <x:c r="D25" s="313"/>
      <x:c r="E25" s="312">
        <x:f>SUM('1:17'!$A$25)</x:f>
        <x:v>75596000</x:v>
      </x:c>
      <x:c r="F25" s="321"/>
      <x:c r="G25" s="313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SUM('1:17'!$K$21)</x:f>
        <x:v>0</x:v>
      </x:c>
    </x:row>
    <x:row r="26" spans="1:11" ht="34.149999999999999" customHeight="1">
      <x:c r="A26" s="339" t="s">
        <x:v>142</x:v>
      </x:c>
      <x:c r="B26" s="292"/>
      <x:c r="C26" s="291"/>
      <x:c r="D26" s="292"/>
      <x:c r="E26" s="309"/>
      <x:c r="F26" s="352"/>
      <x:c r="G26" s="310"/>
      <x:c r="H26" s="107" t="s">
        <x:v>128</x:v>
      </x:c>
      <x:c r="I26" s="110">
        <x:f>I25/$E$25</x:f>
        <x:v>0.0096508016297158581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04" t="s">
        <x:v>141</x:v>
      </x:c>
      <x:c r="B27" s="54" t="s">
        <x:v>44</x:v>
      </x:c>
      <x:c r="C27" s="312">
        <x:f>4000000/31</x:f>
        <x:v>129032.25806451614</x:v>
      </x:c>
      <x:c r="D27" s="313"/>
      <x:c r="E27" s="55" t="s">
        <x:v>152</x:v>
      </x:c>
      <x:c r="F27" s="309"/>
      <x:c r="G27" s="310"/>
      <x:c r="H27" s="111" t="s">
        <x:v>118</x:v>
      </x:c>
      <x:c r="I27" s="112">
        <x:f>SUM(C27:D34,F27:G32)</x:f>
        <x:v>780129.0322580646</x:v>
      </x:c>
      <x:c r="M27" s="66"/>
    </x:row>
    <x:row r="28" spans="1:13" ht="30.949999999999999" customHeight="1">
      <x:c r="A28" s="305"/>
      <x:c r="B28" s="54" t="s">
        <x:v>23</x:v>
      </x:c>
      <x:c r="C28" s="312">
        <x:f>3800000/31</x:f>
        <x:v>122580.64516129032</x:v>
      </x:c>
      <x:c r="D28" s="313"/>
      <x:c r="E28" s="55" t="s">
        <x:v>154</x:v>
      </x:c>
      <x:c r="F28" s="312">
        <x:f>1500000/31</x:f>
        <x:v>48387.096774193546</x:v>
      </x:c>
      <x:c r="G28" s="313"/>
      <x:c r="H28" s="111" t="s">
        <x:v>8</x:v>
      </x:c>
      <x:c r="I28" s="113">
        <x:f>I27/$A$25</x:f>
        <x:v>0.1584340033018003</x:v>
      </x:c>
      <x:c r="M28" s="66"/>
    </x:row>
    <x:row r="29" spans="1:13" ht="30.949999999999999" customHeight="1">
      <x:c r="A29" s="305"/>
      <x:c r="B29" s="54" t="s">
        <x:v>47</x:v>
      </x:c>
      <x:c r="C29" s="312">
        <x:f>3200000/31</x:f>
        <x:v>103225.80645161291</x:v>
      </x:c>
      <x:c r="D29" s="313"/>
      <x:c r="E29" s="54" t="s">
        <x:v>57</x:v>
      </x:c>
      <x:c r="F29" s="309"/>
      <x:c r="G29" s="310"/>
      <x:c r="H29" s="111" t="s">
        <x:v>33</x:v>
      </x:c>
      <x:c r="I29" s="112">
        <x:f>SUM('1:17'!$I$25)</x:f>
        <x:v>12402554</x:v>
      </x:c>
      <x:c r="M29" s="66"/>
    </x:row>
    <x:row r="30" spans="1:13" ht="30.949999999999999" customHeight="1">
      <x:c r="A30" s="305"/>
      <x:c r="B30" s="54"/>
      <x:c r="C30" s="354"/>
      <x:c r="D30" s="355"/>
      <x:c r="E30" s="55"/>
      <x:c r="F30" s="309"/>
      <x:c r="G30" s="310"/>
      <x:c r="H30" s="111" t="s">
        <x:v>128</x:v>
      </x:c>
      <x:c r="I30" s="113">
        <x:f>I29/$I$27</x:f>
        <x:v>15.89808030102547</x:v>
      </x:c>
      <x:c r="M30" s="66"/>
    </x:row>
    <x:row r="31" spans="1:7" customHeight="1">
      <x:c r="A31" s="305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142000</x:v>
      </x:c>
      <x:c r="G31" s="310"/>
    </x:row>
    <x:row r="32" spans="1:7" customHeight="1">
      <x:c r="A32" s="305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05"/>
      <x:c r="B33" s="54" t="s">
        <x:v>21</x:v>
      </x:c>
      <x:c r="C33" s="307">
        <x:f>13000*4</x:f>
        <x:v>52000</x:v>
      </x:c>
      <x:c r="D33" s="308"/>
    </x:row>
    <x:row r="34" spans="1:4" customHeight="1">
      <x:c r="A34" s="306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5"/>
  <x:sheetViews>
    <x:sheetView tabSelected="1" topLeftCell="A25" zoomScale="85" zoomScaleNormal="85" zoomScaleSheetLayoutView="75" workbookViewId="0">
      <x:selection activeCell="A1" activeCellId="0" sqref="A1:K35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18</x:v>
      </x:c>
      <x:c r="G1" s="68" t="s">
        <x:v>49</x:v>
      </x:c>
      <x:c r="H1" s="52" t="s">
        <x:v>123</x:v>
      </x:c>
      <x:c r="I1" s="52">
        <x:f>F1-K1</x:f>
        <x:v>18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4739000</x:v>
      </x:c>
      <x:c r="D2" s="274"/>
      <x:c r="E2" s="277" t="s">
        <x:v>40</x:v>
      </x:c>
      <x:c r="F2" s="278"/>
      <x:c r="G2" s="266">
        <x:v>261700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4003000</x:v>
      </x:c>
      <x:c r="D4" s="261"/>
      <x:c r="E4" s="276" t="s">
        <x:v>149</x:v>
      </x:c>
      <x:c r="F4" s="276"/>
      <x:c r="G4" s="133">
        <x:f>INT(C4*0.0275)</x:f>
        <x:v>110082</x:v>
      </x:c>
      <x:c r="H4" s="54" t="s">
        <x:v>20</x:v>
      </x:c>
      <x:c r="I4" s="124">
        <x:f>269775+43500+452000+242202+216209</x:f>
        <x:v>1223686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736000</x:v>
      </x:c>
      <x:c r="D5" s="261"/>
      <x:c r="E5" s="260" t="s">
        <x:v>70</x:v>
      </x:c>
      <x:c r="F5" s="260"/>
      <x:c r="G5" s="133">
        <x:f>INT(C5*0.01)</x:f>
        <x:v>7360</x:v>
      </x:c>
      <x:c r="H5" s="54" t="s">
        <x:v>6</x:v>
      </x:c>
      <x:c r="I5" s="124">
        <x:f>69000+50000+36000+11040+7000+28680+27940</x:f>
        <x:v>229660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900000</x:v>
      </x:c>
      <x:c r="H6" s="54"/>
      <x:c r="I6" s="124"/>
      <x:c r="J6" s="81" t="s">
        <x:v>127</x:v>
      </x:c>
      <x:c r="K6" s="58">
        <x:v>168000</x:v>
      </x:c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257900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97700</x:v>
      </x:c>
      <x:c r="D8" s="261"/>
      <x:c r="E8" s="287" t="s">
        <x:v>110</x:v>
      </x:c>
      <x:c r="F8" s="288"/>
      <x:c r="G8" s="293">
        <x:f>C5+G2-G6-C22</x:f>
        <x:v>97700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>
        <x:v>13000</x:v>
      </x:c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>
        <x:v>100000</x:v>
      </x:c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2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SUM('1:18'!$C$12)</x:f>
        <x:v>142</x:v>
      </x:c>
      <x:c r="D13" s="279"/>
      <x:c r="E13" s="280"/>
      <x:c r="F13" s="289">
        <x:f>SUM('1:18'!$F$12)</x:f>
        <x:v>79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19</x:v>
      </x:c>
      <x:c r="D14" s="287" t="s">
        <x:v>95</x:v>
      </x:c>
      <x:c r="E14" s="288"/>
      <x:c r="F14" s="291">
        <x:v>9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SUM('1:18'!$C$14)</x:f>
        <x:v>489</x:v>
      </x:c>
      <x:c r="D15" s="279"/>
      <x:c r="E15" s="280"/>
      <x:c r="F15" s="289">
        <x:f>SUM('1:18'!$F$14)</x:f>
        <x:v>276</x:v>
      </x:c>
      <x:c r="G15" s="290"/>
      <x:c r="H15" s="54" t="s">
        <x:v>106</x:v>
      </x:c>
      <x:c r="I15" s="58">
        <x:f>3500+10500+5500+15000+12500+19200+21000+15000+11000</x:f>
        <x:v>113200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2</x:v>
      </x:c>
      <x:c r="D16" s="287" t="s">
        <x:v>117</x:v>
      </x:c>
      <x:c r="E16" s="288"/>
      <x:c r="F16" s="285">
        <x:v>12</x:v>
      </x:c>
      <x:c r="G16" s="285"/>
      <x:c r="H16" s="54"/>
      <x:c r="I16" s="58"/>
      <x:c r="J16" s="54" t="s">
        <x:v>97</x:v>
      </x:c>
      <x:c r="K16" s="58">
        <x:v>-460382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SUM('1:18'!$C$16)</x:f>
        <x:v>132</x:v>
      </x:c>
      <x:c r="D17" s="279"/>
      <x:c r="E17" s="280"/>
      <x:c r="F17" s="286">
        <x:f>SUM('1:18'!$F$16)</x:f>
        <x:v>232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9</x:v>
      </x:c>
      <x:c r="D18" s="287" t="s">
        <x:v>130</x:v>
      </x:c>
      <x:c r="E18" s="288"/>
      <x:c r="F18" s="295">
        <x:v>8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SUM('1:18'!$C$18)</x:f>
        <x:v>223</x:v>
      </x:c>
      <x:c r="D19" s="279"/>
      <x:c r="E19" s="280"/>
      <x:c r="F19" s="286">
        <x:f>SUM('1:18'!$F$18)</x:f>
        <x:v>116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60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SUM('1:18'!$F$20)</x:f>
        <x:v>1122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1924446</x:v>
      </x:c>
      <x:c r="J23" s="61" t="s">
        <x:v>119</x:v>
      </x:c>
      <x:c r="K23" s="62">
        <x:f>SUM(K4:K22)</x:f>
        <x:v>-279382</x:v>
      </x:c>
      <x:c r="M23" s="88" t="s">
        <x:v>93</x:v>
      </x:c>
      <x:c r="N23" s="282">
        <x:f>C5+C6</x:f>
        <x:v>736000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0.40608693817261027</x:v>
      </x:c>
      <x:c r="J24" s="61" t="s">
        <x:v>8</x:v>
      </x:c>
      <x:c r="K24" s="63">
        <x:f>K23/A25</x:f>
        <x:v>-0.058953787718928041</x:v>
      </x:c>
    </x:row>
    <x:row r="25" spans="1:11" ht="34.149999999999999" customHeight="1">
      <x:c r="A25" s="311">
        <x:f>C2</x:f>
        <x:v>4739000</x:v>
      </x:c>
      <x:c r="B25" s="275"/>
      <x:c r="C25" s="275">
        <x:f>E25/I1</x:f>
        <x:v>4463055.555555556</x:v>
      </x:c>
      <x:c r="D25" s="275"/>
      <x:c r="E25" s="275">
        <x:f>SUM('1:18'!$A$25)</x:f>
        <x:v>80335000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SUM('1:18'!$K$21)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0.0090814962345179568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13000*4</x:f>
        <x:v>52000</x:v>
      </x:c>
      <x:c r="G27" s="261"/>
      <x:c r="H27" s="111" t="s">
        <x:v>118</x:v>
      </x:c>
      <x:c r="I27" s="112">
        <x:f>SUM(C27:D34,F27:G32)</x:f>
        <x:v>858429.0322580646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0.18114138684491762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</x:f>
        <x:v>46800</x:v>
      </x:c>
      <x:c r="G29" s="261"/>
      <x:c r="H29" s="111" t="s">
        <x:v>33</x:v>
      </x:c>
      <x:c r="I29" s="112">
        <x:f>SUM('1:18'!$I$25)</x:f>
        <x:v>13132116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15.297847004843806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13000*9.5</x:f>
        <x:v>123500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  <x:row r="35" spans="2:4" customHeight="1">
      <x:c r="B35" s="54"/>
      <x:c r="C35" s="309"/>
      <x:c r="D35" s="310"/>
    </x:row>
  </x:sheetData>
  <x:mergeCells count="75">
    <x:mergeCell ref="C35:D35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6"/>
  <x:sheetViews>
    <x:sheetView tabSelected="1" topLeftCell="A1" zoomScale="85" zoomScaleNormal="85" zoomScaleSheetLayoutView="75" workbookViewId="0">
      <x:selection activeCell="E1" activeCellId="0" sqref="E1:E1"/>
    </x:sheetView>
  </x:sheetViews>
  <x:sheetFormatPr defaultColWidth="8.625" defaultRowHeight="13.5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125</x:v>
      </x:c>
      <x:c r="D1" s="68"/>
      <x:c r="E1" s="68" t="s">
        <x:v>167</x:v>
      </x:c>
      <x:c r="F1" s="68">
        <x:v>19</x:v>
      </x:c>
      <x:c r="G1" s="68" t="s">
        <x:v>62</x:v>
      </x:c>
      <x:c r="H1" s="52" t="s">
        <x:v>123</x:v>
      </x:c>
      <x:c r="I1" s="52">
        <x:f>F1-K1</x:f>
        <x:v>19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3861000</x:v>
      </x:c>
      <x:c r="D2" s="274"/>
      <x:c r="E2" s="277" t="s">
        <x:v>40</x:v>
      </x:c>
      <x:c r="F2" s="278"/>
      <x:c r="G2" s="266">
        <x:v>97700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3247000</x:v>
      </x:c>
      <x:c r="D4" s="261"/>
      <x:c r="E4" s="276" t="s">
        <x:v>149</x:v>
      </x:c>
      <x:c r="F4" s="276"/>
      <x:c r="G4" s="133">
        <x:f>INT(C4*0.0275)</x:f>
        <x:v>89292</x:v>
      </x:c>
      <x:c r="H4" s="54" t="s">
        <x:v>20</x:v>
      </x:c>
      <x:c r="I4" s="124">
        <x:f>243100+556875</x:f>
        <x:v>799975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614000</x:v>
      </x:c>
      <x:c r="D5" s="261"/>
      <x:c r="E5" s="260" t="s">
        <x:v>70</x:v>
      </x:c>
      <x:c r="F5" s="260"/>
      <x:c r="G5" s="133">
        <x:f>INT(C5*0.01)</x:f>
        <x:v>6140</x:v>
      </x:c>
      <x:c r="H5" s="54" t="s">
        <x:v>6</x:v>
      </x:c>
      <x:c r="I5" s="124">
        <x:f>30650+30160+45430+44000+88968+39380+44000+69000</x:f>
        <x:v>391588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650000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61700</x:v>
      </x:c>
      <x:c r="D8" s="261"/>
      <x:c r="E8" s="287" t="s">
        <x:v>110</x:v>
      </x:c>
      <x:c r="F8" s="288"/>
      <x:c r="G8" s="293">
        <x:f>C5+G2-G6-C22</x:f>
        <x:v>61700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13</x:v>
      </x:c>
      <x:c r="D12" s="287" t="s">
        <x:v>133</x:v>
      </x:c>
      <x:c r="E12" s="288"/>
      <x:c r="F12" s="291">
        <x:v>5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SUM('1:19'!$C$12)</x:f>
        <x:v>155</x:v>
      </x:c>
      <x:c r="D13" s="279"/>
      <x:c r="E13" s="280"/>
      <x:c r="F13" s="289">
        <x:f>SUM('1:19'!$F$12)</x:f>
        <x:v>84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16</x:v>
      </x:c>
      <x:c r="D14" s="287" t="s">
        <x:v>95</x:v>
      </x:c>
      <x:c r="E14" s="288"/>
      <x:c r="F14" s="291">
        <x:v>13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SUM('1:19'!$C$14)</x:f>
        <x:v>505</x:v>
      </x:c>
      <x:c r="D15" s="279"/>
      <x:c r="E15" s="280"/>
      <x:c r="F15" s="289">
        <x:f>SUM('1:19'!$F$14)</x:f>
        <x:v>289</x:v>
      </x:c>
      <x:c r="G15" s="290"/>
      <x:c r="H15" s="54" t="s">
        <x:v>106</x:v>
      </x:c>
      <x:c r="I15" s="58">
        <x:f>5500+4900+60000+7500+11800+10800+13000+5500+4600+6200</x:f>
        <x:v>129800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6</x:v>
      </x:c>
      <x:c r="D16" s="287" t="s">
        <x:v>117</x:v>
      </x:c>
      <x:c r="E16" s="288"/>
      <x:c r="F16" s="285">
        <x:v>9</x:v>
      </x:c>
      <x:c r="G16" s="285"/>
      <x:c r="H16" s="54"/>
      <x:c r="I16" s="58"/>
      <x:c r="J16" s="54" t="s">
        <x:v>97</x:v>
      </x:c>
      <x:c r="K16" s="58">
        <x:v>223640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SUM('1:19'!$C$16)</x:f>
        <x:v>138</x:v>
      </x:c>
      <x:c r="D17" s="279"/>
      <x:c r="E17" s="280"/>
      <x:c r="F17" s="286">
        <x:f>SUM('1:19'!$F$16)</x:f>
        <x:v>241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24</x:v>
      </x:c>
      <x:c r="D18" s="287" t="s">
        <x:v>130</x:v>
      </x:c>
      <x:c r="E18" s="288"/>
      <x:c r="F18" s="295">
        <x:v>1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SUM('1:19'!$C$18)</x:f>
        <x:v>247</x:v>
      </x:c>
      <x:c r="D19" s="279"/>
      <x:c r="E19" s="280"/>
      <x:c r="F19" s="286">
        <x:f>SUM('1:19'!$F$18)</x:f>
        <x:v>117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60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SUM('1:19'!$F$20)</x:f>
        <x:v>1182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1383363</x:v>
      </x:c>
      <x:c r="J23" s="61" t="s">
        <x:v>119</x:v>
      </x:c>
      <x:c r="K23" s="62">
        <x:f>SUM(K4:K22)</x:f>
        <x:v>223640</x:v>
      </x:c>
      <x:c r="M23" s="88" t="s">
        <x:v>93</x:v>
      </x:c>
      <x:c r="N23" s="282">
        <x:f>C5+C6</x:f>
        <x:v>614000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0.35829137529137528</x:v>
      </x:c>
      <x:c r="J24" s="61" t="s">
        <x:v>8</x:v>
      </x:c>
      <x:c r="K24" s="63">
        <x:f>K23/A25</x:f>
        <x:v>0.057922817922817921</x:v>
      </x:c>
    </x:row>
    <x:row r="25" spans="1:11" ht="34.149999999999999" customHeight="1">
      <x:c r="A25" s="311">
        <x:f>C2</x:f>
        <x:v>3861000</x:v>
      </x:c>
      <x:c r="B25" s="275"/>
      <x:c r="C25" s="275">
        <x:f>E25/I1</x:f>
        <x:v>4431368.4210526319</x:v>
      </x:c>
      <x:c r="D25" s="275"/>
      <x:c r="E25" s="275">
        <x:f>SUM('1:19'!$A$25)</x:f>
        <x:v>84196000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SUM('1:18'!$K$21)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0.0086650434699985755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753779.0322580646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0.19522896458380332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11700*4.5</x:f>
        <x:v>52650</x:v>
      </x:c>
      <x:c r="G29" s="261"/>
      <x:c r="H29" s="111" t="s">
        <x:v>33</x:v>
      </x:c>
      <x:c r="I29" s="112">
        <x:f>SUM('1:18'!$I$25)</x:f>
        <x:v>13132116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17.421705085986094</x:v>
      </x:c>
      <x:c r="M30" s="66"/>
    </x:row>
    <x:row r="31" spans="1:7" ht="30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ht="30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ht="30" customHeight="1">
      <x:c r="A33" s="318"/>
      <x:c r="B33" s="54" t="s">
        <x:v>21</x:v>
      </x:c>
      <x:c r="C33" s="307"/>
      <x:c r="D33" s="308"/>
    </x:row>
    <x:row r="34" spans="1:4" ht="30" customHeight="1">
      <x:c r="A34" s="319"/>
      <x:c r="B34" s="54" t="s">
        <x:v>57</x:v>
      </x:c>
      <x:c r="C34" s="309"/>
      <x:c r="D34" s="310"/>
    </x:row>
    <x:row r="35" spans="2:4">
      <x:c r="B35" s="297"/>
      <x:c r="C35" s="300"/>
      <x:c r="D35" s="301"/>
    </x:row>
    <x:row r="36" spans="2:4">
      <x:c r="B36" s="298"/>
      <x:c r="C36" s="302"/>
      <x:c r="D36" s="303"/>
    </x:row>
  </x:sheetData>
  <x:mergeCells count="76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6:D26"/>
    <x:mergeCell ref="E26:G26"/>
    <x:mergeCell ref="B35:B36"/>
    <x:mergeCell ref="C35:D3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abSelected="1" topLeftCell="C28" zoomScale="85" zoomScaleNormal="85" zoomScaleSheetLayoutView="75" workbookViewId="0">
      <x:selection activeCell="J36" activeCellId="0" sqref="J36:J36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20</x:v>
      </x:c>
      <x:c r="G1" s="68" t="s">
        <x:v>27</x:v>
      </x:c>
      <x:c r="H1" s="52" t="s">
        <x:v>123</x:v>
      </x:c>
      <x:c r="I1" s="52">
        <x:f>F1-K1</x:f>
        <x:v>20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4675500</x:v>
      </x:c>
      <x:c r="D2" s="274"/>
      <x:c r="E2" s="277" t="s">
        <x:v>40</x:v>
      </x:c>
      <x:c r="F2" s="278"/>
      <x:c r="G2" s="266">
        <x:v>61700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3884000</x:v>
      </x:c>
      <x:c r="D4" s="261"/>
      <x:c r="E4" s="276" t="s">
        <x:v>149</x:v>
      </x:c>
      <x:c r="F4" s="276"/>
      <x:c r="G4" s="133">
        <x:f>INT(C4*0.0275)</x:f>
        <x:v>106810</x:v>
      </x:c>
      <x:c r="H4" s="54" t="s">
        <x:v>20</x:v>
      </x:c>
      <x:c r="I4" s="124">
        <x:f>951168+601600+439200+486200+532492+626038</x:f>
        <x:v>3636698</x:v>
      </x:c>
      <x:c r="J4" s="80" t="s">
        <x:v>36</x:v>
      </x:c>
      <x:c r="K4" s="58">
        <x:v>183000</x:v>
      </x:c>
    </x:row>
    <x:row r="5" spans="1:11" ht="30.949999999999999" customHeight="1">
      <x:c r="A5" s="268" t="s">
        <x:v>61</x:v>
      </x:c>
      <x:c r="B5" s="269"/>
      <x:c r="C5" s="261">
        <x:v>791500</x:v>
      </x:c>
      <x:c r="D5" s="261"/>
      <x:c r="E5" s="260" t="s">
        <x:v>70</x:v>
      </x:c>
      <x:c r="F5" s="260"/>
      <x:c r="G5" s="133">
        <x:f>INT(C5*0.01)</x:f>
        <x:v>7915</x:v>
      </x:c>
      <x:c r="H5" s="54" t="s">
        <x:v>6</x:v>
      </x:c>
      <x:c r="I5" s="124">
        <x:f>29656+50000+34500+36000+13970+30300</x:f>
        <x:v>194426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800000</x:v>
      </x:c>
      <x:c r="H6" s="54"/>
      <x:c r="I6" s="124"/>
      <x:c r="J6" s="81" t="s">
        <x:v>127</x:v>
      </x:c>
      <x:c r="K6" s="58">
        <x:v>84000</x:v>
      </x:c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315800</x:v>
      </x:c>
      <x:c r="J7" s="81" t="s">
        <x:v>116</x:v>
      </x:c>
      <x:c r="K7" s="58">
        <x:v>40800</x:v>
      </x:c>
    </x:row>
    <x:row r="8" spans="1:11" ht="21.949999999999999" customHeight="1">
      <x:c r="A8" s="259" t="s">
        <x:v>134</x:v>
      </x:c>
      <x:c r="B8" s="260"/>
      <x:c r="C8" s="261">
        <x:v>53200</x:v>
      </x:c>
      <x:c r="D8" s="261"/>
      <x:c r="E8" s="287" t="s">
        <x:v>110</x:v>
      </x:c>
      <x:c r="F8" s="288"/>
      <x:c r="G8" s="293">
        <x:f>C5+G2-G6-C22</x:f>
        <x:v>53200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146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4</x:v>
      </x:c>
      <x:c r="D12" s="287" t="s">
        <x:v>133</x:v>
      </x:c>
      <x:c r="E12" s="288"/>
      <x:c r="F12" s="291">
        <x:v>0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SUM('1:20'!$C$12)</x:f>
        <x:v>159</x:v>
      </x:c>
      <x:c r="D13" s="279"/>
      <x:c r="E13" s="280"/>
      <x:c r="F13" s="289">
        <x:f>SUM('1:20'!$F$12)</x:f>
        <x:v>84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15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SUM('1:20'!$C$14)</x:f>
        <x:v>525</x:v>
      </x:c>
      <x:c r="D15" s="279"/>
      <x:c r="E15" s="280"/>
      <x:c r="F15" s="289">
        <x:f>SUM('1:20'!$F$14)</x:f>
        <x:v>304</x:v>
      </x:c>
      <x:c r="G15" s="290"/>
      <x:c r="H15" s="54" t="s">
        <x:v>106</x:v>
      </x:c>
      <x:c r="I15" s="58">
        <x:f>7350+45000+7500+11800+19200+10600+28000+7800+3500+22000+13500+8400+8900+5800</x:f>
        <x:v>199350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4</x:v>
      </x:c>
      <x:c r="D16" s="287" t="s">
        <x:v>117</x:v>
      </x:c>
      <x:c r="E16" s="288"/>
      <x:c r="F16" s="285">
        <x:v>10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SUM('1:20'!$C$16)</x:f>
        <x:v>142</x:v>
      </x:c>
      <x:c r="D17" s="279"/>
      <x:c r="E17" s="280"/>
      <x:c r="F17" s="286">
        <x:f>SUM('1:20'!$F$16)</x:f>
        <x:v>251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10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SUM('1:20'!$C$18)</x:f>
        <x:v>257</x:v>
      </x:c>
      <x:c r="D19" s="279"/>
      <x:c r="E19" s="280"/>
      <x:c r="F19" s="286">
        <x:f>SUM('1:20'!$F$18)</x:f>
        <x:v>127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64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SUM('1:20'!$F$20)</x:f>
        <x:v>1246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4346274</x:v>
      </x:c>
      <x:c r="J23" s="61" t="s">
        <x:v>119</x:v>
      </x:c>
      <x:c r="K23" s="62">
        <x:f>SUM(K4:K22)</x:f>
        <x:v>307800</x:v>
      </x:c>
      <x:c r="M23" s="88" t="s">
        <x:v>93</x:v>
      </x:c>
      <x:c r="N23" s="282">
        <x:f>C5+C6</x:f>
        <x:v>791500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0.92958485723452033</x:v>
      </x:c>
      <x:c r="J24" s="61" t="s">
        <x:v>8</x:v>
      </x:c>
      <x:c r="K24" s="63">
        <x:f>K23/A25</x:f>
        <x:v>0.065832531280077</x:v>
      </x:c>
    </x:row>
    <x:row r="25" spans="1:11" ht="34.149999999999999" customHeight="1">
      <x:c r="A25" s="311">
        <x:f>C2</x:f>
        <x:v>4675500</x:v>
      </x:c>
      <x:c r="B25" s="275"/>
      <x:c r="C25" s="275">
        <x:f>E25/I1</x:f>
        <x:v>4443575</x:v>
      </x:c>
      <x:c r="D25" s="275"/>
      <x:c r="E25" s="275">
        <x:f>SUM('1:20'!$A$25)</x:f>
        <x:v>88871500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SUM('1:20'!$K$21)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0.0082091784205285158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753129.0322580646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0.16107989140371395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SUM('1:20'!$I$25)</x:f>
        <x:v>14591240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19.374156850987276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abSelected="1" topLeftCell="A19" zoomScale="85" zoomScaleNormal="85" zoomScaleSheetLayoutView="75" workbookViewId="0">
      <x:selection activeCell="F29" activeCellId="0" sqref="F29:G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21</x:v>
      </x:c>
      <x:c r="G1" s="68" t="s">
        <x:v>50</x:v>
      </x:c>
      <x:c r="H1" s="52" t="s">
        <x:v>123</x:v>
      </x:c>
      <x:c r="I1" s="52">
        <x:f>F1-K1</x:f>
        <x:v>21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4081000</x:v>
      </x:c>
      <x:c r="D2" s="274"/>
      <x:c r="E2" s="277" t="s">
        <x:v>40</x:v>
      </x:c>
      <x:c r="F2" s="278"/>
      <x:c r="G2" s="266">
        <x:v>53200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3411000</x:v>
      </x:c>
      <x:c r="D4" s="261"/>
      <x:c r="E4" s="276" t="s">
        <x:v>149</x:v>
      </x:c>
      <x:c r="F4" s="276"/>
      <x:c r="G4" s="133">
        <x:f>INT(C4*0.0275)</x:f>
        <x:v>93802</x:v>
      </x:c>
      <x:c r="H4" s="54" t="s">
        <x:v>20</x:v>
      </x:c>
      <x:c r="I4" s="124">
        <x:f>56220+232050+452000+294400</x:f>
        <x:v>1034670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670000</x:v>
      </x:c>
      <x:c r="D5" s="261"/>
      <x:c r="E5" s="260" t="s">
        <x:v>70</x:v>
      </x:c>
      <x:c r="F5" s="260"/>
      <x:c r="G5" s="133">
        <x:f>INT(C5*0.01)</x:f>
        <x:v>6700</x:v>
      </x:c>
      <x:c r="H5" s="54" t="s">
        <x:v>6</x:v>
      </x:c>
      <x:c r="I5" s="124">
        <x:f>60500+26675+39490+29656+39380+100000+69000+72000+11040+27320</x:f>
        <x:v>475061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700000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43200</x:v>
      </x:c>
      <x:c r="D8" s="261"/>
      <x:c r="E8" s="287" t="s">
        <x:v>110</x:v>
      </x:c>
      <x:c r="F8" s="288"/>
      <x:c r="G8" s="293">
        <x:f>C5+G2-G6-C22</x:f>
        <x:v>23200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>
        <x:v>56000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163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5</x:v>
      </x:c>
      <x:c r="D12" s="287" t="s">
        <x:v>133</x:v>
      </x:c>
      <x:c r="E12" s="288"/>
      <x:c r="F12" s="291">
        <x:v>1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SUM('1:21'!$C$12)</x:f>
        <x:v>164</x:v>
      </x:c>
      <x:c r="D13" s="279"/>
      <x:c r="E13" s="280"/>
      <x:c r="F13" s="289">
        <x:f>SUM('1:21'!$F$12)</x:f>
        <x:v>85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28</x:v>
      </x:c>
      <x:c r="D14" s="287" t="s">
        <x:v>95</x:v>
      </x:c>
      <x:c r="E14" s="288"/>
      <x:c r="F14" s="291">
        <x:v>8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SUM('1:21'!$C$14)</x:f>
        <x:v>553</x:v>
      </x:c>
      <x:c r="D15" s="279"/>
      <x:c r="E15" s="280"/>
      <x:c r="F15" s="289">
        <x:f>SUM('1:21'!$F$14)</x:f>
        <x:v>312</x:v>
      </x:c>
      <x:c r="G15" s="290"/>
      <x:c r="H15" s="54" t="s">
        <x:v>106</x:v>
      </x:c>
      <x:c r="I15" s="58">
        <x:f>3500+30000+7500+4900+5500+6200+10500+11800+3500+10500+21000+7500</x:f>
        <x:v>122400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4</x:v>
      </x:c>
      <x:c r="D16" s="287" t="s">
        <x:v>117</x:v>
      </x:c>
      <x:c r="E16" s="288"/>
      <x:c r="F16" s="285">
        <x:v>11</x:v>
      </x:c>
      <x:c r="G16" s="285"/>
      <x:c r="H16" s="54"/>
      <x:c r="I16" s="58"/>
      <x:c r="J16" s="54" t="s">
        <x:v>97</x:v>
      </x:c>
      <x:c r="K16" s="58">
        <x:v>194980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SUM('1:21'!$C$16)</x:f>
        <x:v>146</x:v>
      </x:c>
      <x:c r="D17" s="279"/>
      <x:c r="E17" s="280"/>
      <x:c r="F17" s="286">
        <x:f>SUM('1:21'!$F$16)</x:f>
        <x:v>262</x:v>
      </x:c>
      <x:c r="G17" s="286"/>
      <x:c r="H17" s="54" t="s">
        <x:v>7</x:v>
      </x:c>
      <x:c r="I17" s="58">
        <x:v>3200</x:v>
      </x:c>
      <x:c r="J17" s="54" t="s">
        <x:v>90</x:v>
      </x:c>
      <x:c r="K17" s="58">
        <x:v>2000</x:v>
      </x:c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12</x:v>
      </x:c>
      <x:c r="D18" s="287" t="s">
        <x:v>130</x:v>
      </x:c>
      <x:c r="E18" s="288"/>
      <x:c r="F18" s="295">
        <x:v>2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SUM('1:21'!$C$18)</x:f>
        <x:v>269</x:v>
      </x:c>
      <x:c r="D19" s="279"/>
      <x:c r="E19" s="280"/>
      <x:c r="F19" s="286">
        <x:f>SUM('1:21'!$F$18)</x:f>
        <x:v>129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65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SUM('1:21'!$F$20)</x:f>
        <x:v>1311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1697331</x:v>
      </x:c>
      <x:c r="J23" s="61" t="s">
        <x:v>119</x:v>
      </x:c>
      <x:c r="K23" s="62">
        <x:f>SUM(K4:K22)</x:f>
        <x:v>196980</x:v>
      </x:c>
      <x:c r="M23" s="88" t="s">
        <x:v>93</x:v>
      </x:c>
      <x:c r="N23" s="282">
        <x:f>C5+C6</x:f>
        <x:v>670000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0.41591056113697622</x:v>
      </x:c>
      <x:c r="J24" s="61" t="s">
        <x:v>8</x:v>
      </x:c>
      <x:c r="K24" s="63">
        <x:f>K23/A25</x:f>
        <x:v>0.048267581475128642</x:v>
      </x:c>
    </x:row>
    <x:row r="25" spans="1:11" ht="34.149999999999999" customHeight="1">
      <x:c r="A25" s="311">
        <x:f>C2</x:f>
        <x:v>4081000</x:v>
      </x:c>
      <x:c r="B25" s="275"/>
      <x:c r="C25" s="275">
        <x:f>E25/I1</x:f>
        <x:v>4426309.5238095243</x:v>
      </x:c>
      <x:c r="D25" s="275"/>
      <x:c r="E25" s="275">
        <x:f>SUM('1:21'!$A$25)</x:f>
        <x:v>92952500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SUM('1:21'!$K$21)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0.0078487614641886989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13000*4.5</x:f>
        <x:v>58500</x:v>
      </x:c>
      <x:c r="G27" s="261"/>
      <x:c r="H27" s="111" t="s">
        <x:v>118</x:v>
      </x:c>
      <x:c r="I27" s="112">
        <x:f>SUM(C27:D34,F27:G32)</x:f>
        <x:v>741429.0322580646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0.18167827303554634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</x:f>
        <x:v>46800</x:v>
      </x:c>
      <x:c r="G29" s="261"/>
      <x:c r="H29" s="111" t="s">
        <x:v>33</x:v>
      </x:c>
      <x:c r="I29" s="112">
        <x:f>SUM('1:21'!$I$25)</x:f>
        <x:v>15320802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20.663881954203518</x:v>
      </x:c>
      <x:c r="M30" s="66"/>
    </x:row>
    <x:row r="31" spans="1:7" customHeight="1">
      <x:c r="A31" s="318"/>
      <x:c r="B31" s="54" t="s">
        <x:v>41</x:v>
      </x:c>
      <x:c r="C31" s="275">
        <x:f>3500000/31</x:f>
        <x:v>112903.22580645161</x:v>
      </x:c>
      <x:c r="D31" s="275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abSelected="1" topLeftCell="A8" zoomScale="85" zoomScaleNormal="85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22</x:v>
      </x:c>
      <x:c r="G1" s="68" t="s">
        <x:v>28</x:v>
      </x:c>
      <x:c r="H1" s="52" t="s">
        <x:v>123</x:v>
      </x:c>
      <x:c r="I1" s="52">
        <x:f>F1-K1</x:f>
        <x:v>22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4081000</x:v>
      </x:c>
      <x:c r="D2" s="274"/>
      <x:c r="E2" s="277" t="s">
        <x:v>40</x:v>
      </x:c>
      <x:c r="F2" s="278"/>
      <x:c r="G2" s="266">
        <x:v>43200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3740500</x:v>
      </x:c>
      <x:c r="D4" s="261"/>
      <x:c r="E4" s="276" t="s">
        <x:v>149</x:v>
      </x:c>
      <x:c r="F4" s="276"/>
      <x:c r="G4" s="133">
        <x:f>INT(C4*0.0275)</x:f>
        <x:v>102863</x:v>
      </x:c>
      <x:c r="H4" s="54" t="s">
        <x:v>20</x:v>
      </x:c>
      <x:c r="I4" s="124">
        <x:f>439200+237575+242852+229117+10</x:f>
        <x:v>1148754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340500</x:v>
      </x:c>
      <x:c r="D5" s="261"/>
      <x:c r="E5" s="260" t="s">
        <x:v>70</x:v>
      </x:c>
      <x:c r="F5" s="260"/>
      <x:c r="G5" s="133">
        <x:f>INT(C5*0.01)</x:f>
        <x:v>3405</x:v>
      </x:c>
      <x:c r="H5" s="54" t="s">
        <x:v>6</x:v>
      </x:c>
      <x:c r="I5" s="124">
        <x:f>88000+78760+50000+36000+7000+7360+13970</x:f>
        <x:v>281090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300000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f>82800</x:f>
        <x:v>82800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83700</x:v>
      </x:c>
      <x:c r="D8" s="261"/>
      <x:c r="E8" s="287" t="s">
        <x:v>110</x:v>
      </x:c>
      <x:c r="F8" s="288"/>
      <x:c r="G8" s="293">
        <x:f>C5+G2-G6-C22</x:f>
        <x:v>83700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>
        <x:v>14000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160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12</x:v>
      </x:c>
      <x:c r="D12" s="287" t="s">
        <x:v>133</x:v>
      </x:c>
      <x:c r="E12" s="288"/>
      <x:c r="F12" s="291">
        <x:v>0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SUM('1:22'!$C$12)</x:f>
        <x:v>176</x:v>
      </x:c>
      <x:c r="D13" s="279"/>
      <x:c r="E13" s="280"/>
      <x:c r="F13" s="289">
        <x:f>SUM('1:22'!$F$12)</x:f>
        <x:v>85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29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SUM('1:22'!$C$14)</x:f>
        <x:v>582</x:v>
      </x:c>
      <x:c r="D15" s="279"/>
      <x:c r="E15" s="280"/>
      <x:c r="F15" s="289">
        <x:f>SUM('1:22'!$F$14)</x:f>
        <x:v>329</x:v>
      </x:c>
      <x:c r="G15" s="290"/>
      <x:c r="H15" s="54" t="s">
        <x:v>106</x:v>
      </x:c>
      <x:c r="I15" s="58">
        <x:f>22500+4900+5500+12500+6200+52000+11800+15000+2300+5500+10500</x:f>
        <x:v>148700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3</x:v>
      </x:c>
      <x:c r="D16" s="287" t="s">
        <x:v>117</x:v>
      </x:c>
      <x:c r="E16" s="288"/>
      <x:c r="F16" s="285">
        <x:v>9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SUM('1:22'!$C$16)</x:f>
        <x:v>149</x:v>
      </x:c>
      <x:c r="D17" s="279"/>
      <x:c r="E17" s="280"/>
      <x:c r="F17" s="286">
        <x:f>SUM('1:22'!$F$16)</x:f>
        <x:v>271</x:v>
      </x:c>
      <x:c r="G17" s="286"/>
      <x:c r="H17" s="54" t="s">
        <x:v>7</x:v>
      </x:c>
      <x:c r="I17" s="58"/>
      <x:c r="J17" s="54" t="s">
        <x:v>90</x:v>
      </x:c>
      <x:c r="K17" s="58">
        <x:v>8000</x:v>
      </x:c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7</x:v>
      </x:c>
      <x:c r="D18" s="287" t="s">
        <x:v>130</x:v>
      </x:c>
      <x:c r="E18" s="288"/>
      <x:c r="F18" s="295">
        <x:v>1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SUM('1:22'!$C$18)</x:f>
        <x:v>276</x:v>
      </x:c>
      <x:c r="D19" s="279"/>
      <x:c r="E19" s="280"/>
      <x:c r="F19" s="286">
        <x:f>SUM('1:22'!$F$18)</x:f>
        <x:v>130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SUM('1:22'!$F$20)</x:f>
        <x:v>1374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1723344</x:v>
      </x:c>
      <x:c r="J23" s="61" t="s">
        <x:v>119</x:v>
      </x:c>
      <x:c r="K23" s="62">
        <x:f>SUM(K4:K22)</x:f>
        <x:v>8000</x:v>
      </x:c>
      <x:c r="M23" s="88" t="s">
        <x:v>93</x:v>
      </x:c>
      <x:c r="N23" s="282">
        <x:f>C5+C6</x:f>
        <x:v>340500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0.42228473413379075</x:v>
      </x:c>
      <x:c r="J24" s="61" t="s">
        <x:v>8</x:v>
      </x:c>
      <x:c r="K24" s="63">
        <x:f>K23/A25</x:f>
        <x:v>0.0019603038470962998</x:v>
      </x:c>
    </x:row>
    <x:row r="25" spans="1:11" ht="34.149999999999999" customHeight="1">
      <x:c r="A25" s="311">
        <x:f>C2</x:f>
        <x:v>4081000</x:v>
      </x:c>
      <x:c r="B25" s="275"/>
      <x:c r="C25" s="275">
        <x:f>E25/I1</x:f>
        <x:v>4410613.6363636367</x:v>
      </x:c>
      <x:c r="D25" s="275"/>
      <x:c r="E25" s="275">
        <x:f>SUM('1:22'!$A$25)</x:f>
        <x:v>97033500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SUM('1:22'!$K$21)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0.0075186610809668828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13000*4.5</x:f>
        <x:v>58500</x:v>
      </x:c>
      <x:c r="G27" s="261"/>
      <x:c r="H27" s="111" t="s">
        <x:v>118</x:v>
      </x:c>
      <x:c r="I27" s="112">
        <x:f>SUM(C27:D34,F27:G32)</x:f>
        <x:v>741429.0322580646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0.18167827303554634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</x:f>
        <x:v>46800</x:v>
      </x:c>
      <x:c r="G29" s="261"/>
      <x:c r="H29" s="111" t="s">
        <x:v>33</x:v>
      </x:c>
      <x:c r="I29" s="112">
        <x:f>SUM('1:22'!$I$25)</x:f>
        <x:v>16050364</x:v>
      </x:c>
      <x:c r="M29" s="66"/>
    </x:row>
    <x:row r="30" spans="1:13" ht="30.949999999999999" customHeight="1">
      <x:c r="A30" s="318"/>
      <x:c r="B30" s="55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21.647876332975116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F15:G15"/>
    <x:mergeCell ref="A23:B23"/>
    <x:mergeCell ref="C23:G23"/>
    <x:mergeCell ref="F16:G16"/>
    <x:mergeCell ref="F17:G17"/>
    <x:mergeCell ref="A6:B7"/>
    <x:mergeCell ref="A11:B11"/>
    <x:mergeCell ref="C11:G11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abSelected="1" topLeftCell="A28" zoomScale="85" zoomScaleNormal="85" zoomScaleSheetLayoutView="75" workbookViewId="0">
      <x:selection activeCell="M31" activeCellId="0" sqref="M31:M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23</x:v>
      </x:c>
      <x:c r="G1" s="68" t="s">
        <x:v>165</x:v>
      </x:c>
      <x:c r="H1" s="52" t="s">
        <x:v>123</x:v>
      </x:c>
      <x:c r="I1" s="52">
        <x:f>F1-K1</x:f>
        <x:v>23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3176000</x:v>
      </x:c>
      <x:c r="D2" s="274"/>
      <x:c r="E2" s="277" t="s">
        <x:v>40</x:v>
      </x:c>
      <x:c r="F2" s="278"/>
      <x:c r="G2" s="266">
        <x:v>83700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2625000</x:v>
      </x:c>
      <x:c r="D4" s="261"/>
      <x:c r="E4" s="276" t="s">
        <x:v>149</x:v>
      </x:c>
      <x:c r="F4" s="276"/>
      <x:c r="G4" s="133">
        <x:f>INT(C4*0.0275)</x:f>
        <x:v>72187</x:v>
      </x:c>
      <x:c r="H4" s="54" t="s">
        <x:v>20</x:v>
      </x:c>
      <x:c r="I4" s="124">
        <x:f>452000+474564+174258</x:f>
        <x:v>1100822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551000</x:v>
      </x:c>
      <x:c r="D5" s="261"/>
      <x:c r="E5" s="260" t="s">
        <x:v>70</x:v>
      </x:c>
      <x:c r="F5" s="260"/>
      <x:c r="G5" s="133">
        <x:v>0</x:v>
      </x:c>
      <x:c r="H5" s="54" t="s">
        <x:v>6</x:v>
      </x:c>
      <x:c r="I5" s="124">
        <x:f>150000+103500+108000+59312+78760+27940+37850+2540+18400+7000</x:f>
        <x:v>593302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550000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84700</x:v>
      </x:c>
      <x:c r="D8" s="261"/>
      <x:c r="E8" s="287" t="s">
        <x:v>110</x:v>
      </x:c>
      <x:c r="F8" s="288"/>
      <x:c r="G8" s="293">
        <x:f>C5+G2-G6-C22</x:f>
        <x:v>84700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9</x:v>
      </x:c>
      <x:c r="D12" s="287" t="s">
        <x:v>133</x:v>
      </x:c>
      <x:c r="E12" s="288"/>
      <x:c r="F12" s="291">
        <x:v>4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SUM('1:23'!$C$12)</x:f>
        <x:v>185</x:v>
      </x:c>
      <x:c r="D13" s="279"/>
      <x:c r="E13" s="280"/>
      <x:c r="F13" s="289">
        <x:f>SUM('1:23'!$F$12)</x:f>
        <x:v>89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23</x:v>
      </x:c>
      <x:c r="D14" s="287" t="s">
        <x:v>95</x:v>
      </x:c>
      <x:c r="E14" s="288"/>
      <x:c r="F14" s="291">
        <x:v>4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SUM('1:23'!$C$14)</x:f>
        <x:v>605</x:v>
      </x:c>
      <x:c r="D15" s="279"/>
      <x:c r="E15" s="280"/>
      <x:c r="F15" s="289">
        <x:f>SUM('1:23'!$F$14)</x:f>
        <x:v>333</x:v>
      </x:c>
      <x:c r="G15" s="290"/>
      <x:c r="H15" s="54" t="s">
        <x:v>106</x:v>
      </x:c>
      <x:c r="I15" s="58">
        <x:f>60000+9800+11000+7500+12400+10500+5500+15000+14000+2550+4000</x:f>
        <x:v>152250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3</x:v>
      </x:c>
      <x:c r="D16" s="287" t="s">
        <x:v>117</x:v>
      </x:c>
      <x:c r="E16" s="288"/>
      <x:c r="F16" s="285">
        <x:v>7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SUM('1:23'!$C$16)</x:f>
        <x:v>152</x:v>
      </x:c>
      <x:c r="D17" s="279"/>
      <x:c r="E17" s="280"/>
      <x:c r="F17" s="286">
        <x:f>SUM('1:23'!$F$16)</x:f>
        <x:v>278</x:v>
      </x:c>
      <x:c r="G17" s="286"/>
      <x:c r="H17" s="54" t="s">
        <x:v>7</x:v>
      </x:c>
      <x:c r="I17" s="58">
        <x:v>3200</x:v>
      </x:c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6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SUM('1:23'!$C$18)</x:f>
        <x:v>286</x:v>
      </x:c>
      <x:c r="D19" s="279"/>
      <x:c r="E19" s="280"/>
      <x:c r="F19" s="286">
        <x:f>SUM('1:23'!$F$18)</x:f>
        <x:v>136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43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SUM('1:23'!$F$20)</x:f>
        <x:v>1417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1849574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551000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0.58235957178841313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3176000</x:v>
      </x:c>
      <x:c r="B25" s="275"/>
      <x:c r="C25" s="275">
        <x:f>E25/I1</x:f>
        <x:v>4356934.7826086953</x:v>
      </x:c>
      <x:c r="D25" s="275"/>
      <x:c r="E25" s="275">
        <x:f>SUM('1:23'!$A$25)</x:f>
        <x:v>100209500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SUM('1:23'!$K$21)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0.0072803676298155368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/>
      <x:c r="G27" s="261"/>
      <x:c r="H27" s="111" t="s">
        <x:v>118</x:v>
      </x:c>
      <x:c r="I27" s="112">
        <x:f>SUM(C27:D34,F27:G32)</x:f>
        <x:v>761129.0322580646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0.23965019907369792</x:v>
      </x:c>
      <x:c r="M28" s="66" t="s">
        <x:v>63</x:v>
      </x:c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SUM('1:23'!$I$25)</x:f>
        <x:v>16779926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22.046099004026274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130000</x:v>
      </x:c>
      <x:c r="G31" s="310"/>
    </x:row>
    <x:row r="32" spans="1:7" customHeight="1">
      <x:c r="A32" s="318"/>
      <x:c r="B32" s="54" t="s">
        <x:v>29</x:v>
      </x:c>
      <x:c r="C32" s="307">
        <x:f>14000*4.5</x:f>
        <x:v>63000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abSelected="1" topLeftCell="A28" zoomScale="85" zoomScaleNormal="85" zoomScaleSheetLayoutView="75" workbookViewId="0">
      <x:selection activeCell="L32" activeCellId="0" sqref="L32:L32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24</x:v>
      </x:c>
      <x:c r="G1" s="68" t="s">
        <x:v>19</x:v>
      </x:c>
      <x:c r="H1" s="52" t="s">
        <x:v>123</x:v>
      </x:c>
      <x:c r="I1" s="52">
        <x:f>F1-K1</x:f>
        <x:v>24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5104500</x:v>
      </x:c>
      <x:c r="D2" s="274"/>
      <x:c r="E2" s="277" t="s">
        <x:v>40</x:v>
      </x:c>
      <x:c r="F2" s="278"/>
      <x:c r="G2" s="266">
        <x:v>84700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362" t="s">
        <x:v>22</x:v>
      </x:c>
      <x:c r="B4" s="269"/>
      <x:c r="C4" s="261">
        <x:v>4615500</x:v>
      </x:c>
      <x:c r="D4" s="261"/>
      <x:c r="E4" s="276" t="s">
        <x:v>149</x:v>
      </x:c>
      <x:c r="F4" s="276"/>
      <x:c r="G4" s="133">
        <x:f>INT(C4*0.0275)</x:f>
        <x:v>126926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489000</x:v>
      </x:c>
      <x:c r="D5" s="261"/>
      <x:c r="E5" s="260" t="s">
        <x:v>70</x:v>
      </x:c>
      <x:c r="F5" s="260"/>
      <x:c r="G5" s="133">
        <x:f>INT(C5*0.01)</x:f>
        <x:v>4890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450000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123700</x:v>
      </x:c>
      <x:c r="D8" s="261"/>
      <x:c r="E8" s="287" t="s">
        <x:v>110</x:v>
      </x:c>
      <x:c r="F8" s="288"/>
      <x:c r="G8" s="293">
        <x:f>C5+G2-G6-C22</x:f>
        <x:v>123700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15</x:v>
      </x:c>
      <x:c r="D12" s="287" t="s">
        <x:v>133</x:v>
      </x:c>
      <x:c r="E12" s="288"/>
      <x:c r="F12" s="291">
        <x:v>6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SUM('1:24'!$C$12)</x:f>
        <x:v>200</x:v>
      </x:c>
      <x:c r="D13" s="279"/>
      <x:c r="E13" s="280"/>
      <x:c r="F13" s="289">
        <x:f>SUM('1:24'!$F$12)</x:f>
        <x:v>95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32</x:v>
      </x:c>
      <x:c r="D14" s="287" t="s">
        <x:v>95</x:v>
      </x:c>
      <x:c r="E14" s="288"/>
      <x:c r="F14" s="291">
        <x:v>13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SUM('1:24'!$C$14)</x:f>
        <x:v>637</x:v>
      </x:c>
      <x:c r="D15" s="279"/>
      <x:c r="E15" s="280"/>
      <x:c r="F15" s="289">
        <x:f>SUM('1:24'!$F$14)</x:f>
        <x:v>346</x:v>
      </x:c>
      <x:c r="G15" s="290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10</x:v>
      </x:c>
      <x:c r="D16" s="287" t="s">
        <x:v>117</x:v>
      </x:c>
      <x:c r="E16" s="288"/>
      <x:c r="F16" s="285">
        <x:v>12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SUM('1:24'!$C$16)</x:f>
        <x:v>162</x:v>
      </x:c>
      <x:c r="D17" s="279"/>
      <x:c r="E17" s="280"/>
      <x:c r="F17" s="286">
        <x:f>SUM('1:24'!$F$16)</x:f>
        <x:v>290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9</x:v>
      </x:c>
      <x:c r="D18" s="287" t="s">
        <x:v>130</x:v>
      </x:c>
      <x:c r="E18" s="288"/>
      <x:c r="F18" s="295">
        <x:v>6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SUM('1:24'!$C$18)</x:f>
        <x:v>295</x:v>
      </x:c>
      <x:c r="D19" s="279"/>
      <x:c r="E19" s="280"/>
      <x:c r="F19" s="286">
        <x:f>SUM('1:24'!$F$18)</x:f>
        <x:v>142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62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SUM('1:24'!$F$20)</x:f>
        <x:v>1479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0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489000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5104500</x:v>
      </x:c>
      <x:c r="B25" s="275"/>
      <x:c r="C25" s="275">
        <x:f>E25/I1</x:f>
        <x:v>4388083.333333333</x:v>
      </x:c>
      <x:c r="D25" s="275"/>
      <x:c r="E25" s="275">
        <x:f>SUM('1:24'!$A$25)</x:f>
        <x:v>105314000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SUM('1:24'!$K$21)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0.0069274930208709194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/>
      <x:c r="G27" s="261"/>
      <x:c r="H27" s="111" t="s">
        <x:v>118</x:v>
      </x:c>
      <x:c r="I27" s="112">
        <x:f>SUM(C27:D34,F27:G32)</x:f>
        <x:v>773129.0322580646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0.15146028646450477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SUM('1:24'!$I$25)</x:f>
        <x:v>17509488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22.647562398297655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142000</x:v>
      </x:c>
      <x:c r="G31" s="310"/>
    </x:row>
    <x:row r="32" spans="1:7" customHeight="1">
      <x:c r="A32" s="318"/>
      <x:c r="B32" s="54" t="s">
        <x:v>29</x:v>
      </x:c>
      <x:c r="C32" s="307">
        <x:f>14000*4.5</x:f>
        <x:v>63000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abSelected="1" topLeftCell="A8" zoomScale="85" zoomScaleNormal="85" zoomScaleSheetLayoutView="75" workbookViewId="0">
      <x:selection activeCell="I11" activeCellId="0" sqref="I11:I1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25</x:v>
      </x:c>
      <x:c r="G1" s="68" t="s">
        <x:v>49</x:v>
      </x:c>
      <x:c r="H1" s="52" t="s">
        <x:v>123</x:v>
      </x:c>
      <x:c r="I1" s="52">
        <x:f>F1-K1</x:f>
        <x:v>25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4202500</x:v>
      </x:c>
      <x:c r="D2" s="274"/>
      <x:c r="E2" s="277" t="s">
        <x:v>40</x:v>
      </x:c>
      <x:c r="F2" s="278"/>
      <x:c r="G2" s="266">
        <x:v>123700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3625500</x:v>
      </x:c>
      <x:c r="D4" s="261"/>
      <x:c r="E4" s="276" t="s">
        <x:v>149</x:v>
      </x:c>
      <x:c r="F4" s="276"/>
      <x:c r="G4" s="133">
        <x:f>INT(C4*0.0275)</x:f>
        <x:v>99701</x:v>
      </x:c>
      <x:c r="H4" s="54" t="s">
        <x:v>20</x:v>
      </x:c>
      <x:c r="I4" s="124">
        <x:f>282378+452000+258448+261387</x:f>
        <x:v>1254213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577000</x:v>
      </x:c>
      <x:c r="D5" s="261"/>
      <x:c r="E5" s="260" t="s">
        <x:v>70</x:v>
      </x:c>
      <x:c r="F5" s="260"/>
      <x:c r="G5" s="133">
        <x:f>INT(C5*0.01)</x:f>
        <x:v>5770</x:v>
      </x:c>
      <x:c r="H5" s="54" t="s">
        <x:v>6</x:v>
      </x:c>
      <x:c r="I5" s="124">
        <x:f>50000+34500+36000+30160</x:f>
        <x:v>150660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620000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477390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80700</x:v>
      </x:c>
      <x:c r="D8" s="261"/>
      <x:c r="E8" s="287" t="s">
        <x:v>110</x:v>
      </x:c>
      <x:c r="F8" s="288"/>
      <x:c r="G8" s="293">
        <x:f>C5+G2-G6-C22</x:f>
        <x:v>80700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>
        <x:v>14300</x:v>
      </x:c>
    </x:row>
    <x:row r="11" spans="1:11" ht="33" customHeight="1">
      <x:c r="A11" s="259" t="s">
        <x:v>103</x:v>
      </x:c>
      <x:c r="B11" s="260"/>
      <x:c r="C11" s="299" t="s">
        <x:v>159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7</x:v>
      </x:c>
      <x:c r="D12" s="287" t="s">
        <x:v>133</x:v>
      </x:c>
      <x:c r="E12" s="288"/>
      <x:c r="F12" s="291">
        <x:v>13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SUM('1:25'!$C$12)</x:f>
        <x:v>207</x:v>
      </x:c>
      <x:c r="D13" s="279"/>
      <x:c r="E13" s="280"/>
      <x:c r="F13" s="289">
        <x:f>SUM('1:25'!$F$12)</x:f>
        <x:v>108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18</x:v>
      </x:c>
      <x:c r="D14" s="287" t="s">
        <x:v>95</x:v>
      </x:c>
      <x:c r="E14" s="288"/>
      <x:c r="F14" s="291">
        <x:v>3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SUM('1:25'!$C$14)</x:f>
        <x:v>655</x:v>
      </x:c>
      <x:c r="D15" s="279"/>
      <x:c r="E15" s="280"/>
      <x:c r="F15" s="289">
        <x:f>SUM('1:25'!$F$14)</x:f>
        <x:v>349</x:v>
      </x:c>
      <x:c r="G15" s="290"/>
      <x:c r="H15" s="54" t="s">
        <x:v>106</x:v>
      </x:c>
      <x:c r="I15" s="58">
        <x:f>7500+11800+13500+19200+3500</x:f>
        <x:v>55500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5</x:v>
      </x:c>
      <x:c r="D16" s="287" t="s">
        <x:v>117</x:v>
      </x:c>
      <x:c r="E16" s="288"/>
      <x:c r="F16" s="285">
        <x:v>15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SUM('1:25'!$C$16)</x:f>
        <x:v>167</x:v>
      </x:c>
      <x:c r="D17" s="279"/>
      <x:c r="E17" s="280"/>
      <x:c r="F17" s="286">
        <x:f>SUM('1:25'!$F$16)</x:f>
        <x:v>305</x:v>
      </x:c>
      <x:c r="G17" s="286"/>
      <x:c r="H17" s="54" t="s">
        <x:v>7</x:v>
      </x:c>
      <x:c r="I17" s="58">
        <x:v>3200</x:v>
      </x:c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10</x:v>
      </x:c>
      <x:c r="D18" s="287" t="s">
        <x:v>130</x:v>
      </x:c>
      <x:c r="E18" s="288"/>
      <x:c r="F18" s="295">
        <x:v>9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SUM('1:25'!$C$18)</x:f>
        <x:v>305</x:v>
      </x:c>
      <x:c r="D19" s="279"/>
      <x:c r="E19" s="280"/>
      <x:c r="F19" s="286">
        <x:f>SUM('1:25'!$F$18)</x:f>
        <x:v>151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61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SUM('1:25'!$F$20)</x:f>
        <x:v>1540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1940963</x:v>
      </x:c>
      <x:c r="J23" s="61" t="s">
        <x:v>119</x:v>
      </x:c>
      <x:c r="K23" s="62">
        <x:f>SUM(K4:K22)</x:f>
        <x:v>14300</x:v>
      </x:c>
      <x:c r="M23" s="88" t="s">
        <x:v>93</x:v>
      </x:c>
      <x:c r="N23" s="282">
        <x:f>C5+C6</x:f>
        <x:v>577000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0.46185913146936347</x:v>
      </x:c>
      <x:c r="J24" s="61" t="s">
        <x:v>8</x:v>
      </x:c>
      <x:c r="K24" s="63">
        <x:f>K23/A25</x:f>
        <x:v>0.0034027364663890541</x:v>
      </x:c>
    </x:row>
    <x:row r="25" spans="1:11" ht="34.149999999999999" customHeight="1">
      <x:c r="A25" s="311">
        <x:f>C2</x:f>
        <x:v>4202500</x:v>
      </x:c>
      <x:c r="B25" s="275"/>
      <x:c r="C25" s="275">
        <x:f>E25/I1</x:f>
        <x:v>4380660</x:v>
      </x:c>
      <x:c r="D25" s="275"/>
      <x:c r="E25" s="275">
        <x:f>SUM('1:25'!$A$25)</x:f>
        <x:v>109516500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SUM('1:25'!$K$21)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0.0066616628544557211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13000*4.5</x:f>
        <x:v>58500</x:v>
      </x:c>
      <x:c r="G27" s="261"/>
      <x:c r="H27" s="111" t="s">
        <x:v>118</x:v>
      </x:c>
      <x:c r="I27" s="112">
        <x:f>SUM(C27:D34,F27:G32)</x:f>
        <x:v>741429.0322580646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0.17642570666461976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</x:f>
        <x:v>46800</x:v>
      </x:c>
      <x:c r="G29" s="261"/>
      <x:c r="H29" s="111" t="s">
        <x:v>33</x:v>
      </x:c>
      <x:c r="I29" s="112">
        <x:f>SUM('1:25'!$I$25)</x:f>
        <x:v>18239050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24.599859469289903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abSelected="1" topLeftCell="A26" zoomScale="85" zoomScaleNormal="85" zoomScaleSheetLayoutView="75" workbookViewId="0">
      <x:selection activeCell="L29" activeCellId="0" sqref="L29:L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26</x:v>
      </x:c>
      <x:c r="G1" s="68" t="s">
        <x:v>62</x:v>
      </x:c>
      <x:c r="H1" s="52" t="s">
        <x:v>123</x:v>
      </x:c>
      <x:c r="I1" s="52">
        <x:f>F1-K1</x:f>
        <x:v>26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5019500</x:v>
      </x:c>
      <x:c r="D2" s="274"/>
      <x:c r="E2" s="277" t="s">
        <x:v>40</x:v>
      </x:c>
      <x:c r="F2" s="278"/>
      <x:c r="G2" s="266">
        <x:v>80700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4616500</x:v>
      </x:c>
      <x:c r="D4" s="261"/>
      <x:c r="E4" s="276" t="s">
        <x:v>149</x:v>
      </x:c>
      <x:c r="F4" s="276"/>
      <x:c r="G4" s="133">
        <x:f>INT(C4*0.0275)</x:f>
        <x:v>126953</x:v>
      </x:c>
      <x:c r="H4" s="54" t="s">
        <x:v>20</x:v>
      </x:c>
      <x:c r="I4" s="124">
        <x:f>332800+30650+215475+10+265132</x:f>
        <x:v>844067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403000</x:v>
      </x:c>
      <x:c r="D5" s="261"/>
      <x:c r="E5" s="260" t="s">
        <x:v>70</x:v>
      </x:c>
      <x:c r="F5" s="260"/>
      <x:c r="G5" s="133">
        <x:f>INT(C5*0.01)</x:f>
        <x:v>4030</x:v>
      </x:c>
      <x:c r="H5" s="54" t="s">
        <x:v>6</x:v>
      </x:c>
      <x:c r="I5" s="124">
        <x:f>16100+45430+59312</x:f>
        <x:v>120842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330000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67000</x:v>
      </x:c>
      <x:c r="D8" s="261"/>
      <x:c r="E8" s="287" t="s">
        <x:v>110</x:v>
      </x:c>
      <x:c r="F8" s="288"/>
      <x:c r="G8" s="293">
        <x:f>C5+G2-G6-C22</x:f>
        <x:v>153700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 t="s">
        <x:v>163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4</x:v>
      </x:c>
      <x:c r="D12" s="287" t="s">
        <x:v>133</x:v>
      </x:c>
      <x:c r="E12" s="288"/>
      <x:c r="F12" s="291">
        <x:v>4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SUM('1:26'!$C$12)</x:f>
        <x:v>211</x:v>
      </x:c>
      <x:c r="D13" s="279"/>
      <x:c r="E13" s="280"/>
      <x:c r="F13" s="289">
        <x:f>SUM('1:26'!$F$12)</x:f>
        <x:v>112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22</x:v>
      </x:c>
      <x:c r="D14" s="287" t="s">
        <x:v>95</x:v>
      </x:c>
      <x:c r="E14" s="288"/>
      <x:c r="F14" s="291">
        <x:v>3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SUM('1:26'!$C$14)</x:f>
        <x:v>677</x:v>
      </x:c>
      <x:c r="D15" s="279"/>
      <x:c r="E15" s="280"/>
      <x:c r="F15" s="289">
        <x:f>SUM('1:26'!$F$14)</x:f>
        <x:v>352</x:v>
      </x:c>
      <x:c r="G15" s="290"/>
      <x:c r="H15" s="54" t="s">
        <x:v>106</x:v>
      </x:c>
      <x:c r="I15" s="58">
        <x:f>60000+11800+6600+28000+7500+4900+6000+10600+13000</x:f>
        <x:v>148400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8</x:v>
      </x:c>
      <x:c r="D16" s="287" t="s">
        <x:v>117</x:v>
      </x:c>
      <x:c r="E16" s="288"/>
      <x:c r="F16" s="285">
        <x:v>25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SUM('1:26'!$C$16)</x:f>
        <x:v>175</x:v>
      </x:c>
      <x:c r="D17" s="279"/>
      <x:c r="E17" s="280"/>
      <x:c r="F17" s="286">
        <x:f>SUM('1:26'!$F$16)</x:f>
        <x:v>330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26</x:v>
      </x:c>
      <x:c r="D18" s="287" t="s">
        <x:v>130</x:v>
      </x:c>
      <x:c r="E18" s="288"/>
      <x:c r="F18" s="295">
        <x:v>2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SUM('1:26'!$C$18)</x:f>
        <x:v>331</x:v>
      </x:c>
      <x:c r="D19" s="279"/>
      <x:c r="E19" s="280"/>
      <x:c r="F19" s="286">
        <x:f>SUM('1:26'!$F$18)</x:f>
        <x:v>153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70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SUM('1:26'!$F$20)</x:f>
        <x:v>1610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1175309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403000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0.23414862038051598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5019500</x:v>
      </x:c>
      <x:c r="B25" s="275"/>
      <x:c r="C25" s="363">
        <x:f>E25/I1</x:f>
        <x:v>4405230.769230769</x:v>
      </x:c>
      <x:c r="D25" s="275"/>
      <x:c r="E25" s="275">
        <x:f>SUM('1:26'!$A$25)</x:f>
        <x:v>114536000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SUM('1:26'!$K$21)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0.0063697178179786271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747929.0322580646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0.14900468816775866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</x:f>
        <x:v>46800</x:v>
      </x:c>
      <x:c r="G29" s="261"/>
      <x:c r="H29" s="111" t="s">
        <x:v>33</x:v>
      </x:c>
      <x:c r="I29" s="112">
        <x:f>SUM('1:26'!$I$25)</x:f>
        <x:v>18968612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25.361513167542199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/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abSelected="1" topLeftCell="A19" zoomScale="85" zoomScaleNormal="85" zoomScaleSheetLayoutView="75" workbookViewId="0">
      <x:selection activeCell="F29" activeCellId="0" sqref="F29:G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27</x:v>
      </x:c>
      <x:c r="G1" s="68" t="s">
        <x:v>27</x:v>
      </x:c>
      <x:c r="H1" s="52" t="s">
        <x:v>123</x:v>
      </x:c>
      <x:c r="I1" s="52">
        <x:f>F1-K1</x:f>
        <x:v>27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4587500</x:v>
      </x:c>
      <x:c r="D2" s="274"/>
      <x:c r="E2" s="277" t="s">
        <x:v>40</x:v>
      </x:c>
      <x:c r="F2" s="278"/>
      <x:c r="G2" s="266">
        <x:v>153900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3849500</x:v>
      </x:c>
      <x:c r="D4" s="261"/>
      <x:c r="E4" s="276" t="s">
        <x:v>149</x:v>
      </x:c>
      <x:c r="F4" s="276"/>
      <x:c r="G4" s="133">
        <x:f>INT(C4*0.0275)</x:f>
        <x:v>105861</x:v>
      </x:c>
      <x:c r="H4" s="54" t="s">
        <x:v>20</x:v>
      </x:c>
      <x:c r="I4" s="124">
        <x:f>309625+279040+439200+232050+247308+452000</x:f>
        <x:v>1959223</x:v>
      </x:c>
      <x:c r="J4" s="80" t="s">
        <x:v>36</x:v>
      </x:c>
      <x:c r="K4" s="58">
        <x:v>277000</x:v>
      </x:c>
    </x:row>
    <x:row r="5" spans="1:11" ht="30.949999999999999" customHeight="1">
      <x:c r="A5" s="268" t="s">
        <x:v>61</x:v>
      </x:c>
      <x:c r="B5" s="269"/>
      <x:c r="C5" s="261">
        <x:v>738000</x:v>
      </x:c>
      <x:c r="D5" s="261"/>
      <x:c r="E5" s="260" t="s">
        <x:v>70</x:v>
      </x:c>
      <x:c r="F5" s="260"/>
      <x:c r="G5" s="133">
        <x:f>INT(C5*0.01)</x:f>
        <x:v>7380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780000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f>289450-29400</x:f>
        <x:v>260050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111900</x:v>
      </x:c>
      <x:c r="D8" s="261"/>
      <x:c r="E8" s="287" t="s">
        <x:v>110</x:v>
      </x:c>
      <x:c r="F8" s="288"/>
      <x:c r="G8" s="293">
        <x:f>C5+G2-G6-C22</x:f>
        <x:v>111900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8</x:v>
      </x:c>
      <x:c r="D12" s="287" t="s">
        <x:v>133</x:v>
      </x:c>
      <x:c r="E12" s="288"/>
      <x:c r="F12" s="291">
        <x:v>2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SUM('1:27'!$C$12)</x:f>
        <x:v>219</x:v>
      </x:c>
      <x:c r="D13" s="279"/>
      <x:c r="E13" s="280"/>
      <x:c r="F13" s="289">
        <x:f>SUM('1:27'!$F$12)</x:f>
        <x:v>114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23</x:v>
      </x:c>
      <x:c r="D14" s="287" t="s">
        <x:v>95</x:v>
      </x:c>
      <x:c r="E14" s="288"/>
      <x:c r="F14" s="291">
        <x:v>10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SUM('1:27'!$C$14)</x:f>
        <x:v>700</x:v>
      </x:c>
      <x:c r="D15" s="279"/>
      <x:c r="E15" s="280"/>
      <x:c r="F15" s="289">
        <x:f>SUM('1:27'!$F$14)</x:f>
        <x:v>362</x:v>
      </x:c>
      <x:c r="G15" s="290"/>
      <x:c r="H15" s="54" t="s">
        <x:v>106</x:v>
      </x:c>
      <x:c r="I15" s="58">
        <x:f>45000+9800+15000+11000+11800+3500+5000+28000+52000+2100+11500+19200+10500</x:f>
        <x:v>224400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1</x:v>
      </x:c>
      <x:c r="D16" s="287" t="s">
        <x:v>117</x:v>
      </x:c>
      <x:c r="E16" s="288"/>
      <x:c r="F16" s="285">
        <x:v>11</x:v>
      </x:c>
      <x:c r="G16" s="285"/>
      <x:c r="H16" s="54"/>
      <x:c r="I16" s="58"/>
      <x:c r="J16" s="54" t="s">
        <x:v>97</x:v>
      </x:c>
      <x:c r="K16" s="58">
        <x:v>112937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SUM('1:27'!$C$16)</x:f>
        <x:v>176</x:v>
      </x:c>
      <x:c r="D17" s="279"/>
      <x:c r="E17" s="280"/>
      <x:c r="F17" s="286">
        <x:f>SUM('1:27'!$F$16)</x:f>
        <x:v>341</x:v>
      </x:c>
      <x:c r="G17" s="286"/>
      <x:c r="H17" s="54" t="s">
        <x:v>7</x:v>
      </x:c>
      <x:c r="I17" s="58">
        <x:v>1600</x:v>
      </x:c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8</x:v>
      </x:c>
      <x:c r="D18" s="287" t="s">
        <x:v>130</x:v>
      </x:c>
      <x:c r="E18" s="288"/>
      <x:c r="F18" s="295">
        <x:v>2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SUM('1:27'!$C$18)</x:f>
        <x:v>339</x:v>
      </x:c>
      <x:c r="D19" s="279"/>
      <x:c r="E19" s="280"/>
      <x:c r="F19" s="286">
        <x:f>SUM('1:27'!$F$18)</x:f>
        <x:v>155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62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SUM('1:27'!$F$20)</x:f>
        <x:v>1672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2445273</x:v>
      </x:c>
      <x:c r="J23" s="61" t="s">
        <x:v>119</x:v>
      </x:c>
      <x:c r="K23" s="62">
        <x:f>SUM(K4:K22)</x:f>
        <x:v>389937</x:v>
      </x:c>
      <x:c r="M23" s="88" t="s">
        <x:v>93</x:v>
      </x:c>
      <x:c r="N23" s="282">
        <x:f>C5+C6</x:f>
        <x:v>738000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0.53302953678474119</x:v>
      </x:c>
      <x:c r="J24" s="61" t="s">
        <x:v>8</x:v>
      </x:c>
      <x:c r="K24" s="63">
        <x:f>K23/A25</x:f>
        <x:v>0.084999891008174386</x:v>
      </x:c>
    </x:row>
    <x:row r="25" spans="1:11" ht="34.149999999999999" customHeight="1">
      <x:c r="A25" s="311">
        <x:f>C2</x:f>
        <x:v>4587500</x:v>
      </x:c>
      <x:c r="B25" s="275"/>
      <x:c r="C25" s="275">
        <x:f>E25/I1</x:f>
        <x:v>4411981.4814814813</x:v>
      </x:c>
      <x:c r="D25" s="275"/>
      <x:c r="E25" s="275">
        <x:f>SUM('1:27'!$A$25)</x:f>
        <x:v>119123500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SUM('1:27'!$K$21)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0.0061244170965426637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884429.0322580646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0.19279106970203044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>
        <x:f>11700*4</x:f>
        <x:v>46800</x:v>
      </x:c>
      <x:c r="G29" s="261"/>
      <x:c r="H29" s="111" t="s">
        <x:v>33</x:v>
      </x:c>
      <x:c r="I29" s="112">
        <x:f>SUM('1:27'!$I$25)</x:f>
        <x:v>19698174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22.272192885513888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13000*10.5</x:f>
        <x:v>136500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abSelected="1" topLeftCell="C25" zoomScale="85" zoomScaleNormal="85" zoomScaleSheetLayoutView="75" workbookViewId="0">
      <x:selection activeCell="J32" activeCellId="0" sqref="J32:J32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28</x:v>
      </x:c>
      <x:c r="G1" s="68" t="s">
        <x:v>166</x:v>
      </x:c>
      <x:c r="H1" s="52" t="s">
        <x:v>123</x:v>
      </x:c>
      <x:c r="I1" s="52">
        <x:f>F1-K1</x:f>
        <x:v>28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5071000</x:v>
      </x:c>
      <x:c r="D2" s="274"/>
      <x:c r="E2" s="277" t="s">
        <x:v>40</x:v>
      </x:c>
      <x:c r="F2" s="278"/>
      <x:c r="G2" s="266">
        <x:v>111900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4463500</x:v>
      </x:c>
      <x:c r="D4" s="261"/>
      <x:c r="E4" s="276" t="s">
        <x:v>149</x:v>
      </x:c>
      <x:c r="F4" s="276"/>
      <x:c r="G4" s="133">
        <x:f>INT(C4*0.0275)</x:f>
        <x:v>122746</x:v>
      </x:c>
      <x:c r="H4" s="54" t="s">
        <x:v>20</x:v>
      </x:c>
      <x:c r="I4" s="124">
        <x:f>87000</x:f>
        <x:v>87000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607500</x:v>
      </x:c>
      <x:c r="D5" s="261"/>
      <x:c r="E5" s="260" t="s">
        <x:v>70</x:v>
      </x:c>
      <x:c r="F5" s="260"/>
      <x:c r="G5" s="133">
        <x:f>INT(C5*0.01)</x:f>
        <x:v>6075</x:v>
      </x:c>
      <x:c r="H5" s="54" t="s">
        <x:v>6</x:v>
      </x:c>
      <x:c r="I5" s="124">
        <x:f>53350+44000+29656+78760+50000+69000+3500+7360+30160+15390+16100</x:f>
        <x:v>397276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600000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v>211400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119400</x:v>
      </x:c>
      <x:c r="D8" s="261"/>
      <x:c r="E8" s="287" t="s">
        <x:v>110</x:v>
      </x:c>
      <x:c r="F8" s="288"/>
      <x:c r="G8" s="293">
        <x:f>C5+G2-G6-C22</x:f>
        <x:v>119400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>
        <x:v>207000</x:v>
      </x:c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 t="s">
        <x:v>158</x:v>
      </x:c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6</x:v>
      </x:c>
      <x:c r="D12" s="287" t="s">
        <x:v>133</x:v>
      </x:c>
      <x:c r="E12" s="288"/>
      <x:c r="F12" s="291">
        <x:v>7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SUM('1:28'!$C$12)</x:f>
        <x:v>225</x:v>
      </x:c>
      <x:c r="D13" s="279"/>
      <x:c r="E13" s="280"/>
      <x:c r="F13" s="289">
        <x:f>SUM('1:28'!$F$12)</x:f>
        <x:v>121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11</x:v>
      </x:c>
      <x:c r="D14" s="287" t="s">
        <x:v>95</x:v>
      </x:c>
      <x:c r="E14" s="288"/>
      <x:c r="F14" s="291">
        <x:v>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SUM('1:28'!$C$14)</x:f>
        <x:v>711</x:v>
      </x:c>
      <x:c r="D15" s="279"/>
      <x:c r="E15" s="280"/>
      <x:c r="F15" s="289">
        <x:f>SUM('1:28'!$F$14)</x:f>
        <x:v>369</x:v>
      </x:c>
      <x:c r="G15" s="290"/>
      <x:c r="H15" s="54" t="s">
        <x:v>106</x:v>
      </x:c>
      <x:c r="I15" s="58">
        <x:f>5500+4600+10500+60000+11800+7500+6000+10600+19200+3500+14000+12500+4500+2450+8400+22000</x:f>
        <x:v>203050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5</x:v>
      </x:c>
      <x:c r="D16" s="287" t="s">
        <x:v>117</x:v>
      </x:c>
      <x:c r="E16" s="288"/>
      <x:c r="F16" s="285">
        <x:v>20</x:v>
      </x:c>
      <x:c r="G16" s="285"/>
      <x:c r="H16" s="54"/>
      <x:c r="I16" s="58"/>
      <x:c r="J16" s="54" t="s">
        <x:v>97</x:v>
      </x:c>
      <x:c r="K16" s="58">
        <x:v>363749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SUM('1:28'!$C$16)</x:f>
        <x:v>181</x:v>
      </x:c>
      <x:c r="D17" s="279"/>
      <x:c r="E17" s="280"/>
      <x:c r="F17" s="286">
        <x:f>SUM('1:28'!$F$16)</x:f>
        <x:v>361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8</x:v>
      </x:c>
      <x:c r="D18" s="287" t="s">
        <x:v>130</x:v>
      </x:c>
      <x:c r="E18" s="288"/>
      <x:c r="F18" s="295">
        <x:v>1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SUM('1:28'!$C$18)</x:f>
        <x:v>347</x:v>
      </x:c>
      <x:c r="D19" s="279"/>
      <x:c r="E19" s="280"/>
      <x:c r="F19" s="286">
        <x:f>SUM('1:28'!$F$18)</x:f>
        <x:v>156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69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SUM('1:28'!$F$20)</x:f>
        <x:v>1741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960726</x:v>
      </x:c>
      <x:c r="J23" s="61" t="s">
        <x:v>119</x:v>
      </x:c>
      <x:c r="K23" s="62">
        <x:f>SUM(K4:K22)</x:f>
        <x:v>363749</x:v>
      </x:c>
      <x:c r="M23" s="88" t="s">
        <x:v>93</x:v>
      </x:c>
      <x:c r="N23" s="282">
        <x:f>C5+C6</x:f>
        <x:v>607500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0.18945493985407216</x:v>
      </x:c>
      <x:c r="J24" s="61" t="s">
        <x:v>8</x:v>
      </x:c>
      <x:c r="K24" s="63">
        <x:f>K23/A25</x:f>
        <x:v>0.071731216722539931</x:v>
      </x:c>
    </x:row>
    <x:row r="25" spans="1:11" ht="34.149999999999999" customHeight="1">
      <x:c r="A25" s="311">
        <x:f>C2</x:f>
        <x:v>5071000</x:v>
      </x:c>
      <x:c r="B25" s="275"/>
      <x:c r="C25" s="275">
        <x:f>E25/I1</x:f>
        <x:v>4435517.8571428573</x:v>
      </x:c>
      <x:c r="D25" s="275"/>
      <x:c r="E25" s="275">
        <x:f>SUM('1:28'!$A$25)</x:f>
        <x:v>124194500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SUM('1:28'!$K$21)</x:f>
        <x:v>0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0.005874350313419676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854129.0322580646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0.16843404304043869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SUM('1:28'!$I$25)</x:f>
        <x:v>20427736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23.916451997885034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132000</x:v>
      </x:c>
      <x:c r="G31" s="310"/>
    </x:row>
    <x:row r="32" spans="1:7" customHeight="1">
      <x:c r="A32" s="318"/>
      <x:c r="B32" s="54" t="s">
        <x:v>29</x:v>
      </x:c>
      <x:c r="C32" s="307">
        <x:f>14000*4.5</x:f>
        <x:v>63000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13000*6</x:f>
        <x:v>78000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abSelected="1" topLeftCell="A1" zoomScale="85" zoomScaleNormal="85" zoomScaleSheetLayoutView="75" workbookViewId="0">
      <x:selection activeCell="M33" activeCellId="0" sqref="M33:M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29</x:v>
      </x:c>
      <x:c r="G1" s="68" t="s">
        <x:v>28</x:v>
      </x:c>
      <x:c r="H1" s="52" t="s">
        <x:v>123</x:v>
      </x:c>
      <x:c r="I1" s="52">
        <x:f>F1-K1</x:f>
        <x:v>29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4815000</x:v>
      </x:c>
      <x:c r="D2" s="274"/>
      <x:c r="E2" s="277" t="s">
        <x:v>40</x:v>
      </x:c>
      <x:c r="F2" s="278"/>
      <x:c r="G2" s="266">
        <x:v>119400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3986500</x:v>
      </x:c>
      <x:c r="D4" s="261"/>
      <x:c r="E4" s="276" t="s">
        <x:v>149</x:v>
      </x:c>
      <x:c r="F4" s="276"/>
      <x:c r="G4" s="133">
        <x:f>INT(C4*0.0275)</x:f>
        <x:v>109628</x:v>
      </x:c>
      <x:c r="H4" s="54" t="s">
        <x:v>20</x:v>
      </x:c>
      <x:c r="I4" s="124">
        <x:f>322010+307200+56220+30650+452000+221000+193620+10</x:f>
        <x:v>1582710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828500</x:v>
      </x:c>
      <x:c r="D5" s="261"/>
      <x:c r="E5" s="260" t="s">
        <x:v>70</x:v>
      </x:c>
      <x:c r="F5" s="260"/>
      <x:c r="G5" s="133">
        <x:f>INT(C5*0.01)</x:f>
        <x:v>8285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840000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>
        <x:f>475000</x:f>
        <x:v>475000</x:v>
      </x:c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107900</x:v>
      </x:c>
      <x:c r="D8" s="261"/>
      <x:c r="E8" s="287" t="s">
        <x:v>110</x:v>
      </x:c>
      <x:c r="F8" s="288"/>
      <x:c r="G8" s="293">
        <x:f>C5+G2-G6-C22</x:f>
        <x:v>107900</x:v>
      </x:c>
      <x:c r="H8" s="54" t="s">
        <x:v>45</x:v>
      </x:c>
      <x:c r="I8" s="124">
        <x:v>62000</x:v>
      </x:c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5</x:v>
      </x:c>
      <x:c r="D12" s="287" t="s">
        <x:v>133</x:v>
      </x:c>
      <x:c r="E12" s="288"/>
      <x:c r="F12" s="291">
        <x:v>12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SUM('1:29'!$C$12)</x:f>
        <x:v>230</x:v>
      </x:c>
      <x:c r="D13" s="279"/>
      <x:c r="E13" s="280"/>
      <x:c r="F13" s="289">
        <x:f>SUM('1:29'!$F$12)</x:f>
        <x:v>133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19</x:v>
      </x:c>
      <x:c r="D14" s="287" t="s">
        <x:v>95</x:v>
      </x:c>
      <x:c r="E14" s="288"/>
      <x:c r="F14" s="291">
        <x:v>4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SUM('1:29'!$C$14)</x:f>
        <x:v>730</x:v>
      </x:c>
      <x:c r="D15" s="279"/>
      <x:c r="E15" s="280"/>
      <x:c r="F15" s="289">
        <x:f>SUM('1:29'!$F$14)</x:f>
        <x:v>373</x:v>
      </x:c>
      <x:c r="G15" s="290"/>
      <x:c r="H15" s="54" t="s">
        <x:v>106</x:v>
      </x:c>
      <x:c r="I15" s="58">
        <x:f>84000+15000+7500+11800+4900+6200+22000+60000</x:f>
        <x:v>211400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3</x:v>
      </x:c>
      <x:c r="D16" s="287" t="s">
        <x:v>117</x:v>
      </x:c>
      <x:c r="E16" s="288"/>
      <x:c r="F16" s="285">
        <x:v>14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SUM('1:29'!$C$16)</x:f>
        <x:v>184</x:v>
      </x:c>
      <x:c r="D17" s="279"/>
      <x:c r="E17" s="280"/>
      <x:c r="F17" s="286">
        <x:f>SUM('1:29'!$F$16)</x:f>
        <x:v>375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18</x:v>
      </x:c>
      <x:c r="D18" s="287" t="s">
        <x:v>130</x:v>
      </x:c>
      <x:c r="E18" s="288"/>
      <x:c r="F18" s="295">
        <x:v>10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SUM('1:29'!$C$18)</x:f>
        <x:v>365</x:v>
      </x:c>
      <x:c r="D19" s="279"/>
      <x:c r="E19" s="280"/>
      <x:c r="F19" s="286">
        <x:f>SUM('1:29'!$F$18)</x:f>
        <x:v>166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69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SUM('1:29'!$F$20)</x:f>
        <x:v>1810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2331110</x:v>
      </x:c>
      <x:c r="J23" s="61" t="s">
        <x:v>119</x:v>
      </x:c>
      <x:c r="K23" s="62">
        <x:f>SUM(K4:K22)</x:f>
        <x:v>0</x:v>
      </x:c>
      <x:c r="M23" s="88" t="s">
        <x:v>93</x:v>
      </x:c>
      <x:c r="N23" s="282">
        <x:f>C5+C6</x:f>
        <x:v>828500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0.48413499480789202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1">
        <x:f>C2</x:f>
        <x:v>4815000</x:v>
      </x:c>
      <x:c r="B25" s="275"/>
      <x:c r="C25" s="275">
        <x:f>E25/I1</x:f>
        <x:v>4448603.4482758623</x:v>
      </x:c>
      <x:c r="D25" s="275"/>
      <x:c r="E25" s="275">
        <x:f>SUM('1:29'!$A$25)</x:f>
        <x:v>129009500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SUM('1:29'!$K$23)</x:f>
        <x:v>2114602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0.0056551029187772994</x:v>
      </x:c>
      <x:c r="J26" s="64" t="s">
        <x:v>128</x:v>
      </x:c>
      <x:c r="K26" s="65">
        <x:f>K25/$E$25</x:f>
        <x:v>0.016391056472585354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>
        <x:f>13000*5</x:f>
        <x:v>65000</x:v>
      </x:c>
      <x:c r="G27" s="261"/>
      <x:c r="H27" s="111" t="s">
        <x:v>118</x:v>
      </x:c>
      <x:c r="I27" s="112">
        <x:f>SUM(C27:D34,F27:G32)</x:f>
        <x:v>753129.0322580646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0.15641309081164373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SUM('1:29'!$I$27)</x:f>
        <x:v>23092441.935483873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30.66199940035122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120000</x:v>
      </x:c>
      <x:c r="G31" s="310"/>
    </x:row>
    <x:row r="32" spans="1:7" customHeight="1">
      <x:c r="A32" s="318"/>
      <x:c r="B32" s="54" t="s">
        <x:v>29</x:v>
      </x:c>
      <x:c r="C32" s="307"/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abSelected="1" topLeftCell="A19" zoomScale="85" zoomScaleNormal="85" zoomScaleSheetLayoutView="75" workbookViewId="0">
      <x:selection activeCell="H32" activeCellId="0" sqref="H32:H32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30</x:v>
      </x:c>
      <x:c r="G1" s="68" t="s">
        <x:v>18</x:v>
      </x:c>
      <x:c r="H1" s="52" t="s">
        <x:v>123</x:v>
      </x:c>
      <x:c r="I1" s="52">
        <x:f>F1-K1</x:f>
        <x:v>30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3709000</x:v>
      </x:c>
      <x:c r="D2" s="274"/>
      <x:c r="E2" s="277" t="s">
        <x:v>40</x:v>
      </x:c>
      <x:c r="F2" s="278"/>
      <x:c r="G2" s="266">
        <x:v>107900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3495000</x:v>
      </x:c>
      <x:c r="D4" s="261"/>
      <x:c r="E4" s="276" t="s">
        <x:v>149</x:v>
      </x:c>
      <x:c r="F4" s="276"/>
      <x:c r="G4" s="133">
        <x:f>INT(C4*0.0275)</x:f>
        <x:v>96112</x:v>
      </x:c>
      <x:c r="H4" s="54" t="s">
        <x:v>20</x:v>
      </x:c>
      <x:c r="I4" s="124">
        <x:f>594480+578560+439200+237575+532492+225890+30650+904000</x:f>
        <x:v>3542847</x:v>
      </x:c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214000</x:v>
      </x:c>
      <x:c r="D5" s="261"/>
      <x:c r="E5" s="260" t="s">
        <x:v>70</x:v>
      </x:c>
      <x:c r="F5" s="260"/>
      <x:c r="G5" s="133">
        <x:f>INT(C5*0.01)</x:f>
        <x:v>2140</x:v>
      </x:c>
      <x:c r="H5" s="54" t="s">
        <x:v>6</x:v>
      </x:c>
      <x:c r="I5" s="124">
        <x:f>150000+138000+108000+45430+44000+88968+78760+10500+19240+15390</x:f>
        <x:v>698288</x:v>
      </x:c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220000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>
        <x:v>12500</x:v>
      </x:c>
    </x:row>
    <x:row r="8" spans="1:11" ht="21.949999999999999" customHeight="1">
      <x:c r="A8" s="259" t="s">
        <x:v>134</x:v>
      </x:c>
      <x:c r="B8" s="260"/>
      <x:c r="C8" s="261">
        <x:v>101900</x:v>
      </x:c>
      <x:c r="D8" s="261"/>
      <x:c r="E8" s="287" t="s">
        <x:v>110</x:v>
      </x:c>
      <x:c r="F8" s="288"/>
      <x:c r="G8" s="293">
        <x:f>C5+G2-G6-C22</x:f>
        <x:v>101900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8</x:v>
      </x:c>
      <x:c r="D12" s="287" t="s">
        <x:v>133</x:v>
      </x:c>
      <x:c r="E12" s="288"/>
      <x:c r="F12" s="291">
        <x:v>4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SUM('1:30'!$C$12)</x:f>
        <x:v>238</x:v>
      </x:c>
      <x:c r="D13" s="279"/>
      <x:c r="E13" s="280"/>
      <x:c r="F13" s="289">
        <x:f>SUM('1:30'!$F$12)</x:f>
        <x:v>137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20</x:v>
      </x:c>
      <x:c r="D14" s="287" t="s">
        <x:v>95</x:v>
      </x:c>
      <x:c r="E14" s="288"/>
      <x:c r="F14" s="291">
        <x:v>2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SUM('1:30'!$C$14)</x:f>
        <x:v>750</x:v>
      </x:c>
      <x:c r="D15" s="279"/>
      <x:c r="E15" s="280"/>
      <x:c r="F15" s="289">
        <x:f>SUM('1:30'!$F$14)</x:f>
        <x:v>375</x:v>
      </x:c>
      <x:c r="G15" s="290"/>
      <x:c r="H15" s="54" t="s">
        <x:v>106</x:v>
      </x:c>
      <x:c r="I15" s="58">
        <x:f>60000+22000+11000+22500+11800+21000+19200+7500+3500+13000+4000+13500+2550+4900+28000+13000+3900+17600</x:f>
        <x:v>278950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5</x:v>
      </x:c>
      <x:c r="D16" s="287" t="s">
        <x:v>117</x:v>
      </x:c>
      <x:c r="E16" s="288"/>
      <x:c r="F16" s="285">
        <x:v>16</x:v>
      </x:c>
      <x:c r="G16" s="285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SUM('1:30'!$C$16)</x:f>
        <x:v>189</x:v>
      </x:c>
      <x:c r="D17" s="279"/>
      <x:c r="E17" s="280"/>
      <x:c r="F17" s="286">
        <x:f>SUM('1:30'!$F$16)</x:f>
        <x:v>391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4</x:v>
      </x:c>
      <x:c r="D18" s="287" t="s">
        <x:v>130</x:v>
      </x:c>
      <x:c r="E18" s="288"/>
      <x:c r="F18" s="295">
        <x:v>2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SUM('1:30'!$C$18)</x:f>
        <x:v>369</x:v>
      </x:c>
      <x:c r="D19" s="279"/>
      <x:c r="E19" s="280"/>
      <x:c r="F19" s="286">
        <x:f>SUM('1:30'!$F$18)</x:f>
        <x:v>168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43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SUM('1:30'!$F$20)</x:f>
        <x:v>1853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4520085</x:v>
      </x:c>
      <x:c r="J23" s="61" t="s">
        <x:v>119</x:v>
      </x:c>
      <x:c r="K23" s="62">
        <x:f>SUM(K4:K22)</x:f>
        <x:v>12500</x:v>
      </x:c>
      <x:c r="M23" s="88" t="s">
        <x:v>93</x:v>
      </x:c>
      <x:c r="N23" s="282">
        <x:f>C5+C6</x:f>
        <x:v>214000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1.2186802372607173</x:v>
      </x:c>
      <x:c r="J24" s="61" t="s">
        <x:v>8</x:v>
      </x:c>
      <x:c r="K24" s="63">
        <x:f>K23/A25</x:f>
        <x:v>0.0033701806416823942</x:v>
      </x:c>
    </x:row>
    <x:row r="25" spans="1:11" ht="34.149999999999999" customHeight="1">
      <x:c r="A25" s="311">
        <x:f>C2</x:f>
        <x:v>3709000</x:v>
      </x:c>
      <x:c r="B25" s="275"/>
      <x:c r="C25" s="275">
        <x:f>E25/I1</x:f>
        <x:v>4423950</x:v>
      </x:c>
      <x:c r="D25" s="275"/>
      <x:c r="E25" s="275">
        <x:f>SUM('1:30'!$A$25)</x:f>
        <x:v>132718500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SUM('1:30'!$K$23)</x:f>
        <x:v>2127102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0.0054970633332956593</x:v>
      </x:c>
      <x:c r="J26" s="64" t="s">
        <x:v>128</x:v>
      </x:c>
      <x:c r="K26" s="65">
        <x:f>K25/$E$25</x:f>
        <x:v>0.01602717028899513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/>
      <x:c r="G27" s="261"/>
      <x:c r="H27" s="111" t="s">
        <x:v>118</x:v>
      </x:c>
      <x:c r="I27" s="112">
        <x:f>SUM(C27:D34,F27:G32)</x:f>
        <x:v>768129.0322580646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0.20709868758642885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SUM('1:30'!$I$27)</x:f>
        <x:v>23860570.967741936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31.063232823786326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3"/>
  <x:dimension ref="A1:O34"/>
  <x:sheetViews>
    <x:sheetView tabSelected="1" topLeftCell="A25" zoomScale="85" zoomScaleNormal="85" zoomScaleSheetLayoutView="75" workbookViewId="0">
      <x:selection activeCell="M31" activeCellId="0" sqref="M30:M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167</x:v>
      </x:c>
      <x:c r="F1" s="68">
        <x:v>31</x:v>
      </x:c>
      <x:c r="G1" s="68" t="s">
        <x:v>19</x:v>
      </x:c>
      <x:c r="H1" s="52" t="s">
        <x:v>123</x:v>
      </x:c>
      <x:c r="I1" s="52">
        <x:f>F1-K1</x:f>
        <x:v>31</x:v>
      </x:c>
      <x:c r="J1" s="52" t="s">
        <x:v>98</x:v>
      </x:c>
      <x:c r="K1" s="52"/>
    </x:row>
    <x:row r="2" spans="1:11" ht="20.100000000000001" customHeight="1">
      <x:c r="A2" s="270" t="s">
        <x:v>9</x:v>
      </x:c>
      <x:c r="B2" s="271"/>
      <x:c r="C2" s="274">
        <x:f>SUM(C4:D7)</x:f>
        <x:v>4930000</x:v>
      </x:c>
      <x:c r="D2" s="274"/>
      <x:c r="E2" s="277" t="s">
        <x:v>40</x:v>
      </x:c>
      <x:c r="F2" s="278"/>
      <x:c r="G2" s="266">
        <x:v>101900</x:v>
      </x:c>
      <x:c r="H2" s="264" t="s">
        <x:v>6</x:v>
      </x:c>
      <x:c r="I2" s="265"/>
      <x:c r="J2" s="262" t="s">
        <x:v>74</x:v>
      </x:c>
      <x:c r="K2" s="263"/>
    </x:row>
    <x:row r="3" spans="1:11" ht="20.100000000000001" customHeight="1">
      <x:c r="A3" s="272"/>
      <x:c r="B3" s="273"/>
      <x:c r="C3" s="275"/>
      <x:c r="D3" s="275"/>
      <x:c r="E3" s="279"/>
      <x:c r="F3" s="280"/>
      <x:c r="G3" s="267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8" t="s">
        <x:v>22</x:v>
      </x:c>
      <x:c r="B4" s="269"/>
      <x:c r="C4" s="261">
        <x:v>3643000</x:v>
      </x:c>
      <x:c r="D4" s="261"/>
      <x:c r="E4" s="276" t="s">
        <x:v>149</x:v>
      </x:c>
      <x:c r="F4" s="276"/>
      <x:c r="G4" s="133">
        <x:f>INT(C4*0.0275)</x:f>
        <x:v>100182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8" t="s">
        <x:v>61</x:v>
      </x:c>
      <x:c r="B5" s="269"/>
      <x:c r="C5" s="261">
        <x:v>1287000</x:v>
      </x:c>
      <x:c r="D5" s="261"/>
      <x:c r="E5" s="260" t="s">
        <x:v>70</x:v>
      </x:c>
      <x:c r="F5" s="260"/>
      <x:c r="G5" s="133">
        <x:f>INT(C5*0.01)</x:f>
        <x:v>12870</x:v>
      </x:c>
      <x:c r="H5" s="54" t="s">
        <x:v>6</x:v>
      </x:c>
      <x:c r="I5" s="124"/>
      <x:c r="J5" s="81"/>
      <x:c r="K5" s="58"/>
    </x:row>
    <x:row r="6" spans="1:11" ht="21.949999999999999" customHeight="1">
      <x:c r="A6" s="255" t="s">
        <x:v>84</x:v>
      </x:c>
      <x:c r="B6" s="256"/>
      <x:c r="C6" s="300"/>
      <x:c r="D6" s="301"/>
      <x:c r="E6" s="287" t="s">
        <x:v>131</x:v>
      </x:c>
      <x:c r="F6" s="288"/>
      <x:c r="G6" s="281">
        <x:v>1300000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7"/>
      <x:c r="B7" s="258"/>
      <x:c r="C7" s="302"/>
      <x:c r="D7" s="303"/>
      <x:c r="E7" s="279"/>
      <x:c r="F7" s="280"/>
      <x:c r="G7" s="267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59" t="s">
        <x:v>134</x:v>
      </x:c>
      <x:c r="B8" s="260"/>
      <x:c r="C8" s="261">
        <x:v>88900</x:v>
      </x:c>
      <x:c r="D8" s="261"/>
      <x:c r="E8" s="287" t="s">
        <x:v>110</x:v>
      </x:c>
      <x:c r="F8" s="288"/>
      <x:c r="G8" s="293">
        <x:f>C5+G2-G6-C22</x:f>
        <x:v>88900</x:v>
      </x:c>
      <x:c r="H8" s="54" t="s">
        <x:v>45</x:v>
      </x:c>
      <x:c r="I8" s="124"/>
      <x:c r="J8" s="81"/>
      <x:c r="K8" s="58"/>
    </x:row>
    <x:row r="9" spans="1:11" ht="21.949999999999999" customHeight="1">
      <x:c r="A9" s="259"/>
      <x:c r="B9" s="260"/>
      <x:c r="C9" s="261"/>
      <x:c r="D9" s="261"/>
      <x:c r="E9" s="279"/>
      <x:c r="F9" s="280"/>
      <x:c r="G9" s="294"/>
      <x:c r="H9" s="54"/>
      <x:c r="I9" s="124"/>
      <x:c r="J9" s="54" t="s">
        <x:v>16</x:v>
      </x:c>
      <x:c r="K9" s="58"/>
    </x:row>
    <x:row r="10" spans="1:11" ht="30.949999999999999" customHeight="1">
      <x:c r="A10" s="259" t="s">
        <x:v>143</x:v>
      </x:c>
      <x:c r="B10" s="260"/>
      <x:c r="C10" s="261"/>
      <x:c r="D10" s="261"/>
      <x:c r="E10" s="260" t="s">
        <x:v>87</x:v>
      </x:c>
      <x:c r="F10" s="260"/>
      <x:c r="G10" s="55"/>
      <x:c r="H10" s="54"/>
      <x:c r="I10" s="124"/>
      <x:c r="J10" s="54" t="s">
        <x:v>53</x:v>
      </x:c>
      <x:c r="K10" s="58"/>
    </x:row>
    <x:row r="11" spans="1:11" ht="33" customHeight="1">
      <x:c r="A11" s="259" t="s">
        <x:v>103</x:v>
      </x:c>
      <x:c r="B11" s="260"/>
      <x:c r="C11" s="299"/>
      <x:c r="D11" s="299"/>
      <x:c r="E11" s="299"/>
      <x:c r="F11" s="299"/>
      <x:c r="G11" s="299"/>
      <x:c r="H11" s="54" t="s">
        <x:v>58</x:v>
      </x:c>
      <x:c r="I11" s="58"/>
      <x:c r="J11" s="54" t="s">
        <x:v>82</x:v>
      </x:c>
      <x:c r="K11" s="135"/>
    </x:row>
    <x:row r="12" spans="1:13" ht="21.949999999999999" customHeight="1">
      <x:c r="A12" s="59" t="s">
        <x:v>48</x:v>
      </x:c>
      <x:c r="B12" s="297" t="s">
        <x:v>42</x:v>
      </x:c>
      <x:c r="C12" s="79">
        <x:v>6</x:v>
      </x:c>
      <x:c r="D12" s="287" t="s">
        <x:v>133</x:v>
      </x:c>
      <x:c r="E12" s="288"/>
      <x:c r="F12" s="291">
        <x:v>7</x:v>
      </x:c>
      <x:c r="G12" s="292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8"/>
      <x:c r="C13" s="134">
        <x:f>SUM('1:31'!$C$12)</x:f>
        <x:v>244</x:v>
      </x:c>
      <x:c r="D13" s="279"/>
      <x:c r="E13" s="280"/>
      <x:c r="F13" s="289">
        <x:f>SUM('1:31'!$F$12)</x:f>
        <x:v>144</x:v>
      </x:c>
      <x:c r="G13" s="290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7" t="s">
        <x:v>64</x:v>
      </x:c>
      <x:c r="C14" s="79">
        <x:v>25</x:v>
      </x:c>
      <x:c r="D14" s="287" t="s">
        <x:v>95</x:v>
      </x:c>
      <x:c r="E14" s="288"/>
      <x:c r="F14" s="291">
        <x:v>17</x:v>
      </x:c>
      <x:c r="G14" s="292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8"/>
      <x:c r="C15" s="134">
        <x:f>SUM('1:31'!$C$14)</x:f>
        <x:v>775</x:v>
      </x:c>
      <x:c r="D15" s="279"/>
      <x:c r="E15" s="280"/>
      <x:c r="F15" s="289">
        <x:f>SUM('1:31'!$F$14)</x:f>
        <x:v>392</x:v>
      </x:c>
      <x:c r="G15" s="290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7" t="s">
        <x:v>51</x:v>
      </x:c>
      <x:c r="C16" s="79">
        <x:v>9</x:v>
      </x:c>
      <x:c r="D16" s="287" t="s">
        <x:v>117</x:v>
      </x:c>
      <x:c r="E16" s="288"/>
      <x:c r="F16" s="285">
        <x:v>18</x:v>
      </x:c>
      <x:c r="G16" s="285"/>
      <x:c r="H16" s="54"/>
      <x:c r="I16" s="58"/>
      <x:c r="J16" s="54" t="s">
        <x:v>97</x:v>
      </x:c>
      <x:c r="K16" s="58">
        <x:v>447060</x:v>
      </x:c>
      <x:c r="L16" s="60"/>
      <x:c r="M16" s="11"/>
    </x:row>
    <x:row r="17" spans="1:13" ht="21.949999999999999" customHeight="1">
      <x:c r="A17" s="59" t="s">
        <x:v>96</x:v>
      </x:c>
      <x:c r="B17" s="298"/>
      <x:c r="C17" s="134">
        <x:f>SUM('1:31'!$C$16)</x:f>
        <x:v>198</x:v>
      </x:c>
      <x:c r="D17" s="279"/>
      <x:c r="E17" s="280"/>
      <x:c r="F17" s="286">
        <x:f>SUM('1:31'!$F$16)</x:f>
        <x:v>409</x:v>
      </x:c>
      <x:c r="G17" s="286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7" t="s">
        <x:v>91</x:v>
      </x:c>
      <x:c r="C18" s="79">
        <x:v>18</x:v>
      </x:c>
      <x:c r="D18" s="287" t="s">
        <x:v>130</x:v>
      </x:c>
      <x:c r="E18" s="288"/>
      <x:c r="F18" s="295">
        <x:v>10</x:v>
      </x:c>
      <x:c r="G18" s="296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8"/>
      <x:c r="C19" s="134">
        <x:f>SUM('1:31'!$C$18)</x:f>
        <x:v>387</x:v>
      </x:c>
      <x:c r="D19" s="279"/>
      <x:c r="E19" s="280"/>
      <x:c r="F19" s="286">
        <x:f>SUM('1:31'!$F$18)</x:f>
        <x:v>178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0" t="s">
        <x:v>113</x:v>
      </x:c>
      <x:c r="E20" s="260"/>
      <x:c r="F20" s="285">
        <x:v>58</x:v>
      </x:c>
      <x:c r="G20" s="285"/>
      <x:c r="H20" s="58"/>
      <x:c r="J20" s="54"/>
      <x:c r="K20" s="58"/>
      <x:c r="L20" s="60"/>
      <x:c r="M20" s="11"/>
    </x:row>
    <x:row r="21" spans="4:13" ht="21.949999999999999" customHeight="1">
      <x:c r="D21" s="260" t="s">
        <x:v>114</x:v>
      </x:c>
      <x:c r="E21" s="260"/>
      <x:c r="F21" s="286">
        <x:f>SUM('1:31'!$F$20)</x:f>
        <x:v>1911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259" t="s">
        <x:v>83</x:v>
      </x:c>
      <x:c r="B22" s="260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59" t="s">
        <x:v>124</x:v>
      </x:c>
      <x:c r="B23" s="260"/>
      <x:c r="C23" s="315"/>
      <x:c r="D23" s="316"/>
      <x:c r="E23" s="316"/>
      <x:c r="F23" s="316"/>
      <x:c r="G23" s="316"/>
      <x:c r="H23" s="107" t="s">
        <x:v>94</x:v>
      </x:c>
      <x:c r="I23" s="108">
        <x:f>SUM(I4:I22)</x:f>
        <x:v>0</x:v>
      </x:c>
      <x:c r="J23" s="61" t="s">
        <x:v>119</x:v>
      </x:c>
      <x:c r="K23" s="62">
        <x:f>SUM(K4:K22)</x:f>
        <x:v>447060</x:v>
      </x:c>
      <x:c r="M23" s="88" t="s">
        <x:v>93</x:v>
      </x:c>
      <x:c r="N23" s="282">
        <x:f>C5+C6</x:f>
        <x:v>1287000</x:v>
      </x:c>
      <x:c r="O23" s="283"/>
    </x:row>
    <x:row r="24" spans="1:11" ht="34.149999999999999" customHeight="1">
      <x:c r="A24" s="259" t="s">
        <x:v>8</x:v>
      </x:c>
      <x:c r="B24" s="260"/>
      <x:c r="C24" s="260" t="s">
        <x:v>86</x:v>
      </x:c>
      <x:c r="D24" s="260"/>
      <x:c r="E24" s="260" t="s">
        <x:v>101</x:v>
      </x:c>
      <x:c r="F24" s="260"/>
      <x:c r="G24" s="260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0.090681541582150096</x:v>
      </x:c>
    </x:row>
    <x:row r="25" spans="1:11" ht="34.149999999999999" customHeight="1">
      <x:c r="A25" s="311">
        <x:f>C2</x:f>
        <x:v>4930000</x:v>
      </x:c>
      <x:c r="B25" s="275"/>
      <x:c r="C25" s="275">
        <x:f>E25/I1</x:f>
        <x:v>4440274.1935483869</x:v>
      </x:c>
      <x:c r="D25" s="275"/>
      <x:c r="E25" s="275">
        <x:f>SUM('1:31'!$A$25)</x:f>
        <x:v>137648500</x:v>
      </x:c>
      <x:c r="F25" s="275"/>
      <x:c r="G25" s="275"/>
      <x:c r="H25" s="107" t="s">
        <x:v>33</x:v>
      </x:c>
      <x:c r="I25" s="108">
        <x:f>SUM('1'!$I$23)</x:f>
        <x:v>729562</x:v>
      </x:c>
      <x:c r="J25" s="61" t="s">
        <x:v>33</x:v>
      </x:c>
      <x:c r="K25" s="62">
        <x:f>SUM('1:31'!$K$23)</x:f>
        <x:v>2574162</x:v>
      </x:c>
    </x:row>
    <x:row r="26" spans="1:11" ht="34.149999999999999" customHeight="1">
      <x:c r="A26" s="259" t="s">
        <x:v>142</x:v>
      </x:c>
      <x:c r="B26" s="260"/>
      <x:c r="C26" s="260"/>
      <x:c r="D26" s="260"/>
      <x:c r="E26" s="261"/>
      <x:c r="F26" s="261"/>
      <x:c r="G26" s="261"/>
      <x:c r="H26" s="107" t="s">
        <x:v>128</x:v>
      </x:c>
      <x:c r="I26" s="110">
        <x:f>I25/$E$25</x:f>
        <x:v>0.0053001812587859659</x:v>
      </x:c>
      <x:c r="J26" s="64" t="s">
        <x:v>128</x:v>
      </x:c>
      <x:c r="K26" s="65">
        <x:f>K25/$E$25</x:f>
        <x:v>0.018700981122206198</x:v>
      </x:c>
    </x:row>
    <x:row r="27" spans="1:13" ht="30.949999999999999" customHeight="1">
      <x:c r="A27" s="317" t="s">
        <x:v>141</x:v>
      </x:c>
      <x:c r="B27" s="54" t="s">
        <x:v>44</x:v>
      </x:c>
      <x:c r="C27" s="275">
        <x:f>4000000/31</x:f>
        <x:v>129032.25806451614</x:v>
      </x:c>
      <x:c r="D27" s="275"/>
      <x:c r="E27" s="55" t="s">
        <x:v>152</x:v>
      </x:c>
      <x:c r="F27" s="261"/>
      <x:c r="G27" s="261"/>
      <x:c r="H27" s="111" t="s">
        <x:v>118</x:v>
      </x:c>
      <x:c r="I27" s="112">
        <x:f>SUM(C27:D34,F27:G32)</x:f>
        <x:v>768129.0322580646</x:v>
      </x:c>
      <x:c r="M27" s="66"/>
    </x:row>
    <x:row r="28" spans="1:13" ht="30.949999999999999" customHeight="1">
      <x:c r="A28" s="318"/>
      <x:c r="B28" s="54" t="s">
        <x:v>23</x:v>
      </x:c>
      <x:c r="C28" s="275">
        <x:f>3800000/31</x:f>
        <x:v>122580.64516129032</x:v>
      </x:c>
      <x:c r="D28" s="275"/>
      <x:c r="E28" s="55" t="s">
        <x:v>154</x:v>
      </x:c>
      <x:c r="F28" s="275">
        <x:f>1500000/31</x:f>
        <x:v>48387.096774193546</x:v>
      </x:c>
      <x:c r="G28" s="275"/>
      <x:c r="H28" s="111" t="s">
        <x:v>8</x:v>
      </x:c>
      <x:c r="I28" s="113">
        <x:f>I27/$A$25</x:f>
        <x:v>0.15580710593469871</x:v>
      </x:c>
      <x:c r="M28" s="66"/>
    </x:row>
    <x:row r="29" spans="1:13" ht="30.949999999999999" customHeight="1">
      <x:c r="A29" s="318"/>
      <x:c r="B29" s="54" t="s">
        <x:v>47</x:v>
      </x:c>
      <x:c r="C29" s="275">
        <x:f>3200000/31</x:f>
        <x:v>103225.80645161291</x:v>
      </x:c>
      <x:c r="D29" s="275"/>
      <x:c r="E29" s="54" t="s">
        <x:v>57</x:v>
      </x:c>
      <x:c r="F29" s="261"/>
      <x:c r="G29" s="261"/>
      <x:c r="H29" s="111" t="s">
        <x:v>33</x:v>
      </x:c>
      <x:c r="I29" s="112">
        <x:f>SUM('1:31'!$I$27)</x:f>
        <x:v>24628700</x:v>
      </x:c>
      <x:c r="M29" s="66"/>
    </x:row>
    <x:row r="30" spans="1:13" ht="30.949999999999999" customHeight="1">
      <x:c r="A30" s="318"/>
      <x:c r="B30" s="54"/>
      <x:c r="C30" s="314"/>
      <x:c r="D30" s="314"/>
      <x:c r="E30" s="55"/>
      <x:c r="F30" s="309"/>
      <x:c r="G30" s="310"/>
      <x:c r="H30" s="111" t="s">
        <x:v>128</x:v>
      </x:c>
      <x:c r="I30" s="113">
        <x:f>I29/$I$27</x:f>
        <x:v>32.063232823786322</x:v>
      </x:c>
      <x:c r="M30" s="66"/>
    </x:row>
    <x:row r="31" spans="1:7" customHeight="1">
      <x:c r="A31" s="318"/>
      <x:c r="B31" s="54" t="s">
        <x:v>41</x:v>
      </x:c>
      <x:c r="C31" s="312">
        <x:f>3500000/31</x:f>
        <x:v>112903.22580645161</x:v>
      </x:c>
      <x:c r="D31" s="313"/>
      <x:c r="E31" s="55" t="s">
        <x:v>4</x:v>
      </x:c>
      <x:c r="F31" s="309">
        <x:v>130000</x:v>
      </x:c>
      <x:c r="G31" s="310"/>
    </x:row>
    <x:row r="32" spans="1:7" customHeight="1">
      <x:c r="A32" s="318"/>
      <x:c r="B32" s="54" t="s">
        <x:v>29</x:v>
      </x:c>
      <x:c r="C32" s="307">
        <x:f>14000*5</x:f>
        <x:v>70000</x:v>
      </x:c>
      <x:c r="D32" s="308"/>
      <x:c r="E32" s="55" t="s">
        <x:v>138</x:v>
      </x:c>
      <x:c r="F32" s="309"/>
      <x:c r="G32" s="310"/>
    </x:row>
    <x:row r="33" spans="1:4" customHeight="1">
      <x:c r="A33" s="318"/>
      <x:c r="B33" s="54" t="s">
        <x:v>21</x:v>
      </x:c>
      <x:c r="C33" s="307">
        <x:f>13000*4</x:f>
        <x:v>52000</x:v>
      </x:c>
      <x:c r="D33" s="308"/>
    </x:row>
    <x:row r="34" spans="1:4" customHeight="1">
      <x:c r="A34" s="319"/>
      <x:c r="B34" s="54" t="s">
        <x:v>57</x:v>
      </x:c>
      <x:c r="C34" s="309"/>
      <x:c r="D34" s="310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3:D33"/>
    <x:mergeCell ref="C34:D34"/>
    <x:mergeCell ref="C30:D30"/>
    <x:mergeCell ref="F30:G30"/>
    <x:mergeCell ref="C31:D31"/>
    <x:mergeCell ref="F31:G31"/>
    <x:mergeCell ref="C32:D32"/>
    <x:mergeCell ref="F32:G3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4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Chart1</vt:lpstr>
    </vt:vector>
  </ep:TitlesOfParts>
  <ep:TotalTime>227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30</cp:revision>
  <cp:lastPrinted>2020-08-02T09:11:11.000</cp:lastPrinted>
  <dcterms:created xsi:type="dcterms:W3CDTF">2017-10-12T05:43:00.000</dcterms:created>
  <dcterms:modified xsi:type="dcterms:W3CDTF">2026-04-27T17:05:35.219</dcterms:modified>
  <cp:version>1000.0100.01</cp:version>
</cp:coreProperties>
</file>