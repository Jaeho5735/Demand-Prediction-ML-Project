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2" activeTab="2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Chart1" sheetId="33" state="hidden" r:id="rId36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<x:sst xmlns:r="http://schemas.openxmlformats.org/officeDocument/2006/relationships" xmlns:c="http://schemas.openxmlformats.org/drawingml/2006/chart" xmlns:x="http://schemas.openxmlformats.org/spreadsheetml/2006/main" count="2775" uniqueCount="163">
  <x:si>
    <x:t>X=F/(1-(V/S))</x:t>
  </x:si>
  <x:si>
    <x:t>리뷰노트 50,000원</x:t>
  </x:si>
  <x:si>
    <x:t>카드수수료(2.75%)</x:t>
  </x:si>
  <x:si>
    <x:t>매출대비 비율</x:t>
  </x:si>
  <x:si>
    <x:t>현금할인</x:t>
  </x:si>
  <x:si>
    <x:t>목표월매출</x:t>
  </x:si>
  <x:si>
    <x:t>4대보험료</x:t>
  </x:si>
  <x:si>
    <x:t>일평균매출</x:t>
  </x:si>
  <x:si>
    <x:t>화재보험</x:t>
  </x:si>
  <x:si>
    <x:t>카드할인</x:t>
  </x:si>
  <x:si>
    <x:t>불판세척</x:t>
  </x:si>
  <x:si>
    <x:t>중간출금</x:t>
  </x:si>
  <x:si>
    <x:t>소     계</x:t>
  </x:si>
  <x:si>
    <x:t>목표일매출</x:t>
  </x:si>
  <x:si>
    <x:t>종량재봉투</x:t>
  </x:si>
  <x:si>
    <x:t>변동비용</x:t>
  </x:si>
  <x:si>
    <x:t>페이결제</x:t>
  </x:si>
  <x:si>
    <x:t>세전이익</x:t>
  </x:si>
  <x:si>
    <x:t>휴무일수</x:t>
  </x:si>
  <x:si>
    <x:t>인터넷 주문</x:t>
  </x:si>
  <x:si>
    <x:t>쿠쿠(블루문)</x:t>
  </x:si>
  <x:si>
    <x:t>현금합계</x:t>
  </x:si>
  <x:si>
    <x:t>종합소득세</x:t>
  </x:si>
  <x:si>
    <x:t>누적총매출</x:t>
  </x:si>
  <x:si>
    <x:t>다이소 구매</x:t>
  </x:si>
  <x:si>
    <x:t>영업일수</x:t>
  </x:si>
  <x:si>
    <x:t>식자재합계</x:t>
  </x:si>
  <x:si>
    <x:t>고정비용</x:t>
  </x:si>
  <x:si>
    <x:t>소갈비살</x:t>
  </x:si>
  <x:si>
    <x:t>돼지양념갈비</x:t>
  </x:si>
  <x:si>
    <x:t>매출누계</x:t>
  </x:si>
  <x:si>
    <x:t>전   월</x:t>
  </x:si>
  <x:si>
    <x:t>손익분기점</x:t>
  </x:si>
  <x:si>
    <x:t>항목별 소계</x:t>
  </x:si>
  <x:si>
    <x:t>한우업진살</x:t>
  </x:si>
  <x:si>
    <x:t>할인내역</x:t>
  </x:si>
  <x:si>
    <x:t>카드매출</x:t>
  </x:si>
  <x:si>
    <x:t>2025년</x:t>
  </x:si>
  <x:si>
    <x:t>세금부가세</x:t>
  </x:si>
  <x:si>
    <x:t>코카콜라음료</x:t>
  </x:si>
  <x:si>
    <x:t>인건비합계</x:t>
  </x:si>
  <x:si>
    <x:t>마감잔금</x:t>
  </x:si>
  <x:si>
    <x:t>부탄가스</x:t>
  </x:si>
  <x:si>
    <x:t>할인금액</x:t>
  </x:si>
  <x:si>
    <x:t>식자재2</x:t>
  </x:si>
  <x:si>
    <x:t>기타경비합계</x:t>
  </x:si>
  <x:si>
    <x:t>음식물스티커</x:t>
  </x:si>
  <x:si>
    <x:t>깍두기,계란</x:t>
  </x:si>
  <x:si>
    <x:t>금고잔액</x:t>
  </x:si>
  <x:si>
    <x:t>테이블수</x:t>
  </x:si>
  <x:si>
    <x:t>누적매출</x:t>
  </x:si>
  <x:si>
    <x:t>코카콜라</x:t>
  </x:si>
  <x:si>
    <x:t>세후이익</x:t>
  </x:si>
  <x:si>
    <x:t>합    계</x:t>
  </x:si>
  <x:si>
    <x:t>종량제봉투</x:t>
  </x:si>
  <x:si>
    <x:t>실영업일수</x:t>
  </x:si>
  <x:si>
    <x:t>매출 비율</x:t>
  </x:si>
  <x:si>
    <x:t>출금내역</x:t>
  </x:si>
  <x:si>
    <x:t>누적테이블</x:t>
  </x:si>
  <x:si>
    <x:t>변동비율</x:t>
  </x:si>
  <x:si>
    <x:t>LA갈비</x:t>
  </x:si>
  <x:si>
    <x:t>입금내역</x:t>
  </x:si>
  <x:si>
    <x:t>중간입금</x:t>
  </x:si>
  <x:si>
    <x:t>현금매출</x:t>
  </x:si>
  <x:si>
    <x:t>금고 실잔액</x:t>
  </x:si>
  <x:si>
    <x:t>배달료누계</x:t>
  </x:si>
  <x:si>
    <x:t>인
건
비</x:t>
  </x:si>
  <x:si>
    <x:t>LA양념갈비</x:t>
  </x:si>
  <x:si>
    <x:t>통장입금</x:t>
  </x:si>
  <x:si>
    <x:t>페이매출</x:t>
  </x:si>
  <x:si>
    <x:t>항목 비율</x:t>
  </x:si>
  <x:si>
    <x:t>홀 파출</x:t>
  </x:si>
  <x:si>
    <x:t>리뷰노트 2팀 10만원</x:t>
  </x:si>
  <x:si>
    <x:t>리뷰노트 41,000원</x:t>
  </x:si>
  <x:si>
    <x:t>기타경비에 쓰인 금액은 4월 11일 저울 2개 수리맡기는택배비용입니다.</x:t>
  </x:si>
  <x:si>
    <x:t>금</x:t>
  </x:si>
  <x:si>
    <x:t>일</x:t>
  </x:si>
  <x:si>
    <x:t>고기</x:t>
  </x:si>
  <x:si>
    <x:t>알바B</x:t>
  </x:si>
  <x:si>
    <x:t>토</x:t>
  </x:si>
  <x:si>
    <x:t>수</x:t>
  </x:si>
  <x:si>
    <x:t>홀파출</x:t>
  </x:si>
  <x:si>
    <x:t>토요일</x:t>
  </x:si>
  <x:si>
    <x:t>생갈비</x:t>
  </x:si>
  <x:si>
    <x:t>직원B</x:t>
  </x:si>
  <x:si>
    <x:t>총비용</x:t>
  </x:si>
  <x:si>
    <x:t>주류</x:t>
  </x:si>
  <x:si>
    <x:t>카드</x:t>
  </x:si>
  <x:si>
    <x:t>선결제</x:t>
  </x:si>
  <x:si>
    <x:t>업체</x:t>
  </x:si>
  <x:si>
    <x:t>알바A</x:t>
  </x:si>
  <x:si>
    <x:t>손익분기점 매출액 X</x:t>
  </x:si>
  <x:si>
    <x:t>take
out</x:t>
  </x:si>
  <x:si>
    <x:t>현금수수료 (1%)</x:t>
  </x:si>
  <x:si>
    <x:t>현금수수료(1%)</x:t>
  </x:si>
  <x:si>
    <x:t>손익분기점 매출액</x:t>
  </x:si>
  <x:si>
    <x:t>마  감  잔  금</x:t>
  </x:si>
  <x:si>
    <x:t>월   합  산</x:t>
  </x:si>
  <x:si>
    <x:t>퇴직금(10%)</x:t>
  </x:si>
  <x:si>
    <x:t>비       고</x:t>
  </x:si>
  <x:si>
    <x:t>비품 및 
기타경비</x:t>
  </x:si>
  <x:si>
    <x:t>비품 및 기타경비</x:t>
  </x:si>
  <x:si>
    <x:t>변동비</x:t>
  </x:si>
  <x:si>
    <x:t>V</x:t>
  </x:si>
  <x:si>
    <x:t>만</x:t>
  </x:si>
  <x:si>
    <x:t>파출</x:t>
  </x:si>
  <x:si>
    <x:t>항목</x:t>
  </x:si>
  <x:si>
    <x:t>포스</x:t>
  </x:si>
  <x:si>
    <x:t>수도</x:t>
  </x:si>
  <x:si>
    <x:t>막걸리</x:t>
  </x:si>
  <x:si>
    <x:t>일매출</x:t>
  </x:si>
  <x:si>
    <x:t>식자재</x:t>
  </x:si>
  <x:si>
    <x:t>매출</x:t>
  </x:si>
  <x:si>
    <x:t>시제</x:t>
  </x:si>
  <x:si>
    <x:t>오백</x:t>
  </x:si>
  <x:si>
    <x:t>총매출</x:t>
  </x:si>
  <x:si>
    <x:t>뚝배기</x:t>
  </x:si>
  <x:si>
    <x:t>입금</x:t>
  </x:si>
  <x:si>
    <x:t>잔금</x:t>
  </x:si>
  <x:si>
    <x:t>F</x:t>
  </x:si>
  <x:si>
    <x:t>가스비</x:t>
  </x:si>
  <x:si>
    <x:t>마케팅</x:t>
  </x:si>
  <x:si>
    <x:t>배달</x:t>
  </x:si>
  <x:si>
    <x:t>육회</x:t>
  </x:si>
  <x:si>
    <x:t>매출액</x:t>
  </x:si>
  <x:si>
    <x:t>개수</x:t>
  </x:si>
  <x:si>
    <x:t>S</x:t>
  </x:si>
  <x:si>
    <x:t>세무사</x:t>
  </x:si>
  <x:si>
    <x:t>월세</x:t>
  </x:si>
  <x:si>
    <x:t>누계</x:t>
  </x:si>
  <x:si>
    <x:t>합계</x:t>
  </x:si>
  <x:si>
    <x:t>금액</x:t>
  </x:si>
  <x:si>
    <x:t>천</x:t>
  </x:si>
  <x:si>
    <x:t>숯</x:t>
  </x:si>
  <x:si>
    <x:t>직원C</x:t>
  </x:si>
  <x:si>
    <x:t>쌀</x:t>
  </x:si>
  <x:si>
    <x:t>월</x:t>
  </x:si>
  <x:si>
    <x:t>시재</x:t>
  </x:si>
  <x:si>
    <x:t>직원A</x:t>
  </x:si>
  <x:si>
    <x:t>백이하</x:t>
  </x:si>
  <x:si>
    <x:t>직원D</x:t>
  </x:si>
  <x:si>
    <x:t>인터넷</x:t>
  </x:si>
  <x:si>
    <x:t>고정비</x:t>
  </x:si>
  <x:si>
    <x:t>발매트</x:t>
  </x:si>
  <x:si>
    <x:t>목살</x:t>
  </x:si>
  <x:si>
    <x:t>급여</x:t>
  </x:si>
  <x:si>
    <x:t>V/S</x:t>
  </x:si>
  <x:si>
    <x:t>목</x:t>
  </x:si>
  <x:si>
    <x:t>참기름</x:t>
  </x:si>
  <x:si>
    <x:t>전기세</x:t>
  </x:si>
  <x:si>
    <x:t>화</x:t>
  </x:si>
  <x:si>
    <x:t>`</x:t>
  </x:si>
  <x:si>
    <x:t>현금</x:t>
  </x:si>
  <x:si>
    <x:t>4월</x:t>
  </x:si>
  <x:si>
    <x:t>월요일</x:t>
  </x:si>
  <x:si>
    <x:t xml:space="preserve"> 목</x:t>
  </x:si>
  <x:si>
    <x:t>수요일</x:t>
  </x:si>
  <x:si>
    <x:t>50000원 블로거</x:t>
  </x:si>
  <x:si>
    <x:t>금일 이호상사에 뚝배기 4개 반품요청하여 내일 영수증 확인후 다음날 이호상사에 28,600원 제외 후 올리겠습니다.</x:t>
  </x:si>
  <x:si>
    <x:t xml:space="preserve">홀파출 </x:t>
  </x:si>
  <x:si>
    <x:t>리뷰노트 1팀</x:t>
  </x:si>
  <x:si>
    <x:t>4월 테이블수</x:t>
  </x:si>
  <x:si>
    <x:t>리뷰노트 2팀 100,000원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</x:si>
</x:sst>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b7dee8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56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1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x:xf numFmtId="164" fontId="13" fillId="0" borderId="34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x:xf numFmtId="3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Border="1" applyAlignment="1">
          <x:alignment horizontal="center" vertical="center"/>
        </x:xf>
      </mc:Fallback>
    </mc:AlternateContent>
    <x:xf numFmtId="9" fontId="0" fillId="0" borderId="8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42" xfId="0" applyNumberFormat="1" applyFont="1" applyFill="1" applyBorder="1" applyAlignment="1">
          <x:alignment horizontal="center" vertical="center"/>
        </x:xf>
      </mc:Fallback>
    </mc:AlternateContent>
    <x:xf numFmtId="0" fontId="7" fillId="2" borderId="43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2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3" xfId="0" applyNumberFormat="1" applyFont="1" applyBorder="1" applyAlignment="1">
      <x:alignment horizontal="left" vertical="top"/>
    </x:xf>
    <x:xf numFmtId="0" fontId="6" fillId="0" borderId="51" xfId="0" applyNumberFormat="1" applyFont="1" applyBorder="1" applyAlignment="1">
      <x:alignment horizontal="left" vertical="top"/>
    </x:xf>
    <x:xf numFmtId="0" fontId="6" fillId="0" borderId="52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53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54" xfId="0" applyNumberFormat="1" applyFont="1" applyBorder="1" applyAlignment="1">
      <x:alignment horizontal="left" vertical="top"/>
    </x:xf>
    <x:xf numFmtId="0" fontId="6" fillId="0" borderId="55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9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57" xfId="0" applyNumberFormat="1" applyFont="1" applyBorder="1" applyAlignment="1">
      <x:alignment horizontal="left" vertical="center"/>
    </x:xf>
    <x:xf numFmtId="0" fontId="6" fillId="0" borderId="58" xfId="0" applyNumberFormat="1" applyFont="1" applyBorder="1" applyAlignment="1">
      <x:alignment horizontal="left" vertical="center"/>
    </x:xf>
    <x:xf numFmtId="0" fontId="20" fillId="0" borderId="59" xfId="0" applyNumberFormat="1" applyFont="1" applyBorder="1" applyAlignment="1">
      <x:alignment horizontal="left" vertical="center"/>
    </x:xf>
    <x:xf numFmtId="0" fontId="20" fillId="0" borderId="60" xfId="0" applyNumberFormat="1" applyFont="1" applyBorder="1" applyAlignment="1">
      <x:alignment horizontal="left" vertical="center"/>
    </x:xf>
    <x:xf numFmtId="41" fontId="6" fillId="0" borderId="48" xfId="2" applyNumberFormat="1" applyFont="1" applyBorder="1" applyAlignment="1">
      <x:alignment horizontal="left" vertical="top"/>
    </x:xf>
    <x:xf numFmtId="41" fontId="6" fillId="0" borderId="61" xfId="2" applyNumberFormat="1" applyFont="1" applyBorder="1" applyAlignment="1">
      <x:alignment horizontal="left" vertical="top"/>
    </x:xf>
    <x:xf numFmtId="41" fontId="6" fillId="0" borderId="30" xfId="2" applyNumberFormat="1" applyFont="1" applyBorder="1" applyAlignment="1">
      <x:alignment horizontal="left" vertical="top"/>
    </x:xf>
    <x:xf numFmtId="41" fontId="6" fillId="0" borderId="62" xfId="2" applyNumberFormat="1" applyFont="1" applyBorder="1" applyAlignment="1">
      <x:alignment horizontal="left" vertical="top"/>
    </x:xf>
    <x:xf numFmtId="0" fontId="6" fillId="0" borderId="48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x:xf numFmtId="0" fontId="6" fillId="0" borderId="30" xfId="0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6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6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6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6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6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6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7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7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4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4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66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66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4" xfId="0" applyNumberFormat="1" applyFont="1" applyBorder="1" applyAlignment="1">
          <x:alignment horizontal="center" vertical="center" wrapText="1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3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1" xfId="0" applyNumberFormat="1" applyFont="1" applyBorder="1" applyAlignment="1">
          <x:alignment horizontal="center" vertical="center"/>
        </x:xf>
      </mc:Fallback>
    </mc:AlternateContent>
    <x:xf numFmtId="0" fontId="15" fillId="0" borderId="48" xfId="0" applyNumberFormat="1" applyFont="1" applyBorder="1" applyAlignment="1">
      <x:alignment horizontal="left" vertical="top" wrapText="1"/>
    </x:xf>
    <x:xf numFmtId="0" fontId="15" fillId="0" borderId="61" xfId="0" applyNumberFormat="1" applyFont="1" applyBorder="1" applyAlignment="1">
      <x:alignment horizontal="left" vertical="top" wrapText="1"/>
    </x:xf>
    <x:xf numFmtId="0" fontId="15" fillId="0" borderId="30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48" xfId="0" applyNumberFormat="1" applyFont="1" applyBorder="1" applyAlignment="1">
      <x:alignment horizontal="left" vertical="center" wrapText="1"/>
    </x:xf>
    <x:xf numFmtId="0" fontId="15" fillId="0" borderId="61" xfId="0" applyNumberFormat="1" applyFont="1" applyBorder="1" applyAlignment="1">
      <x:alignment horizontal="left" vertical="center" wrapText="1"/>
    </x:xf>
    <x:xf numFmtId="0" fontId="15" fillId="0" borderId="30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0" xfId="0" applyNumberFormat="1" applyFont="1" applyBorder="1" applyAlignment="1">
          <x:alignment horizontal="center" vertical="center"/>
        </x:xf>
      </mc:Fallback>
    </mc:AlternateContent>
    <x:xf numFmtId="41" fontId="15" fillId="0" borderId="48" xfId="2" applyNumberFormat="1" applyFont="1" applyBorder="1" applyAlignment="1">
      <x:alignment horizontal="left" vertical="center"/>
    </x:xf>
    <x:xf numFmtId="41" fontId="15" fillId="0" borderId="61" xfId="2" applyNumberFormat="1" applyFont="1" applyBorder="1" applyAlignment="1">
      <x:alignment horizontal="left" vertical="center"/>
    </x:xf>
    <x:xf numFmtId="41" fontId="15" fillId="0" borderId="30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1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2025년5,003,5004,248,000755,500159,350금일 이호상사에 뚝배기 4개 반품요청하여 내일 영수증 확인후 다음날 이호상사에 28,600원 제외 후 올리겠습니다.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6</c:v>
                </c:pt>
                <c:pt idx="1">
                  <c:v>140</c:v>
                </c:pt>
                <c:pt idx="2">
                  <c:v>39</c:v>
                </c:pt>
                <c:pt idx="3">
                  <c:v>353</c:v>
                </c:pt>
                <c:pt idx="4">
                  <c:v>4</c:v>
                </c:pt>
                <c:pt idx="5">
                  <c:v>57</c:v>
                </c:pt>
                <c:pt idx="6">
                  <c:v>45</c:v>
                </c:pt>
                <c:pt idx="7">
                  <c:v>353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4468850</c:v>
                </c:pt>
                <c:pt idx="14">
                  <c:v/>
                </c:pt>
                <c:pt idx="15">
                  <c:v>133333.333333333</c:v>
                </c:pt>
                <c:pt idx="16">
                  <c:v>126666.666666667</c:v>
                </c:pt>
                <c:pt idx="17">
                  <c:v>106666.666666667</c:v>
                </c:pt>
                <c:pt idx="18">
                  <c:v/>
                </c:pt>
                <c:pt idx="19">
                  <c:v>116666.666666667</c:v>
                </c:pt>
                <c:pt idx="20">
                  <c:v/>
                </c:pt>
                <c:pt idx="21">
                  <c:v>58500</c:v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4시재카드수수료(2.75%)현금수수료(1%)통장입금마감잔금카드할인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44688500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>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7</c:v>
                </c:pt>
                <c:pt idx="1">
                  <c:v>103</c:v>
                </c:pt>
                <c:pt idx="2">
                  <c:v>16</c:v>
                </c:pt>
                <c:pt idx="3">
                  <c:v>174</c:v>
                </c:pt>
                <c:pt idx="4">
                  <c:v>30</c:v>
                </c:pt>
                <c:pt idx="5">
                  <c:v>143</c:v>
                </c:pt>
                <c:pt idx="6">
                  <c:v>12</c:v>
                </c:pt>
                <c:pt idx="7">
                  <c:v>143</c:v>
                </c:pt>
                <c:pt idx="8">
                  <c:v>78</c:v>
                </c:pt>
                <c:pt idx="9">
                  <c:v>681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>120000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목113,850116,8207,555710,000159,350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10금액879,264169,292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139550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1188106</c:v>
                </c:pt>
                <c:pt idx="11">
                  <c:v>0.237454981512941</c:v>
                </c:pt>
                <c:pt idx="12">
                  <c:v>0</c:v>
                </c:pt>
                <c:pt idx="13">
                  <c:v>0</c:v>
                </c:pt>
                <c:pt idx="14">
                  <c:v>661833.333333333</c:v>
                </c:pt>
                <c:pt idx="15">
                  <c:v>0.132274074814297</c:v>
                </c:pt>
                <c:pt idx="16">
                  <c:v>82469896</c:v>
                </c:pt>
                <c:pt idx="17">
                  <c:v>124.608253840342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금액84,000130,00014,667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5003500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228666.666666667</c:v>
                </c:pt>
                <c:pt idx="12">
                  <c:v>0.0457013423936578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chart" Target="../charts/chart1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55" t="s">
        <x:v>97</x:v>
      </x:c>
      <x:c r="B1" s="255"/>
      <x:c r="C1" s="255"/>
      <x:c r="D1" s="255"/>
      <x:c r="E1" s="255"/>
      <x:c r="F1" s="255"/>
      <x:c r="G1" s="255"/>
      <x:c r="H1" s="255"/>
      <x:c r="I1" s="255"/>
      <x:c r="J1" s="255"/>
      <x:c r="K1" s="255"/>
    </x:row>
    <x:row r="2" spans="1:11" ht="30.949999999999999" customHeight="1">
      <x:c r="A2" s="209" t="s">
        <x:v>112</x:v>
      </x:c>
      <x:c r="B2" s="210"/>
      <x:c r="C2" s="211">
        <x:f>C3+G3+C5</x:f>
        <x:v>0</x:v>
      </x:c>
      <x:c r="D2" s="212"/>
      <x:c r="E2" s="213" t="s">
        <x:v>113</x:v>
      </x:c>
      <x:c r="F2" s="214"/>
      <x:c r="G2" s="6"/>
      <x:c r="H2" s="215" t="s">
        <x:v>99</x:v>
      </x:c>
      <x:c r="I2" s="216"/>
      <x:c r="J2" s="216"/>
      <x:c r="K2" s="217"/>
    </x:row>
    <x:row r="3" spans="1:11" ht="30.949999999999999" customHeight="1">
      <x:c r="A3" s="218" t="s">
        <x:v>36</x:v>
      </x:c>
      <x:c r="B3" s="219"/>
      <x:c r="C3" s="220">
        <x:f>SUM('1'!C3)</x:f>
        <x:v>0</x:v>
      </x:c>
      <x:c r="D3" s="220"/>
      <x:c r="E3" s="219" t="s">
        <x:v>63</x:v>
      </x:c>
      <x:c r="F3" s="219"/>
      <x:c r="G3" s="7">
        <x:f>SUM('1'!G3)</x:f>
        <x:v>0</x:v>
      </x:c>
      <x:c r="H3" s="221"/>
      <x:c r="I3" s="222"/>
      <x:c r="J3" s="222"/>
      <x:c r="K3" s="223"/>
    </x:row>
    <x:row r="4" spans="1:11" ht="30.949999999999999" customHeight="1">
      <x:c r="A4" s="230" t="s">
        <x:v>48</x:v>
      </x:c>
      <x:c r="B4" s="231"/>
      <x:c r="C4" s="232">
        <x:f>C21</x:f>
        <x:v>0</x:v>
      </x:c>
      <x:c r="D4" s="232"/>
      <x:c r="E4" s="233" t="s">
        <x:v>117</x:v>
      </x:c>
      <x:c r="F4" s="231"/>
      <x:c r="G4" s="8">
        <x:f>C17</x:f>
        <x:v>0</x:v>
      </x:c>
      <x:c r="H4" s="224"/>
      <x:c r="I4" s="225"/>
      <x:c r="J4" s="225"/>
      <x:c r="K4" s="226"/>
    </x:row>
    <x:row r="5" spans="1:11" ht="30.949999999999999" customHeight="1">
      <x:c r="A5" s="218" t="s">
        <x:v>43</x:v>
      </x:c>
      <x:c r="B5" s="219"/>
      <x:c r="C5" s="234">
        <x:f>C6+G6</x:f>
        <x:v>0</x:v>
      </x:c>
      <x:c r="D5" s="235"/>
      <x:c r="E5" s="233" t="s">
        <x:v>118</x:v>
      </x:c>
      <x:c r="F5" s="231"/>
      <x:c r="G5" s="8">
        <x:f>C4-G4</x:f>
        <x:v>0</x:v>
      </x:c>
      <x:c r="H5" s="224"/>
      <x:c r="I5" s="225"/>
      <x:c r="J5" s="225"/>
      <x:c r="K5" s="226"/>
    </x:row>
    <x:row r="6" spans="1:11" ht="30.949999999999999" customHeight="1">
      <x:c r="A6" s="218" t="s">
        <x:v>4</x:v>
      </x:c>
      <x:c r="B6" s="219"/>
      <x:c r="C6" s="220">
        <x:f>SUM('1'!C7)</x:f>
        <x:v>0</x:v>
      </x:c>
      <x:c r="D6" s="220"/>
      <x:c r="E6" s="219" t="s">
        <x:v>9</x:v>
      </x:c>
      <x:c r="F6" s="219"/>
      <x:c r="G6" s="7">
        <x:f>SUM('1'!G7)</x:f>
        <x:v>0</x:v>
      </x:c>
      <x:c r="H6" s="224"/>
      <x:c r="I6" s="225"/>
      <x:c r="J6" s="225"/>
      <x:c r="K6" s="226"/>
    </x:row>
    <x:row r="7" spans="1:11" ht="30.949999999999999" customHeight="1">
      <x:c r="A7" s="218" t="s">
        <x:v>35</x:v>
      </x:c>
      <x:c r="B7" s="219"/>
      <x:c r="C7" s="236"/>
      <x:c r="D7" s="236"/>
      <x:c r="E7" s="236"/>
      <x:c r="F7" s="236"/>
      <x:c r="G7" s="236"/>
      <x:c r="H7" s="227"/>
      <x:c r="I7" s="228"/>
      <x:c r="J7" s="228"/>
      <x:c r="K7" s="229"/>
    </x:row>
    <x:row r="8" spans="1:11" ht="30.949999999999999" customHeight="1">
      <x:c r="A8" s="218"/>
      <x:c r="B8" s="219"/>
      <x:c r="C8" s="236"/>
      <x:c r="D8" s="236"/>
      <x:c r="E8" s="236"/>
      <x:c r="F8" s="236"/>
      <x:c r="G8" s="236"/>
      <x:c r="H8" s="5" t="s">
        <x:v>92</x:v>
      </x:c>
      <x:c r="I8" s="237" t="s">
        <x:v>30</x:v>
      </x:c>
      <x:c r="J8" s="238"/>
      <x:c r="K8" s="9">
        <x:f>SUM('1'!K9)</x:f>
        <x:v>0</x:v>
      </x:c>
    </x:row>
    <x:row r="9" spans="1:11" ht="30.949999999999999" customHeight="1">
      <x:c r="A9" s="218"/>
      <x:c r="B9" s="219"/>
      <x:c r="C9" s="236"/>
      <x:c r="D9" s="236"/>
      <x:c r="E9" s="236"/>
      <x:c r="F9" s="236"/>
      <x:c r="G9" s="236"/>
      <x:c r="H9" s="219" t="s">
        <x:v>122</x:v>
      </x:c>
      <x:c r="I9" s="237" t="s">
        <x:v>30</x:v>
      </x:c>
      <x:c r="J9" s="238"/>
      <x:c r="K9" s="9">
        <x:f>SUM('1'!K10)</x:f>
        <x:v>0</x:v>
      </x:c>
    </x:row>
    <x:row r="10" spans="1:11" ht="30.949999999999999" customHeight="1">
      <x:c r="A10" s="218"/>
      <x:c r="B10" s="219"/>
      <x:c r="C10" s="236"/>
      <x:c r="D10" s="236"/>
      <x:c r="E10" s="236"/>
      <x:c r="F10" s="236"/>
      <x:c r="G10" s="236"/>
      <x:c r="H10" s="219"/>
      <x:c r="I10" s="239" t="s">
        <x:v>65</x:v>
      </x:c>
      <x:c r="J10" s="240"/>
      <x:c r="K10" s="10">
        <x:f>SUM('1'!K11)</x:f>
        <x:v>14666.666666666666</x:v>
      </x:c>
    </x:row>
    <x:row r="11" spans="1:11" ht="32.100000000000001" customHeight="1">
      <x:c r="A11" s="230" t="s">
        <x:v>11</x:v>
      </x:c>
      <x:c r="B11" s="231"/>
      <x:c r="C11" s="241"/>
      <x:c r="D11" s="242"/>
      <x:c r="E11" s="242"/>
      <x:c r="F11" s="242"/>
      <x:c r="G11" s="243"/>
      <x:c r="H11" s="3" t="s">
        <x:v>62</x:v>
      </x:c>
      <x:c r="I11" s="241"/>
      <x:c r="J11" s="242"/>
      <x:c r="K11" s="244"/>
    </x:row>
    <x:row r="12" spans="1:11" ht="69.950000000000003" customHeight="1">
      <x:c r="A12" s="230" t="s">
        <x:v>57</x:v>
      </x:c>
      <x:c r="B12" s="231"/>
      <x:c r="C12" s="245"/>
      <x:c r="D12" s="246"/>
      <x:c r="E12" s="246"/>
      <x:c r="F12" s="246"/>
      <x:c r="G12" s="247"/>
      <x:c r="H12" s="3" t="s">
        <x:v>61</x:v>
      </x:c>
      <x:c r="I12" s="245"/>
      <x:c r="J12" s="246"/>
      <x:c r="K12" s="248"/>
    </x:row>
    <x:row r="13" spans="1:11" ht="30.949999999999999" customHeight="1">
      <x:c r="A13" s="218" t="s">
        <x:v>25</x:v>
      </x:c>
      <x:c r="B13" s="219"/>
      <x:c r="C13" s="233" t="s">
        <x:v>7</x:v>
      </x:c>
      <x:c r="D13" s="231"/>
      <x:c r="E13" s="233" t="s">
        <x:v>23</x:v>
      </x:c>
      <x:c r="F13" s="249"/>
      <x:c r="G13" s="231"/>
      <x:c r="H13" s="219" t="s">
        <x:v>13</x:v>
      </x:c>
      <x:c r="I13" s="219"/>
      <x:c r="J13" s="219" t="s">
        <x:v>5</x:v>
      </x:c>
      <x:c r="K13" s="250"/>
    </x:row>
    <x:row r="14" spans="1:11" ht="30.949999999999999" customHeight="1">
      <x:c r="A14" s="251">
        <x:f>C2</x:f>
        <x:v>0</x:v>
      </x:c>
      <x:c r="B14" s="252"/>
      <x:c r="C14" s="253" t="e">
        <x:f>ROUNDDOWN((E14/A14),-4)</x:f>
        <x:v>#DIV/0!</x:v>
      </x:c>
      <x:c r="D14" s="252"/>
      <x:c r="E14" s="253">
        <x:f>C2</x:f>
        <x:v>0</x:v>
      </x:c>
      <x:c r="F14" s="254"/>
      <x:c r="G14" s="252"/>
      <x:c r="H14" s="245"/>
      <x:c r="I14" s="247"/>
      <x:c r="J14" s="245"/>
      <x:c r="K14" s="248"/>
    </x:row>
    <x:row r="15" spans="1:11" ht="30.949999999999999" customHeight="1">
      <x:c r="A15" s="218" t="s">
        <x:v>31</x:v>
      </x:c>
      <x:c r="B15" s="219"/>
      <x:c r="C15" s="233"/>
      <x:c r="D15" s="231"/>
      <x:c r="E15" s="233"/>
      <x:c r="F15" s="249"/>
      <x:c r="G15" s="231"/>
      <x:c r="H15" s="245"/>
      <x:c r="I15" s="247"/>
      <x:c r="J15" s="245"/>
      <x:c r="K15" s="248"/>
    </x:row>
    <x:row r="16" spans="1:11" ht="30.949999999999999" customHeight="1">
      <x:c r="A16" s="230" t="s">
        <x:v>96</x:v>
      </x:c>
      <x:c r="B16" s="249"/>
      <x:c r="C16" s="249"/>
      <x:c r="D16" s="249"/>
      <x:c r="E16" s="249"/>
      <x:c r="F16" s="231"/>
      <x:c r="G16" s="219" t="s">
        <x:v>96</x:v>
      </x:c>
      <x:c r="H16" s="219"/>
      <x:c r="I16" s="219"/>
      <x:c r="J16" s="219"/>
      <x:c r="K16" s="250"/>
    </x:row>
    <x:row r="17" spans="1:11" ht="30.949999999999999" customHeight="1">
      <x:c r="A17" s="218" t="s">
        <x:v>104</x:v>
      </x:c>
      <x:c r="B17" s="219"/>
      <x:c r="C17" s="220"/>
      <x:c r="D17" s="220"/>
      <x:c r="E17" s="220"/>
      <x:c r="F17" s="220"/>
      <x:c r="G17" s="3" t="s">
        <x:v>104</x:v>
      </x:c>
      <x:c r="H17" s="220"/>
      <x:c r="I17" s="220"/>
      <x:c r="J17" s="220"/>
      <x:c r="K17" s="256"/>
    </x:row>
    <x:row r="18" spans="1:11" ht="30.949999999999999" customHeight="1">
      <x:c r="A18" s="218" t="s">
        <x:v>132</x:v>
      </x:c>
      <x:c r="B18" s="219"/>
      <x:c r="C18" s="220"/>
      <x:c r="D18" s="220"/>
      <x:c r="E18" s="220"/>
      <x:c r="F18" s="220"/>
      <x:c r="G18" s="3" t="s">
        <x:v>132</x:v>
      </x:c>
      <x:c r="H18" s="220"/>
      <x:c r="I18" s="220"/>
      <x:c r="J18" s="220"/>
      <x:c r="K18" s="256"/>
    </x:row>
    <x:row r="19" spans="1:11" ht="30.949999999999999" customHeight="1">
      <x:c r="A19" s="218" t="s">
        <x:v>114</x:v>
      </x:c>
      <x:c r="B19" s="219"/>
      <x:c r="C19" s="220"/>
      <x:c r="D19" s="220"/>
      <x:c r="E19" s="220"/>
      <x:c r="F19" s="220"/>
      <x:c r="G19" s="3" t="s">
        <x:v>114</x:v>
      </x:c>
      <x:c r="H19" s="220"/>
      <x:c r="I19" s="220"/>
      <x:c r="J19" s="220"/>
      <x:c r="K19" s="256"/>
    </x:row>
    <x:row r="20" spans="1:11" ht="30.949999999999999" customHeight="1">
      <x:c r="A20" s="218" t="s">
        <x:v>139</x:v>
      </x:c>
      <x:c r="B20" s="219"/>
      <x:c r="C20" s="220"/>
      <x:c r="D20" s="220"/>
      <x:c r="E20" s="220"/>
      <x:c r="F20" s="220"/>
      <x:c r="G20" s="3" t="s">
        <x:v>139</x:v>
      </x:c>
      <x:c r="H20" s="220"/>
      <x:c r="I20" s="220"/>
      <x:c r="J20" s="220"/>
      <x:c r="K20" s="256"/>
    </x:row>
    <x:row r="21" spans="1:11" ht="30.949999999999999" customHeight="1">
      <x:c r="A21" s="257" t="s">
        <x:v>130</x:v>
      </x:c>
      <x:c r="B21" s="258"/>
      <x:c r="C21" s="259">
        <x:f>SUM(C17:E20)</x:f>
        <x:v>0</x:v>
      </x:c>
      <x:c r="D21" s="260"/>
      <x:c r="E21" s="260"/>
      <x:c r="F21" s="261"/>
      <x:c r="G21" s="4" t="s">
        <x:v>130</x:v>
      </x:c>
      <x:c r="H21" s="262">
        <x:f>SUM(H17:K20)</x:f>
        <x:v>0</x:v>
      </x:c>
      <x:c r="I21" s="262"/>
      <x:c r="J21" s="262"/>
      <x:c r="K21" s="263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I1" zoomScaleNormal="100" zoomScaleSheetLayoutView="75" workbookViewId="0">
      <x:selection activeCell="K19" activeCellId="0" sqref="K19:K32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4.25" style="1" customWidth="1"/>
    <x:col min="13" max="13" width="13.12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40" t="s">
        <x:v>153</x:v>
      </x:c>
    </x:row>
    <x:row r="2" spans="1:2" ht="16.399999999999999">
      <x:c r="A2" s="11"/>
      <x:c r="B2" s="11"/>
    </x:row>
    <x:row r="3" ht="16.399999999999999"/>
    <x:row r="4" spans="1:16" customHeight="1">
      <x:c r="A4" s="290" t="s">
        <x:v>27</x:v>
      </x:c>
      <x:c r="B4" s="291"/>
      <x:c r="C4" s="291"/>
      <x:c r="D4" s="291"/>
      <x:c r="E4" s="292"/>
      <x:c r="F4" s="290" t="s">
        <x:v>15</x:v>
      </x:c>
      <x:c r="G4" s="291"/>
      <x:c r="H4" s="291"/>
      <x:c r="I4" s="291"/>
      <x:c r="J4" s="291"/>
      <x:c r="K4" s="292"/>
      <x:c r="M4" s="69"/>
      <x:c r="N4" s="69"/>
      <x:c r="O4" s="69"/>
      <x:c r="P4" s="69"/>
    </x:row>
    <x:row r="5" spans="1:16" s="15" customFormat="1" ht="17.149999999999999">
      <x:c r="A5" s="293" t="s">
        <x:v>106</x:v>
      </x:c>
      <x:c r="B5" s="294"/>
      <x:c r="C5" s="13"/>
      <x:c r="D5" s="13" t="s">
        <x:v>33</x:v>
      </x:c>
      <x:c r="E5" s="14" t="s">
        <x:v>3</x:v>
      </x:c>
      <x:c r="F5" s="12" t="s">
        <x:v>106</x:v>
      </x:c>
      <x:c r="G5" s="13" t="s">
        <x:v>89</x:v>
      </x:c>
      <x:c r="H5" s="13" t="s">
        <x:v>131</x:v>
      </x:c>
      <x:c r="I5" s="14"/>
      <x:c r="J5" s="13" t="s">
        <x:v>33</x:v>
      </x:c>
      <x:c r="K5" s="14"/>
      <x:c r="M5" s="76" t="s">
        <x:v>68</x:v>
      </x:c>
      <x:c r="N5" s="127">
        <x:f>SUM('1:30'!G6)</x:f>
        <x:v>22840000</x:v>
      </x:c>
      <x:c r="O5" s="69"/>
      <x:c r="P5" s="69"/>
    </x:row>
    <x:row r="6" spans="1:16" ht="16.399999999999999">
      <x:c r="A6" s="269" t="s">
        <x:v>128</x:v>
      </x:c>
      <x:c r="B6" s="270"/>
      <x:c r="C6" s="16">
        <x:v>6985000</x:v>
      </x:c>
      <x:c r="D6" s="16">
        <x:f>C6</x:f>
        <x:v>6985000</x:v>
      </x:c>
      <x:c r="E6" s="147">
        <x:f>D6/$B$45</x:f>
        <x:v>0.051235219904351141</x:v>
      </x:c>
      <x:c r="F6" s="285" t="s">
        <x:v>111</x:v>
      </x:c>
      <x:c r="G6" s="67" t="s">
        <x:v>77</x:v>
      </x:c>
      <x:c r="H6" s="16">
        <x:f>SUM('1:30'!I4)</x:f>
        <x:v>35667626</x:v>
      </x:c>
      <x:c r="I6" s="70">
        <x:f>H6/$B$45</x:f>
        <x:v>0.26162328726931317</x:v>
      </x:c>
      <x:c r="J6" s="288">
        <x:f>SUM(H6:H18)</x:f>
        <x:v>51519943</x:v>
      </x:c>
      <x:c r="K6" s="295">
        <x:f>J6/$B$45</x:f>
        <x:v>0.37790058826981193</x:v>
      </x:c>
      <x:c r="M6" s="75"/>
      <x:c r="N6" s="128"/>
      <x:c r="O6" s="69"/>
      <x:c r="P6" s="69"/>
    </x:row>
    <x:row r="7" spans="1:16" ht="16.75">
      <x:c r="A7" s="269" t="s">
        <x:v>121</x:v>
      </x:c>
      <x:c r="B7" s="270"/>
      <x:c r="C7" s="16">
        <x:v>2600000</x:v>
      </x:c>
      <x:c r="D7" s="16">
        <x:f>C7</x:f>
        <x:v>2600000</x:v>
      </x:c>
      <x:c r="E7" s="17">
        <x:f t="shared" ref="E7:E17" si="0">D7/$B$45</x:f>
        <x:v>0.019071091159815742</x:v>
      </x:c>
      <x:c r="F7" s="286"/>
      <x:c r="G7" s="67" t="s">
        <x:v>111</x:v>
      </x:c>
      <x:c r="H7" s="16">
        <x:f>SUM('1:30'!I5)</x:f>
        <x:v>4920767</x:v>
      </x:c>
      <x:c r="I7" s="70">
        <x:f>H7/$B$45</x:f>
        <x:v>0.036093998474312709</x:v>
      </x:c>
      <x:c r="J7" s="275"/>
      <x:c r="K7" s="284"/>
      <x:c r="M7" s="77" t="s">
        <x:v>83</x:v>
      </x:c>
      <x:c r="N7" s="129">
        <x:f>SUM('30'!C15)</x:f>
        <x:v>1207</x:v>
      </x:c>
      <x:c r="O7" s="69"/>
      <x:c r="P7" s="69"/>
    </x:row>
    <x:row r="8" spans="1:16" ht="16.399999999999999">
      <x:c r="A8" s="269" t="s">
        <x:v>107</x:v>
      </x:c>
      <x:c r="B8" s="270"/>
      <x:c r="C8" s="16">
        <x:v>154000</x:v>
      </x:c>
      <x:c r="D8" s="16">
        <x:f t="shared" ref="D8:D17" si="1">C8</x:f>
        <x:v>154000</x:v>
      </x:c>
      <x:c r="E8" s="17">
        <x:f>D8/$B$45</x:f>
        <x:v>0.0011295953994660095</x:v>
      </x:c>
      <x:c r="F8" s="286"/>
      <x:c r="G8" s="67" t="s">
        <x:v>86</x:v>
      </x:c>
      <x:c r="H8" s="16">
        <x:f>SUM('1:30'!I7)</x:f>
        <x:v>5490950</x:v>
      </x:c>
      <x:c r="I8" s="70">
        <x:f>H8/$B$45</x:f>
        <x:v>0.040276310770765482</x:v>
      </x:c>
      <x:c r="J8" s="275"/>
      <x:c r="K8" s="284"/>
      <x:c r="M8" s="78" t="s">
        <x:v>144</x:v>
      </x:c>
      <x:c r="N8" s="130">
        <x:f>SUM('30'!C13)</x:f>
        <x:v>451</x:v>
      </x:c>
      <x:c r="O8" s="69"/>
      <x:c r="P8" s="69"/>
    </x:row>
    <x:row r="9" spans="1:16" ht="16.399999999999999">
      <x:c r="A9" s="271" t="s">
        <x:v>108</x:v>
      </x:c>
      <x:c r="B9" s="270"/>
      <x:c r="C9" s="16">
        <x:v>670000</x:v>
      </x:c>
      <x:c r="D9" s="16">
        <x:f t="shared" si="1"/>
        <x:v>670000</x:v>
      </x:c>
      <x:c r="E9" s="17">
        <x:f t="shared" si="0"/>
        <x:v>0.0049144734911832876</x:v>
      </x:c>
      <x:c r="F9" s="286"/>
      <x:c r="G9" s="67" t="s">
        <x:v>135</x:v>
      </x:c>
      <x:c r="H9" s="16">
        <x:f>SUM('1:30'!I8)</x:f>
        <x:v>1064000</x:v>
      </x:c>
      <x:c r="I9" s="70">
        <x:f>H9/$B$45</x:f>
        <x:v>0.0078044773054015198</x:v>
      </x:c>
      <x:c r="J9" s="275"/>
      <x:c r="K9" s="284"/>
      <x:c r="M9" s="78" t="s">
        <x:v>123</x:v>
      </x:c>
      <x:c r="N9" s="130">
        <x:f>SUM('30'!C17)</x:f>
        <x:v>189</x:v>
      </x:c>
      <x:c r="O9" s="69"/>
      <x:c r="P9" s="69"/>
    </x:row>
    <x:row r="10" spans="1:16" ht="16.399999999999999">
      <x:c r="A10" s="269" t="s">
        <x:v>8</x:v>
      </x:c>
      <x:c r="B10" s="270"/>
      <x:c r="C10" s="16">
        <x:v>66000</x:v>
      </x:c>
      <x:c r="D10" s="16">
        <x:f t="shared" si="1"/>
        <x:v>66000</x:v>
      </x:c>
      <x:c r="E10" s="17">
        <x:f t="shared" si="0"/>
        <x:v>0.00048411231405686117</x:v>
      </x:c>
      <x:c r="F10" s="286"/>
      <x:c r="G10" s="67" t="s">
        <x:v>148</x:v>
      </x:c>
      <x:c r="H10" s="16">
        <x:f>SUM('1:30'!I11)</x:f>
        <x:v>200000</x:v>
      </x:c>
      <x:c r="I10" s="70">
        <x:f>H10/$B$45</x:f>
        <x:v>0.0014670070122935188</x:v>
      </x:c>
      <x:c r="J10" s="275"/>
      <x:c r="K10" s="284"/>
      <x:c r="M10" s="78" t="s">
        <x:v>60</x:v>
      </x:c>
      <x:c r="N10" s="130">
        <x:f>SUM('30'!F13)</x:f>
        <x:v>302</x:v>
      </x:c>
      <x:c r="O10" s="69"/>
      <x:c r="P10" s="69"/>
    </x:row>
    <x:row r="11" spans="1:16" ht="16.399999999999999">
      <x:c r="A11" s="269" t="s">
        <x:v>127</x:v>
      </x:c>
      <x:c r="B11" s="270"/>
      <x:c r="C11" s="16">
        <x:v>330000</x:v>
      </x:c>
      <x:c r="D11" s="16">
        <x:f t="shared" si="1"/>
        <x:v>330000</x:v>
      </x:c>
      <x:c r="E11" s="17">
        <x:f t="shared" si="0"/>
        <x:v>0.0024205615702843058</x:v>
      </x:c>
      <x:c r="F11" s="286"/>
      <x:c r="G11" s="67" t="s">
        <x:v>42</x:v>
      </x:c>
      <x:c r="H11" s="16">
        <x:f>SUM('1:30'!I12)</x:f>
        <x:v>0</x:v>
      </x:c>
      <x:c r="I11" s="70">
        <x:f t="shared" ref="I11:I12" si="2">H11/$B$45</x:f>
        <x:v>0</x:v>
      </x:c>
      <x:c r="J11" s="275"/>
      <x:c r="K11" s="284"/>
      <x:c r="M11" s="78" t="s">
        <x:v>29</x:v>
      </x:c>
      <x:c r="N11" s="130">
        <x:f>SUM('30'!F15)</x:f>
        <x:v>533</x:v>
      </x:c>
      <x:c r="O11" s="69"/>
      <x:c r="P11" s="69"/>
    </x:row>
    <x:row r="12" spans="1:16" ht="16.399999999999999">
      <x:c r="A12" s="269" t="s">
        <x:v>141</x:v>
      </x:c>
      <x:c r="B12" s="270"/>
      <x:c r="C12" s="16">
        <x:v>48000</x:v>
      </x:c>
      <x:c r="D12" s="16">
        <x:f t="shared" si="1"/>
        <x:v>48000</x:v>
      </x:c>
      <x:c r="E12" s="17">
        <x:f t="shared" si="0"/>
        <x:v>0.00035208168295044448</x:v>
      </x:c>
      <x:c r="F12" s="286"/>
      <x:c r="G12" s="67" t="s">
        <x:v>51</x:v>
      </x:c>
      <x:c r="H12" s="16">
        <x:f>SUM('1:30'!I13)</x:f>
        <x:v>240000</x:v>
      </x:c>
      <x:c r="I12" s="70">
        <x:f t="shared" si="2"/>
        <x:v>0.0017604084147522226</x:v>
      </x:c>
      <x:c r="J12" s="275"/>
      <x:c r="K12" s="284"/>
      <x:c r="M12" s="78" t="s">
        <x:v>34</x:v>
      </x:c>
      <x:c r="N12" s="130">
        <x:f>SUM('30'!F17)</x:f>
        <x:v>589</x:v>
      </x:c>
      <x:c r="O12" s="69"/>
      <x:c r="P12" s="69"/>
    </x:row>
    <x:row r="13" spans="1:16" ht="16.399999999999999">
      <x:c r="A13" s="271" t="s">
        <x:v>20</x:v>
      </x:c>
      <x:c r="B13" s="270"/>
      <x:c r="C13" s="16">
        <x:v>66000</x:v>
      </x:c>
      <x:c r="D13" s="16">
        <x:f t="shared" si="1"/>
        <x:v>66000</x:v>
      </x:c>
      <x:c r="E13" s="17">
        <x:f t="shared" si="0"/>
        <x:v>0.00048411231405686117</x:v>
      </x:c>
      <x:c r="F13" s="286"/>
      <x:c r="G13" s="67" t="s">
        <x:v>47</x:v>
      </x:c>
      <x:c r="H13" s="16">
        <x:f>SUM('1:30'!I14)</x:f>
        <x:v>0</x:v>
      </x:c>
      <x:c r="I13" s="70">
        <x:f>H13/$B$45</x:f>
        <x:v>0</x:v>
      </x:c>
      <x:c r="J13" s="275"/>
      <x:c r="K13" s="284"/>
      <x:c r="M13" s="144" t="s">
        <x:v>28</x:v>
      </x:c>
      <x:c r="N13" s="130">
        <x:f>SUM('30'!C19)</x:f>
        <x:v>1173</x:v>
      </x:c>
      <x:c r="O13" s="69"/>
      <x:c r="P13" s="69"/>
    </x:row>
    <x:row r="14" spans="1:16" ht="16.399999999999999">
      <x:c r="A14" s="269"/>
      <x:c r="B14" s="270"/>
      <x:c r="C14" s="16"/>
      <x:c r="D14" s="16">
        <x:f t="shared" si="1"/>
        <x:v>0</x:v>
      </x:c>
      <x:c r="E14" s="17">
        <x:f t="shared" si="0"/>
        <x:v>0</x:v>
      </x:c>
      <x:c r="F14" s="286"/>
      <x:c r="G14" s="67" t="s">
        <x:v>109</x:v>
      </x:c>
      <x:c r="H14" s="16">
        <x:f>SUM('1:30'!I17)</x:f>
        <x:v>16000</x:v>
      </x:c>
      <x:c r="I14" s="70">
        <x:f>H14/$B$45</x:f>
        <x:v>0.0001173605609834815</x:v>
      </x:c>
      <x:c r="J14" s="275"/>
      <x:c r="K14" s="284"/>
      <x:c r="M14" s="132" t="s">
        <x:v>67</x:v>
      </x:c>
      <x:c r="N14" s="130">
        <x:f>SUM('30'!F19)</x:f>
        <x:v>438</x:v>
      </x:c>
      <x:c r="O14" s="69"/>
      <x:c r="P14" s="69"/>
    </x:row>
    <x:row r="15" spans="1:16" ht="16.75">
      <x:c r="A15" s="269"/>
      <x:c r="B15" s="270"/>
      <x:c r="C15" s="16"/>
      <x:c r="D15" s="16">
        <x:f t="shared" si="1"/>
        <x:v>0</x:v>
      </x:c>
      <x:c r="E15" s="17">
        <x:f t="shared" si="0"/>
        <x:v>0</x:v>
      </x:c>
      <x:c r="F15" s="286"/>
      <x:c r="G15" s="146" t="s">
        <x:v>44</x:v>
      </x:c>
      <x:c r="H15" s="92">
        <x:f>SUM('1:30'!I15)</x:f>
        <x:v>3920600</x:v>
      </x:c>
      <x:c r="I15" s="72">
        <x:f>H15/$B$45</x:f>
        <x:v>0.028757738461989847</x:v>
      </x:c>
      <x:c r="J15" s="275"/>
      <x:c r="K15" s="284"/>
      <x:c r="M15" s="141" t="s">
        <x:v>161</x:v>
      </x:c>
      <x:c r="N15" s="131">
        <x:f>SUM('30'!F21)</x:f>
        <x:v>1929</x:v>
      </x:c>
      <x:c r="O15" s="69"/>
      <x:c r="P15" s="69"/>
    </x:row>
    <x:row r="16" spans="1:16" ht="16.399999999999999">
      <x:c r="A16" s="272" t="s">
        <x:v>149</x:v>
      </x:c>
      <x:c r="B16" s="273"/>
      <x:c r="C16" s="16">
        <x:v>1191660</x:v>
      </x:c>
      <x:c r="D16" s="16">
        <x:f t="shared" si="1"/>
        <x:v>1191660</x:v>
      </x:c>
      <x:c r="E16" s="17">
        <x:f t="shared" si="0"/>
        <x:v>0.0087408678813484728</x:v>
      </x:c>
      <x:c r="F16" s="286"/>
      <x:c r="J16" s="275"/>
      <x:c r="K16" s="284"/>
      <x:c r="M16" s="75"/>
      <x:c r="N16" s="128"/>
      <x:c r="O16" s="69"/>
      <x:c r="P16" s="69"/>
    </x:row>
    <x:row r="17" spans="1:16" ht="16.399999999999999">
      <x:c r="A17" s="272" t="s">
        <x:v>120</x:v>
      </x:c>
      <x:c r="B17" s="273"/>
      <x:c r="C17" s="16">
        <x:v>1445570</x:v>
      </x:c>
      <x:c r="D17" s="16">
        <x:f t="shared" si="1"/>
        <x:v>1445570</x:v>
      </x:c>
      <x:c r="E17" s="17">
        <x:f t="shared" si="0"/>
        <x:v>0.010603306633805709</x:v>
      </x:c>
      <x:c r="F17" s="286"/>
      <x:c r="J17" s="275"/>
      <x:c r="K17" s="284"/>
      <x:c r="M17" s="69"/>
      <x:c r="N17" s="69"/>
      <x:c r="O17" s="69"/>
      <x:c r="P17" s="69"/>
    </x:row>
    <x:row r="18" spans="1:14" ht="17.149999999999999">
      <x:c r="A18" s="301" t="s">
        <x:v>12</x:v>
      </x:c>
      <x:c r="B18" s="302"/>
      <x:c r="C18" s="303">
        <x:f>SUM(D6:D17)</x:f>
        <x:v>13556230</x:v>
      </x:c>
      <x:c r="D18" s="304"/>
      <x:c r="E18" s="91">
        <x:f>SUM(E6:E17)</x:f>
        <x:v>0.099435422351318831</x:v>
      </x:c>
      <x:c r="F18" s="287"/>
      <x:c r="J18" s="289"/>
      <x:c r="K18" s="296"/>
      <x:c r="M18" s="83"/>
      <x:c r="N18" s="69"/>
    </x:row>
    <x:row r="19" spans="1:14" ht="17.449999999999999" customHeight="1">
      <x:c r="A19" s="305" t="s">
        <x:v>145</x:v>
      </x:c>
      <x:c r="B19" s="97" t="s">
        <x:v>138</x:v>
      </x:c>
      <x:c r="C19" s="107">
        <x:v>4000000</x:v>
      </x:c>
      <x:c r="D19" s="275">
        <x:f>SUM(C19:C30)</x:f>
        <x:v>19893400</x:v>
      </x:c>
      <x:c r="E19" s="278">
        <x:f>D19/$B$45</x:f>
        <x:v>0.14591878649179943</x:v>
      </x:c>
      <x:c r="F19" s="311" t="s">
        <x:v>100</x:v>
      </x:c>
      <x:c r="G19" s="81" t="s">
        <x:v>133</x:v>
      </x:c>
      <x:c r="H19" s="16">
        <x:f>SUM('1:30'!K4)</x:f>
        <x:v>1381000</x:v>
      </x:c>
      <x:c r="I19" s="71">
        <x:f t="shared" ref="I19:I22" si="3">H19/$B$45</x:f>
        <x:v>0.010129683419886747</x:v>
      </x:c>
      <x:c r="J19" s="274">
        <x:f>SUM(H19:H32)</x:f>
        <x:v>3970764</x:v>
      </x:c>
      <x:c r="K19" s="283">
        <x:f>J19/$B$45</x:f>
        <x:v>0.029125693160813308</x:v>
      </x:c>
      <x:c r="M19" s="69"/>
      <x:c r="N19" s="69"/>
    </x:row>
    <x:row r="20" spans="1:16" ht="16.399999999999999">
      <x:c r="A20" s="305"/>
      <x:c r="B20" s="139" t="s">
        <x:v>84</x:v>
      </x:c>
      <x:c r="C20" s="16">
        <x:v>3800000</x:v>
      </x:c>
      <x:c r="D20" s="275"/>
      <x:c r="E20" s="279"/>
      <x:c r="F20" s="312"/>
      <x:c r="G20" s="82" t="s">
        <x:v>46</x:v>
      </x:c>
      <x:c r="H20" s="16">
        <x:f>SUM('1:30'!K6)</x:f>
        <x:v>84000</x:v>
      </x:c>
      <x:c r="I20" s="70">
        <x:f t="shared" si="3"/>
        <x:v>0.00061614294516327791</x:v>
      </x:c>
      <x:c r="J20" s="275"/>
      <x:c r="K20" s="284"/>
      <x:c r="M20" s="69"/>
      <x:c r="N20" s="69"/>
      <x:c r="P20" s="93"/>
    </x:row>
    <x:row r="21" spans="1:16" ht="16.399999999999999">
      <x:c r="A21" s="305"/>
      <x:c r="B21" s="139" t="s">
        <x:v>134</x:v>
      </x:c>
      <x:c r="C21" s="16">
        <x:v>3500000</x:v>
      </x:c>
      <x:c r="D21" s="275"/>
      <x:c r="E21" s="279"/>
      <x:c r="F21" s="312"/>
      <x:c r="G21" s="82" t="s">
        <x:v>14</x:v>
      </x:c>
      <x:c r="H21" s="16">
        <x:f>SUM('1:30'!K7)</x:f>
        <x:v>37500</x:v>
      </x:c>
      <x:c r="I21" s="70">
        <x:f t="shared" si="3"/>
        <x:v>0.00027506381480503478</x:v>
      </x:c>
      <x:c r="J21" s="275"/>
      <x:c r="K21" s="284"/>
      <x:c r="M21" s="69"/>
      <x:c r="N21" s="69"/>
      <x:c r="P21" s="93"/>
    </x:row>
    <x:row r="22" spans="1:16" ht="16.399999999999999">
      <x:c r="A22" s="305"/>
      <x:c r="B22" s="139" t="s">
        <x:v>140</x:v>
      </x:c>
      <x:c r="C22" s="16">
        <x:v>3200000</x:v>
      </x:c>
      <x:c r="D22" s="275"/>
      <x:c r="E22" s="279"/>
      <x:c r="F22" s="312"/>
      <x:c r="G22" s="54" t="s">
        <x:v>116</x:v>
      </x:c>
      <x:c r="H22" s="16">
        <x:f>SUM('1:30'!K9)</x:f>
        <x:v>130000</x:v>
      </x:c>
      <x:c r="I22" s="70">
        <x:f t="shared" si="3"/>
        <x:v>0.00095355455799078716</x:v>
      </x:c>
      <x:c r="J22" s="275"/>
      <x:c r="K22" s="284"/>
      <x:c r="M22" s="69"/>
      <x:c r="N22" s="69"/>
      <x:c r="P22" s="93"/>
    </x:row>
    <x:row r="23" spans="1:16" ht="16.399999999999999">
      <x:c r="A23" s="305"/>
      <x:c r="D23" s="275"/>
      <x:c r="E23" s="279"/>
      <x:c r="F23" s="312"/>
      <x:c r="G23" s="54" t="s">
        <x:v>143</x:v>
      </x:c>
      <x:c r="H23" s="16">
        <x:f>SUM('1:30'!K10)</x:f>
        <x:v>38000</x:v>
      </x:c>
      <x:c r="I23" s="70">
        <x:f>H23/$B$45</x:f>
        <x:v>0.00027873133233576855</x:v>
      </x:c>
      <x:c r="J23" s="275"/>
      <x:c r="K23" s="284"/>
      <x:c r="M23" s="69"/>
      <x:c r="N23" s="69"/>
      <x:c r="P23" s="93"/>
    </x:row>
    <x:row r="24" spans="1:16" ht="16.399999999999999">
      <x:c r="A24" s="305"/>
      <x:c r="B24" s="139"/>
      <x:c r="C24" s="16"/>
      <x:c r="D24" s="275"/>
      <x:c r="E24" s="279"/>
      <x:c r="F24" s="312"/>
      <x:c r="G24" s="54" t="s">
        <x:v>10</x:v>
      </x:c>
      <x:c r="H24" s="16">
        <x:f>SUM('1:30'!K11)</x:f>
        <x:v>440000.00000000017</x:v>
      </x:c>
      <x:c r="I24" s="70">
        <x:f>H24/$B$45</x:f>
        <x:v>0.0032274154270457425</x:v>
      </x:c>
      <x:c r="J24" s="275"/>
      <x:c r="K24" s="284"/>
      <x:c r="M24" s="69"/>
      <x:c r="N24" s="69"/>
      <x:c r="P24" s="15"/>
    </x:row>
    <x:row r="25" spans="1:14" ht="16.399999999999999">
      <x:c r="A25" s="305"/>
      <x:c r="B25" s="139" t="s">
        <x:v>90</x:v>
      </x:c>
      <x:c r="C25" s="16">
        <x:f>SUM('1:30'!C32)</x:f>
        <x:v>518000</x:v>
      </x:c>
      <x:c r="D25" s="275"/>
      <x:c r="E25" s="279"/>
      <x:c r="F25" s="312"/>
      <x:c r="G25" s="54" t="s">
        <x:v>101</x:v>
      </x:c>
      <x:c r="H25" s="16">
        <x:f>SUM('1:30'!K15)</x:f>
        <x:v>5100</x:v>
      </x:c>
      <x:c r="I25" s="70">
        <x:f>H25/$B$45</x:f>
        <x:v>3.740867881348473E-5</x:v>
      </x:c>
      <x:c r="J25" s="275"/>
      <x:c r="K25" s="284"/>
      <x:c r="M25" s="69"/>
      <x:c r="N25" s="69"/>
    </x:row>
    <x:row r="26" spans="1:21" ht="16.399999999999999">
      <x:c r="A26" s="305"/>
      <x:c r="B26" s="139" t="s">
        <x:v>78</x:v>
      </x:c>
      <x:c r="C26" s="16">
        <x:f>SUM('1:30'!C33)</x:f>
        <x:v>1193400</x:v>
      </x:c>
      <x:c r="D26" s="275"/>
      <x:c r="E26" s="279"/>
      <x:c r="F26" s="312"/>
      <x:c r="G26" s="54" t="s">
        <x:v>19</x:v>
      </x:c>
      <x:c r="H26" s="16">
        <x:f>SUM('1:30'!K16)</x:f>
        <x:v>1819964</x:v>
      </x:c>
      <x:c r="I26" s="70">
        <x:f>H26/$B$45</x:f>
        <x:v>0.013349499750608809</x:v>
      </x:c>
      <x:c r="J26" s="275"/>
      <x:c r="K26" s="284"/>
      <x:c r="M26" s="69"/>
      <x:c r="N26" s="69"/>
      <x:c r="P26" s="93"/>
      <x:c r="T26" s="106"/>
      <x:c r="U26" s="105"/>
    </x:row>
    <x:row r="27" spans="1:21" ht="16.399999999999999">
      <x:c r="A27" s="305"/>
      <x:c r="D27" s="275"/>
      <x:c r="E27" s="279"/>
      <x:c r="F27" s="312"/>
      <x:c r="G27" s="54" t="s">
        <x:v>24</x:v>
      </x:c>
      <x:c r="H27" s="16">
        <x:f>SUM('1:30'!K17)</x:f>
        <x:v>35200</x:v>
      </x:c>
      <x:c r="I27" s="70">
        <x:f>H27/$B$45</x:f>
        <x:v>0.00025819323416365931</x:v>
      </x:c>
      <x:c r="J27" s="275"/>
      <x:c r="K27" s="284"/>
      <x:c r="M27" s="69"/>
      <x:c r="N27" s="69"/>
      <x:c r="P27" s="93"/>
      <x:c r="T27" s="106"/>
      <x:c r="U27" s="105"/>
    </x:row>
    <x:row r="28" spans="1:21" ht="16.399999999999999">
      <x:c r="A28" s="305"/>
      <x:c r="B28" s="139"/>
      <x:c r="C28" s="16"/>
      <x:c r="D28" s="275"/>
      <x:c r="E28" s="279"/>
      <x:c r="F28" s="312"/>
      <x:c r="G28" s="54"/>
      <x:c r="H28" s="16"/>
      <x:c r="I28" s="70"/>
      <x:c r="J28" s="275"/>
      <x:c r="K28" s="284"/>
      <x:c r="P28" s="93"/>
      <x:c r="T28" s="106"/>
      <x:c r="U28" s="105"/>
    </x:row>
    <x:row r="29" spans="1:21" ht="16.399999999999999">
      <x:c r="A29" s="305"/>
      <x:c r="B29" s="139"/>
      <x:c r="C29" s="16"/>
      <x:c r="D29" s="275"/>
      <x:c r="E29" s="279"/>
      <x:c r="F29" s="312"/>
      <x:c r="J29" s="275"/>
      <x:c r="K29" s="284"/>
      <x:c r="P29" s="93"/>
      <x:c r="T29" s="106"/>
      <x:c r="U29" s="105"/>
    </x:row>
    <x:row r="30" spans="1:21" ht="16.399999999999999">
      <x:c r="A30" s="305"/>
      <x:c r="B30" s="139" t="s">
        <x:v>105</x:v>
      </x:c>
      <x:c r="C30" s="16">
        <x:f>SUM('1:30'!F31)</x:f>
        <x:v>3682000</x:v>
      </x:c>
      <x:c r="D30" s="275"/>
      <x:c r="E30" s="279"/>
      <x:c r="F30" s="312"/>
      <x:c r="J30" s="275"/>
      <x:c r="K30" s="284"/>
      <x:c r="P30" s="93"/>
      <x:c r="T30" s="106"/>
      <x:c r="U30" s="105"/>
    </x:row>
    <x:row r="31" spans="1:11" ht="16.399999999999999">
      <x:c r="A31" s="306"/>
      <x:c r="B31" s="139" t="s">
        <x:v>130</x:v>
      </x:c>
      <x:c r="C31" s="16">
        <x:f>SUM(C19:C30)</x:f>
        <x:v>19893400</x:v>
      </x:c>
      <x:c r="D31" s="280"/>
      <x:c r="E31" s="279"/>
      <x:c r="F31" s="312"/>
      <x:c r="J31" s="275"/>
      <x:c r="K31" s="284"/>
    </x:row>
    <x:row r="32" spans="1:11" ht="16.399999999999999">
      <x:c r="A32" s="281" t="s">
        <x:v>98</x:v>
      </x:c>
      <x:c r="B32" s="282"/>
      <x:c r="C32" s="19">
        <x:f>SUM(C19:C22)*0.1</x:f>
        <x:v>1450000</x:v>
      </x:c>
      <x:c r="D32" s="16">
        <x:f>C32</x:f>
        <x:v>1450000</x:v>
      </x:c>
      <x:c r="E32" s="284">
        <x:f>(D32:D33)/$B$45</x:f>
        <x:v>0.010635800839128011</x:v>
      </x:c>
      <x:c r="F32" s="312"/>
      <x:c r="G32" s="104"/>
      <x:c r="H32" s="84"/>
      <x:c r="I32" s="70"/>
      <x:c r="J32" s="275"/>
      <x:c r="K32" s="284"/>
    </x:row>
    <x:row r="33" spans="1:11" ht="16.75">
      <x:c r="A33" s="299" t="s">
        <x:v>6</x:v>
      </x:c>
      <x:c r="B33" s="300"/>
      <x:c r="C33" s="142"/>
      <x:c r="D33" s="143">
        <x:f>C33</x:f>
        <x:v>0</x:v>
      </x:c>
      <x:c r="E33" s="296"/>
      <x:c r="F33" s="307" t="s">
        <x:v>93</x:v>
      </x:c>
      <x:c r="G33" s="308"/>
      <x:c r="H33" s="85">
        <x:f>SUM('1:30'!$G$5)</x:f>
        <x:v>218155</x:v>
      </x:c>
      <x:c r="I33" s="85"/>
      <x:c r="J33" s="85">
        <x:f>H33</x:f>
        <x:v>218155</x:v>
      </x:c>
      <x:c r="K33" s="86">
        <x:f>J33/$B$45</x:f>
        <x:v>0.001600174573834463</x:v>
      </x:c>
    </x:row>
    <x:row r="34" spans="1:11" ht="21.399999999999999">
      <x:c r="A34" s="276" t="s">
        <x:v>12</x:v>
      </x:c>
      <x:c r="B34" s="277"/>
      <x:c r="C34" s="264">
        <x:f>SUM(C6:D17,C19:C24,C32:C33)</x:f>
        <x:v>43062460</x:v>
      </x:c>
      <x:c r="D34" s="265"/>
      <x:c r="E34" s="20">
        <x:f>SUM(E19:E33)</x:f>
        <x:v>0.15655458733092745</x:v>
      </x:c>
      <x:c r="F34" s="309" t="s">
        <x:v>2</x:v>
      </x:c>
      <x:c r="G34" s="310"/>
      <x:c r="H34" s="87">
        <x:f>SUM('1:30'!$G$4)</x:f>
        <x:v>3124912.25</x:v>
      </x:c>
      <x:c r="I34" s="87"/>
      <x:c r="J34" s="87">
        <x:f>H34</x:f>
        <x:v>3124912.25</x:v>
      </x:c>
      <x:c r="K34" s="88">
        <x:f>J34/$B$45</x:f>
        <x:v>0.022921340917759585</x:v>
      </x:c>
    </x:row>
    <x:row r="35" spans="1:11" ht="21.399999999999999">
      <x:c r="A35" s="267" t="s">
        <x:v>53</x:v>
      </x:c>
      <x:c r="B35" s="268"/>
      <x:c r="E35" s="21">
        <x:f>E18+E34</x:f>
        <x:v>0.25599000968224628</x:v>
      </x:c>
      <x:c r="F35" s="267"/>
      <x:c r="G35" s="268"/>
      <x:c r="H35" s="264">
        <x:f>SUM(J6:J34)</x:f>
        <x:v>58833774.25</x:v>
      </x:c>
      <x:c r="I35" s="265"/>
      <x:c r="J35" s="266"/>
      <x:c r="K35" s="22">
        <x:f>SUM(K6:K34)</x:f>
        <x:v>0.43154779692221934</x:v>
      </x:c>
    </x:row>
    <x:row r="36" spans="6:11" ht="20.649999999999999">
      <x:c r="F36" s="103"/>
      <x:c r="G36" s="103"/>
      <x:c r="H36" s="102"/>
      <x:c r="I36" s="102"/>
      <x:c r="J36" s="102"/>
      <x:c r="K36" s="101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106</x:v>
      </x:c>
      <x:c r="B38" s="25" t="s">
        <x:v>131</x:v>
      </x:c>
      <x:c r="C38" s="26" t="s">
        <x:v>70</x:v>
      </x:c>
      <x:c r="D38" s="100" t="s">
        <x:v>56</x:v>
      </x:c>
      <x:c r="F38" s="27" t="s">
        <x:v>32</x:v>
      </x:c>
      <x:c r="G38" s="28"/>
      <x:c r="H38" s="28"/>
      <x:c r="I38" s="28"/>
      <x:c r="J38" s="28"/>
      <x:c r="K38" s="29"/>
    </x:row>
    <x:row r="39" spans="1:11" ht="17.800000000000001">
      <x:c r="A39" s="119" t="s">
        <x:v>27</x:v>
      </x:c>
      <x:c r="B39" s="30">
        <x:f>$C$34</x:f>
        <x:v>43062460</x:v>
      </x:c>
      <x:c r="C39" s="31">
        <x:f>B39/$B$41</x:f>
        <x:v>0.42261090723281564</x:v>
      </x:c>
      <x:c r="D39" s="32">
        <x:f>B39/$B$45</x:f>
        <x:v>0.3158646539330458</x:v>
      </x:c>
      <x:c r="F39" s="33" t="s">
        <x:v>91</x:v>
      </x:c>
      <x:c r="G39" s="34"/>
      <x:c r="H39" s="34"/>
      <x:c r="I39" s="34"/>
      <x:c r="J39" s="34"/>
      <x:c r="K39" s="74"/>
    </x:row>
    <x:row r="40" spans="1:11" ht="17.800000000000001">
      <x:c r="A40" s="120" t="s">
        <x:v>15</x:v>
      </x:c>
      <x:c r="B40" s="35">
        <x:f>$H$35</x:f>
        <x:v>58833774.25</x:v>
      </x:c>
      <x:c r="C40" s="31">
        <x:f>B40/$B$41</x:f>
        <x:v>0.57738909276718442</x:v>
      </x:c>
      <x:c r="D40" s="32">
        <x:f>B40/$B$45</x:f>
        <x:v>0.43154779692221928</x:v>
      </x:c>
      <x:c r="F40" s="297" t="s">
        <x:v>142</x:v>
      </x:c>
      <x:c r="G40" s="298"/>
      <x:c r="H40" s="34" t="s">
        <x:v>119</x:v>
      </x:c>
      <x:c r="I40" s="34"/>
      <x:c r="J40" s="34"/>
      <x:c r="K40" s="36">
        <x:f>$C$34</x:f>
        <x:v>43062460</x:v>
      </x:c>
    </x:row>
    <x:row r="41" spans="1:11" ht="17.800000000000001">
      <x:c r="A41" s="121" t="s">
        <x:v>85</x:v>
      </x:c>
      <x:c r="B41" s="116">
        <x:f>SUM(B39:B40)</x:f>
        <x:v>101896234.25</x:v>
      </x:c>
      <x:c r="C41" s="117">
        <x:f>SUM(C39:C40)</x:f>
        <x:v>1</x:v>
      </x:c>
      <x:c r="D41" s="118">
        <x:f>SUM(D39:D40)</x:f>
        <x:v>0.74741245085526509</x:v>
      </x:c>
      <x:c r="F41" s="297" t="s">
        <x:v>102</x:v>
      </x:c>
      <x:c r="G41" s="298"/>
      <x:c r="H41" s="34" t="s">
        <x:v>103</x:v>
      </x:c>
      <x:c r="I41" s="34"/>
      <x:c r="J41" s="34"/>
      <x:c r="K41" s="39">
        <x:f>$H$35</x:f>
        <x:v>58833774.25</x:v>
      </x:c>
    </x:row>
    <x:row r="42" spans="1:11" customHeight="1">
      <x:c r="A42" s="122" t="s">
        <x:v>36</x:v>
      </x:c>
      <x:c r="B42" s="48">
        <x:f>SUM('1:30'!C4)</x:f>
        <x:v>113633500</x:v>
      </x:c>
      <x:c r="C42" s="49"/>
      <x:c r="D42" s="40">
        <x:f>B42/$B$45</x:f>
        <x:v>0.83350570665727786</x:v>
      </x:c>
      <x:c r="F42" s="297" t="s">
        <x:v>124</x:v>
      </x:c>
      <x:c r="G42" s="298"/>
      <x:c r="H42" s="34" t="s">
        <x:v>126</x:v>
      </x:c>
      <x:c r="I42" s="34"/>
      <x:c r="J42" s="34"/>
      <x:c r="K42" s="39">
        <x:f>$B$45</x:f>
        <x:v>136332000</x:v>
      </x:c>
    </x:row>
    <x:row r="43" spans="1:11" customHeight="1">
      <x:c r="A43" s="120" t="s">
        <x:v>63</x:v>
      </x:c>
      <x:c r="B43" s="35">
        <x:f>SUM('1:30'!C5)</x:f>
        <x:v>22698500</x:v>
      </x:c>
      <x:c r="C43" s="35"/>
      <x:c r="D43" s="41">
        <x:f>B43/$B$45</x:f>
        <x:v>0.16649429334272217</x:v>
      </x:c>
      <x:c r="F43" s="297" t="s">
        <x:v>59</x:v>
      </x:c>
      <x:c r="G43" s="298"/>
      <x:c r="H43" s="34" t="s">
        <x:v>146</x:v>
      </x:c>
      <x:c r="I43" s="34"/>
      <x:c r="J43" s="34"/>
      <x:c r="K43" s="42">
        <x:f>(K41)/K42</x:f>
        <x:v>0.43154779692221928</x:v>
      </x:c>
    </x:row>
    <x:row r="44" spans="1:11" customHeight="1">
      <x:c r="A44" s="120" t="s">
        <x:v>69</x:v>
      </x:c>
      <x:c r="B44" s="35">
        <x:f>SUM('1:30'!C6)</x:f>
        <x:v>0</x:v>
      </x:c>
      <x:c r="C44" s="18"/>
      <x:c r="D44" s="41">
        <x:f>B44/$B$45</x:f>
        <x:v>0</x:v>
      </x:c>
      <x:c r="F44" s="43" t="s">
        <x:v>95</x:v>
      </x:c>
      <x:c r="G44" s="44"/>
      <x:c r="H44" s="44" t="s">
        <x:v>0</x:v>
      </x:c>
      <x:c r="I44" s="44"/>
      <x:c r="J44" s="44"/>
      <x:c r="K44" s="45">
        <x:f>K40/(1-K43)</x:f>
        <x:v>75753880.039247215</x:v>
      </x:c>
    </x:row>
    <x:row r="45" spans="1:4" customHeight="1">
      <x:c r="A45" s="123" t="s">
        <x:v>115</x:v>
      </x:c>
      <x:c r="B45" s="37">
        <x:f>SUM(B42:B44)</x:f>
        <x:v>136332000</x:v>
      </x:c>
      <x:c r="C45" s="50"/>
      <x:c r="D45" s="38"/>
    </x:row>
    <x:row r="46" spans="1:4" customHeight="1">
      <x:c r="A46" s="124" t="s">
        <x:v>17</x:v>
      </x:c>
      <x:c r="B46" s="46">
        <x:f>B45-B41</x:f>
        <x:v>34435765.75</x:v>
      </x:c>
      <x:c r="C46" s="47"/>
      <x:c r="D46" s="73">
        <x:f>B46/B45</x:f>
        <x:v>0.25258754914473491</x:v>
      </x:c>
    </x:row>
    <x:row r="47" spans="1:13" ht="20.100000000000001" customHeight="1">
      <x:c r="A47" s="122" t="s">
        <x:v>38</x:v>
      </x:c>
      <x:c r="B47" s="48">
        <x:f>INT(B45*0.05)</x:f>
        <x:v>6816600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4" t="s">
        <x:v>22</x:v>
      </x:c>
      <x:c r="B48" s="30">
        <x:f>INT(B45*0.02)</x:f>
        <x:v>2726640</x:v>
      </x:c>
      <x:c r="C48" s="79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3" t="s">
        <x:v>52</x:v>
      </x:c>
      <x:c r="B49" s="37">
        <x:f>B46-B47-B48</x:f>
        <x:v>24892525.75</x:v>
      </x:c>
      <x:c r="C49" s="50"/>
      <x:c r="D49" s="73">
        <x:f>B49/B45</x:f>
        <x:v>0.18258754914473491</x:v>
      </x:c>
      <x:c r="E49" s="94"/>
      <x:c r="F49" s="95"/>
    </x:row>
    <x:row r="50" spans="1:5" s="23" customFormat="1" customHeight="1">
      <x:c r="A50" s="99"/>
      <x:c r="B50" s="1"/>
      <x:c r="C50" s="1"/>
      <x:c r="D50" s="1"/>
      <x:c r="E50" s="1"/>
    </x:row>
    <x:row r="51" spans="1:5" s="23" customFormat="1" customHeight="1">
      <x:c r="A51" s="99"/>
      <x:c r="B51" s="1"/>
      <x:c r="C51" s="1"/>
      <x:c r="D51" s="1"/>
      <x:c r="E51" s="94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1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abSelected="1" topLeftCell="A22" zoomScale="85" zoomScaleNormal="85" zoomScaleSheetLayoutView="75" workbookViewId="0">
      <x:selection activeCell="D12" activeCellId="0" sqref="D12:E1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</x:v>
      </x:c>
      <x:c r="G1" s="68" t="s">
        <x:v>150</x:v>
      </x:c>
      <x:c r="H1" s="52" t="s">
        <x:v>55</x:v>
      </x:c>
      <x:c r="I1" s="52">
        <x:f>F1-K1</x:f>
        <x:v>1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4620500</x:v>
      </x:c>
      <x:c r="D2" s="168"/>
      <x:c r="E2" s="171" t="s">
        <x:v>137</x:v>
      </x:c>
      <x:c r="F2" s="172"/>
      <x:c r="G2" s="160">
        <x:v>207750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2" ht="30.949999999999999" customHeight="1">
      <x:c r="A4" s="162" t="s">
        <x:v>87</x:v>
      </x:c>
      <x:c r="B4" s="163"/>
      <x:c r="C4" s="155">
        <x:v>3916500</x:v>
      </x:c>
      <x:c r="D4" s="155"/>
      <x:c r="E4" s="170" t="s">
        <x:v>2</x:v>
      </x:c>
      <x:c r="F4" s="170"/>
      <x:c r="G4" s="134">
        <x:f>INT(C4*0.0275)</x:f>
        <x:v>107703</x:v>
      </x:c>
      <x:c r="H4" s="54" t="s">
        <x:v>77</x:v>
      </x:c>
      <x:c r="I4" s="125">
        <x:f>452000+216000</x:f>
        <x:v>668000</x:v>
      </x:c>
      <x:c r="J4" s="81" t="s">
        <x:v>133</x:v>
      </x:c>
      <x:c r="K4" s="58"/>
      <x:c r="L4" s="96"/>
    </x:row>
    <x:row r="5" spans="1:11" ht="30.949999999999999" customHeight="1">
      <x:c r="A5" s="162" t="s">
        <x:v>152</x:v>
      </x:c>
      <x:c r="B5" s="163"/>
      <x:c r="C5" s="155">
        <x:v>704000</x:v>
      </x:c>
      <x:c r="D5" s="155"/>
      <x:c r="E5" s="154" t="s">
        <x:v>94</x:v>
      </x:c>
      <x:c r="F5" s="154"/>
      <x:c r="G5" s="134">
        <x:f>INT(C5*0.01)</x:f>
        <x:v>7040</x:v>
      </x:c>
      <x:c r="H5" s="54" t="s">
        <x:v>111</x:v>
      </x:c>
      <x:c r="I5" s="125">
        <x:f>48300+25600+21307+34540+43120+59312+72160</x:f>
        <x:v>304339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760000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>
        <x:v>12500</x:v>
      </x:c>
    </x:row>
    <x:row r="8" spans="1:11" ht="21.949999999999999" customHeight="1">
      <x:c r="A8" s="153" t="s">
        <x:v>64</x:v>
      </x:c>
      <x:c r="B8" s="154"/>
      <x:c r="C8" s="155">
        <x:v>151750</x:v>
      </x:c>
      <x:c r="D8" s="155"/>
      <x:c r="E8" s="194" t="s">
        <x:v>41</x:v>
      </x:c>
      <x:c r="F8" s="195"/>
      <x:c r="G8" s="185">
        <x:f>C5+G2-G6-C22</x:f>
        <x:v>151750</x:v>
      </x:c>
      <x:c r="H8" s="54" t="s">
        <x:v>135</x:v>
      </x:c>
      <x:c r="I8" s="125">
        <x:f>56000+112000</x:f>
        <x:v>168000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8</x:v>
      </x:c>
      <x:c r="D12" s="194" t="s">
        <x:v>60</x:v>
      </x:c>
      <x:c r="E12" s="195"/>
      <x:c r="F12" s="183">
        <x:v>17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SUM('1'!$C$12)</x:f>
        <x:v>8</x:v>
      </x:c>
      <x:c r="D13" s="173"/>
      <x:c r="E13" s="174"/>
      <x:c r="F13" s="181">
        <x:f>SUM('1'!$F$12)</x:f>
        <x:v>17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33</x:v>
      </x:c>
      <x:c r="D14" s="194" t="s">
        <x:v>29</x:v>
      </x:c>
      <x:c r="E14" s="195"/>
      <x:c r="F14" s="183">
        <x:v>11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SUM('1'!$C$14)</x:f>
        <x:v>33</x:v>
      </x:c>
      <x:c r="D15" s="173"/>
      <x:c r="E15" s="174"/>
      <x:c r="F15" s="181">
        <x:f>SUM('1'!$F$14)</x:f>
        <x:v>11</x:v>
      </x:c>
      <x:c r="G15" s="182"/>
      <x:c r="H15" s="54" t="s">
        <x:v>44</x:v>
      </x:c>
      <x:c r="I15" s="58">
        <x:f>19200+11000+2200+31500+9250+17000+1200+187900</x:f>
        <x:v>279250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8</x:v>
      </x:c>
      <x:c r="D16" s="194" t="s">
        <x:v>34</x:v>
      </x:c>
      <x:c r="E16" s="195"/>
      <x:c r="F16" s="179">
        <x:v>21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SUM('1'!$C$16)</x:f>
        <x:v>8</x:v>
      </x:c>
      <x:c r="D17" s="173"/>
      <x:c r="E17" s="174"/>
      <x:c r="F17" s="180">
        <x:f>SUM('1'!$F$16)</x:f>
        <x:v>21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42</x:v>
      </x:c>
      <x:c r="D18" s="194" t="s">
        <x:v>67</x:v>
      </x:c>
      <x:c r="E18" s="195"/>
      <x:c r="F18" s="187">
        <x:v>7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SUM('1'!$C$18)</x:f>
        <x:v>42</x:v>
      </x:c>
      <x:c r="D19" s="173"/>
      <x:c r="E19" s="174"/>
      <x:c r="F19" s="180">
        <x:f>SUM('1'!$F$18)</x:f>
        <x:v>7</x:v>
      </x:c>
      <x:c r="G19" s="180"/>
      <x:c r="H19" s="54"/>
      <x:c r="I19" s="58"/>
      <x:c r="J19" s="54"/>
      <x:c r="K19" s="58"/>
      <x:c r="L19" s="60"/>
      <x:c r="M19" s="11"/>
    </x:row>
    <x:row r="20" spans="1:13" ht="21.949999999999999" customHeight="1">
      <x:c r="A20" s="59" t="s">
        <x:v>125</x:v>
      </x:c>
      <x:c r="B20" s="154"/>
      <x:c r="C20" s="133"/>
      <x:c r="D20" s="154" t="s">
        <x:v>49</x:v>
      </x:c>
      <x:c r="E20" s="154"/>
      <x:c r="F20" s="179">
        <x:v>74</x:v>
      </x:c>
      <x:c r="G20" s="179"/>
      <x:c r="H20" s="54"/>
      <x:c r="I20" s="58"/>
      <x:c r="J20" s="54"/>
      <x:c r="K20" s="58"/>
      <x:c r="L20" s="60"/>
      <x:c r="M20" s="11"/>
    </x:row>
    <x:row r="21" spans="1:13" ht="21.949999999999999" customHeight="1">
      <x:c r="A21" s="59" t="s">
        <x:v>30</x:v>
      </x:c>
      <x:c r="B21" s="154"/>
      <x:c r="C21" s="133"/>
      <x:c r="D21" s="154" t="s">
        <x:v>58</x:v>
      </x:c>
      <x:c r="E21" s="154"/>
      <x:c r="F21" s="180">
        <x:f>SUM('1'!$F$20)</x:f>
        <x:v>74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178"/>
      <x:c r="D23" s="178"/>
      <x:c r="E23" s="178"/>
      <x:c r="F23" s="178"/>
      <x:c r="G23" s="178"/>
      <x:c r="H23" s="108" t="s">
        <x:v>26</x:v>
      </x:c>
      <x:c r="I23" s="109">
        <x:f>SUM(I4:I22)</x:f>
        <x:v>1419589</x:v>
      </x:c>
      <x:c r="J23" s="61" t="s">
        <x:v>45</x:v>
      </x:c>
      <x:c r="K23" s="62">
        <x:f>SUM(K4:K22)</x:f>
        <x:v>27166.666666666664</x:v>
      </x:c>
      <x:c r="M23" s="90" t="s">
        <x:v>21</x:v>
      </x:c>
      <x:c r="N23" s="176">
        <x:f>C5+C6</x:f>
        <x:v>704000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0.3072370955524294</x:v>
      </x:c>
      <x:c r="J24" s="61" t="s">
        <x:v>110</x:v>
      </x:c>
      <x:c r="K24" s="63">
        <x:f>K23/A25</x:f>
        <x:v>0.005879594560473253</x:v>
      </x:c>
    </x:row>
    <x:row r="25" spans="1:11" ht="34.149999999999999" customHeight="1">
      <x:c r="A25" s="203">
        <x:f>C2</x:f>
        <x:v>4620500</x:v>
      </x:c>
      <x:c r="B25" s="169"/>
      <x:c r="C25" s="169">
        <x:f>E25/I1</x:f>
        <x:v>4620500</x:v>
      </x:c>
      <x:c r="D25" s="169"/>
      <x:c r="E25" s="169">
        <x:f>SUM('1'!$A$25)</x:f>
        <x:v>4620500</x:v>
      </x:c>
      <x:c r="F25" s="169"/>
      <x:c r="G25" s="169"/>
      <x:c r="H25" s="108" t="s">
        <x:v>129</x:v>
      </x:c>
      <x:c r="I25" s="109">
        <x:f>SUM('1'!$I$23)</x:f>
        <x:v>1419589</x:v>
      </x:c>
      <x:c r="J25" s="61" t="s">
        <x:v>129</x:v>
      </x:c>
      <x:c r="K25" s="62">
        <x:f>SUM('1'!$K$23)</x:f>
        <x:v>27166.666666666664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0.3072370955524294</x:v>
      </x:c>
      <x:c r="J26" s="64" t="s">
        <x:v>50</x:v>
      </x:c>
      <x:c r="K26" s="65">
        <x:f>K25/$E$25</x:f>
        <x:v>0.005879594560473253</x:v>
      </x:c>
    </x:row>
    <x:row r="27" spans="1:13" ht="30.949999999999999" customHeight="1">
      <x:c r="A27" s="196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650133.33333333337</x:v>
      </x:c>
      <x:c r="M27" s="66"/>
    </x:row>
    <x:row r="28" spans="1:13" ht="30.949999999999999" customHeight="1">
      <x:c r="A28" s="197"/>
      <x:c r="B28" s="54" t="s">
        <x:v>84</x:v>
      </x:c>
      <x:c r="C28" s="204">
        <x:f>3800000/30</x:f>
        <x:v>126666.66666666667</x:v>
      </x:c>
      <x:c r="D28" s="205"/>
      <x:c r="E28" s="55"/>
      <x:c r="F28" s="206"/>
      <x:c r="G28" s="206"/>
      <x:c r="H28" s="112" t="s">
        <x:v>110</x:v>
      </x:c>
      <x:c r="I28" s="114">
        <x:f>I27/$A$25</x:f>
        <x:v>0.14070627276990225</x:v>
      </x:c>
      <x:c r="M28" s="66"/>
    </x:row>
    <x:row r="29" spans="1:13" ht="30.949999999999999" customHeight="1">
      <x:c r="A29" s="197"/>
      <x:c r="B29" s="54" t="s">
        <x:v>140</x:v>
      </x:c>
      <x:c r="C29" s="169">
        <x:f>3200000/30</x:f>
        <x:v>106666.66666666667</x:v>
      </x:c>
      <x:c r="D29" s="169"/>
      <x:c r="E29" s="54"/>
      <x:c r="F29" s="155"/>
      <x:c r="G29" s="155"/>
      <x:c r="H29" s="112" t="s">
        <x:v>129</x:v>
      </x:c>
      <x:c r="I29" s="113">
        <x:f>SUM('1'!$I$27)</x:f>
        <x:v>650133.33333333337</x:v>
      </x:c>
      <x:c r="M29" s="66"/>
    </x:row>
    <x:row r="30" spans="1:13" ht="30.949999999999999" customHeight="1">
      <x:c r="A30" s="197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</x:v>
      </x:c>
      <x:c r="M30" s="66"/>
    </x:row>
    <x:row r="31" spans="1:7" customHeight="1">
      <x:c r="A31" s="197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197"/>
      <x:c r="B32" s="148" t="s">
        <x:v>90</x:v>
      </x:c>
      <x:c r="C32" s="199"/>
      <x:c r="D32" s="200"/>
    </x:row>
    <x:row r="33" spans="1:4" customHeight="1">
      <x:c r="A33" s="197"/>
      <x:c r="B33" s="148" t="s">
        <x:v>78</x:v>
      </x:c>
      <x:c r="C33" s="199">
        <x:f>11700*4</x:f>
        <x:v>46800</x:v>
      </x:c>
      <x:c r="D33" s="200"/>
    </x:row>
    <x:row r="34" spans="1:4" customHeight="1">
      <x:c r="A34" s="198"/>
      <x:c r="B34" s="54"/>
      <x:c r="C34" s="201"/>
      <x:c r="D34" s="202"/>
    </x:row>
  </x:sheetData>
  <x:mergeCells count="74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C11:G11"/>
    <x:mergeCell ref="F12:G1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19:G19"/>
    <x:mergeCell ref="B20:B21"/>
    <x:mergeCell ref="D21:E21"/>
    <x:mergeCell ref="F21:G21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abSelected="1" topLeftCell="A1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</x:v>
      </x:c>
      <x:c r="G1" s="68" t="s">
        <x:v>80</x:v>
      </x:c>
      <x:c r="H1" s="52" t="s">
        <x:v>55</x:v>
      </x:c>
      <x:c r="I1" s="52">
        <x:f>F1-K1</x:f>
        <x:v>2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4287000</x:v>
      </x:c>
      <x:c r="D2" s="168"/>
      <x:c r="E2" s="171" t="s">
        <x:v>137</x:v>
      </x:c>
      <x:c r="F2" s="172"/>
      <x:c r="G2" s="160">
        <x:v>151750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3893500</x:v>
      </x:c>
      <x:c r="D4" s="155"/>
      <x:c r="E4" s="170" t="s">
        <x:v>2</x:v>
      </x:c>
      <x:c r="F4" s="170"/>
      <x:c r="G4" s="134">
        <x:f>INT(C4*0.0275)</x:f>
        <x:v>107071</x:v>
      </x:c>
      <x:c r="H4" s="54" t="s">
        <x:v>77</x:v>
      </x:c>
      <x:c r="I4" s="126">
        <x:f>56202+194400+192872+199571</x:f>
        <x:v>643045</x:v>
      </x:c>
      <x:c r="J4" s="81" t="s">
        <x:v>133</x:v>
      </x:c>
      <x:c r="K4" s="58">
        <x:v>307000</x:v>
      </x:c>
    </x:row>
    <x:row r="5" spans="1:11" ht="30.949999999999999" customHeight="1">
      <x:c r="A5" s="162" t="s">
        <x:v>152</x:v>
      </x:c>
      <x:c r="B5" s="163"/>
      <x:c r="C5" s="155">
        <x:v>393500</x:v>
      </x:c>
      <x:c r="D5" s="155"/>
      <x:c r="E5" s="154" t="s">
        <x:v>94</x:v>
      </x:c>
      <x:c r="F5" s="154"/>
      <x:c r="G5" s="134">
        <x:f>INT(C5*0.01)</x:f>
        <x:v>3935</x:v>
      </x:c>
      <x:c r="H5" s="54" t="s">
        <x:v>111</x:v>
      </x:c>
      <x:c r="I5" s="138">
        <x:f>38940+59312+36080+21307+11123+68572</x:f>
        <x:v>235334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420000</x:v>
      </x:c>
      <x:c r="H6" s="54"/>
      <x:c r="I6" s="126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6">
        <x:f>462800-43600</x:f>
        <x:v>419200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125250</x:v>
      </x:c>
      <x:c r="D8" s="155"/>
      <x:c r="E8" s="194" t="s">
        <x:v>41</x:v>
      </x:c>
      <x:c r="F8" s="195"/>
      <x:c r="G8" s="185">
        <x:f>C5+G2-G6-C22</x:f>
        <x:v>125250</x:v>
      </x:c>
      <x:c r="H8" s="54" t="s">
        <x:v>135</x:v>
      </x:c>
      <x:c r="I8" s="126">
        <x:f>56000</x:f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16</x:v>
      </x:c>
      <x:c r="D12" s="194" t="s">
        <x:v>60</x:v>
      </x:c>
      <x:c r="E12" s="195"/>
      <x:c r="F12" s="183">
        <x:v>15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SUM('1:2'!$C$12)</x:f>
        <x:v>24</x:v>
      </x:c>
      <x:c r="D13" s="173"/>
      <x:c r="E13" s="174"/>
      <x:c r="F13" s="181">
        <x:f>SUM('1:2'!$F$12)</x:f>
        <x:v>32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39</x:v>
      </x:c>
      <x:c r="D14" s="194" t="s">
        <x:v>29</x:v>
      </x:c>
      <x:c r="E14" s="195"/>
      <x:c r="F14" s="183">
        <x:v>28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SUM('1:2'!$C$14)</x:f>
        <x:v>72</x:v>
      </x:c>
      <x:c r="D15" s="173"/>
      <x:c r="E15" s="174"/>
      <x:c r="F15" s="181">
        <x:f>SUM('1:2'!$F$14)</x:f>
        <x:v>39</x:v>
      </x:c>
      <x:c r="G15" s="182"/>
      <x:c r="H15" s="54" t="s">
        <x:v>44</x:v>
      </x:c>
      <x:c r="I15" s="58">
        <x:f>50400+5550+3200+7800+5500+4900+19200+33500+5500+17700+6600+13500+5500+2500+6200+4000</x:f>
        <x:v>191550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4</x:v>
      </x:c>
      <x:c r="D16" s="194" t="s">
        <x:v>34</x:v>
      </x:c>
      <x:c r="E16" s="195"/>
      <x:c r="F16" s="179">
        <x:v>26</x:v>
      </x:c>
      <x:c r="G16" s="179"/>
      <x:c r="H16" s="54"/>
      <x:c r="I16" s="58"/>
      <x:c r="J16" s="54" t="s">
        <x:v>19</x:v>
      </x:c>
      <x:c r="K16" s="58">
        <x:v>77645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SUM('1:2'!$C$16)</x:f>
        <x:v>12</x:v>
      </x:c>
      <x:c r="D17" s="173"/>
      <x:c r="E17" s="174"/>
      <x:c r="F17" s="180">
        <x:f>SUM('1:2'!$F$16)</x:f>
        <x:v>47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1</x:v>
      </x:c>
      <x:c r="D18" s="194" t="s">
        <x:v>67</x:v>
      </x:c>
      <x:c r="E18" s="195"/>
      <x:c r="F18" s="187">
        <x:v>17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SUM('1:2'!$C$18)</x:f>
        <x:v>43</x:v>
      </x:c>
      <x:c r="D19" s="173"/>
      <x:c r="E19" s="174"/>
      <x:c r="F19" s="180">
        <x:f>SUM('1:2'!$F$18)</x:f>
        <x:v>24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70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SUM('1:2'!$F$20)</x:f>
        <x:v>144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1545129</x:v>
      </x:c>
      <x:c r="J23" s="61" t="s">
        <x:v>45</x:v>
      </x:c>
      <x:c r="K23" s="62">
        <x:f>SUM(K4:K22)</x:f>
        <x:v>399311.66666666669</x:v>
      </x:c>
      <x:c r="M23" s="89" t="s">
        <x:v>21</x:v>
      </x:c>
      <x:c r="N23" s="176">
        <x:f>C5+C6</x:f>
        <x:v>393500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0.3604219734079776</x:v>
      </x:c>
      <x:c r="J24" s="61" t="s">
        <x:v>110</x:v>
      </x:c>
      <x:c r="K24" s="63">
        <x:f>K23/A25</x:f>
        <x:v>0.093144778788585653</x:v>
      </x:c>
    </x:row>
    <x:row r="25" spans="1:11" ht="34.149999999999999" customHeight="1">
      <x:c r="A25" s="203">
        <x:f>C2</x:f>
        <x:v>4287000</x:v>
      </x:c>
      <x:c r="B25" s="169"/>
      <x:c r="C25" s="169">
        <x:f>E25/I1</x:f>
        <x:v>2310250</x:v>
      </x:c>
      <x:c r="D25" s="169"/>
      <x:c r="E25" s="169">
        <x:f>SUM('1'!$A$25)</x:f>
        <x:v>4620500</x:v>
      </x:c>
      <x:c r="F25" s="169"/>
      <x:c r="G25" s="169"/>
      <x:c r="H25" s="108" t="s">
        <x:v>129</x:v>
      </x:c>
      <x:c r="I25" s="109">
        <x:f>SUM('1'!$I$23)</x:f>
        <x:v>1419589</x:v>
      </x:c>
      <x:c r="J25" s="61" t="s">
        <x:v>129</x:v>
      </x:c>
      <x:c r="K25" s="62">
        <x:f>SUM('1'!$K$23)</x:f>
        <x:v>27166.666666666664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0.3072370955524294</x:v>
      </x:c>
      <x:c r="J26" s="64" t="s">
        <x:v>50</x:v>
      </x:c>
      <x:c r="K26" s="65">
        <x:f>K25/$E$25</x:f>
        <x:v>0.005879594560473253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650133.33333333337</x:v>
      </x:c>
      <x:c r="M27" s="66"/>
    </x:row>
    <x:row r="28" spans="1:13" ht="30.949999999999999" customHeight="1">
      <x:c r="A28" s="316"/>
      <x:c r="B28" s="54" t="s">
        <x:v>84</x:v>
      </x:c>
      <x:c r="C28" s="204">
        <x:f>3800000/30</x:f>
        <x:v>126666.66666666667</x:v>
      </x:c>
      <x:c r="D28" s="205"/>
      <x:c r="E28" s="55"/>
      <x:c r="F28" s="206"/>
      <x:c r="G28" s="206"/>
      <x:c r="H28" s="112" t="s">
        <x:v>110</x:v>
      </x:c>
      <x:c r="I28" s="114">
        <x:f>I27/$A$25</x:f>
        <x:v>0.15165228209314985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SUM('1'!$I$27)</x:f>
        <x:v>650133.33333333337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F15:G15"/>
    <x:mergeCell ref="F12:G12"/>
    <x:mergeCell ref="F13:G13"/>
    <x:mergeCell ref="F14:G14"/>
    <x:mergeCell ref="F16:G16"/>
    <x:mergeCell ref="F17:G17"/>
    <x:mergeCell ref="F21:G21"/>
    <x:mergeCell ref="C31:D31"/>
    <x:mergeCell ref="F29:G29"/>
    <x:mergeCell ref="C22:G22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F18:G18"/>
    <x:mergeCell ref="F19:G19"/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F20:G20"/>
    <x:mergeCell ref="D21:E21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abSelected="1" topLeftCell="A1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3</x:v>
      </x:c>
      <x:c r="G1" s="68" t="s">
        <x:v>155</x:v>
      </x:c>
      <x:c r="H1" s="52" t="s">
        <x:v>55</x:v>
      </x:c>
      <x:c r="I1" s="52">
        <x:f>F1-K1</x:f>
        <x:v>3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4019500</x:v>
      </x:c>
      <x:c r="D2" s="168"/>
      <x:c r="E2" s="171" t="s">
        <x:v>137</x:v>
      </x:c>
      <x:c r="F2" s="172"/>
      <x:c r="G2" s="160">
        <x:v>125250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3473500</x:v>
      </x:c>
      <x:c r="D4" s="155"/>
      <x:c r="E4" s="170" t="s">
        <x:v>2</x:v>
      </x:c>
      <x:c r="F4" s="170"/>
      <x:c r="G4" s="134">
        <x:f>C4*0.0275</x:f>
        <x:v>95521.25</x:v>
      </x:c>
      <x:c r="H4" s="54" t="s">
        <x:v>77</x:v>
      </x:c>
      <x:c r="I4" s="125">
        <x:f>43500+477600+904000+189000+200446+10+280468</x:f>
        <x:v>2095024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546000</x:v>
      </x:c>
      <x:c r="D5" s="155"/>
      <x:c r="E5" s="154" t="s">
        <x:v>94</x:v>
      </x:c>
      <x:c r="F5" s="154"/>
      <x:c r="G5" s="134">
        <x:f>INT(C5*0.01)</x:f>
        <x:v>5460</x:v>
      </x:c>
      <x:c r="H5" s="54" t="s">
        <x:v>111</x:v>
      </x:c>
      <x:c r="I5" s="125">
        <x:f>59312+48300+25600+23490+21310+17320</x:f>
        <x:v>195332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530000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f>406250-14700</x:f>
        <x:v>391550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141250</x:v>
      </x:c>
      <x:c r="D8" s="155"/>
      <x:c r="E8" s="194" t="s">
        <x:v>41</x:v>
      </x:c>
      <x:c r="F8" s="195"/>
      <x:c r="G8" s="185">
        <x:f>C5+G2-G6-C22</x:f>
        <x:v>141250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21.75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21.75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24</x:v>
      </x:c>
      <x:c r="D12" s="194" t="s">
        <x:v>60</x:v>
      </x:c>
      <x:c r="E12" s="195"/>
      <x:c r="F12" s="183">
        <x:v>5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SUM('1:3'!$C$12)</x:f>
        <x:v>48</x:v>
      </x:c>
      <x:c r="D13" s="173"/>
      <x:c r="E13" s="174"/>
      <x:c r="F13" s="181">
        <x:f>SUM('1:3'!$F$12)</x:f>
        <x:v>37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35</x:v>
      </x:c>
      <x:c r="D14" s="194" t="s">
        <x:v>29</x:v>
      </x:c>
      <x:c r="E14" s="195"/>
      <x:c r="F14" s="183">
        <x:v>11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SUM('1:3'!$C$14)</x:f>
        <x:v>107</x:v>
      </x:c>
      <x:c r="D15" s="173"/>
      <x:c r="E15" s="174"/>
      <x:c r="F15" s="181">
        <x:f>SUM('1:3'!$F$14)</x:f>
        <x:v>50</x:v>
      </x:c>
      <x:c r="G15" s="182"/>
      <x:c r="H15" s="54" t="s">
        <x:v>44</x:v>
      </x:c>
      <x:c r="I15" s="58">
        <x:f>37800+13000+3500+4000</x:f>
        <x:v>58300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7</x:v>
      </x:c>
      <x:c r="D16" s="194" t="s">
        <x:v>34</x:v>
      </x:c>
      <x:c r="E16" s="195"/>
      <x:c r="F16" s="179">
        <x:v>15</x:v>
      </x:c>
      <x:c r="G16" s="179"/>
      <x:c r="H16" s="54"/>
      <x:c r="I16" s="58"/>
      <x:c r="J16" s="54" t="s">
        <x:v>19</x:v>
      </x:c>
      <x:c r="K16" s="58">
        <x:f>34579+48340</x:f>
        <x:v>82919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SUM('1:3'!$C$16)</x:f>
        <x:v>19</x:v>
      </x:c>
      <x:c r="D17" s="173"/>
      <x:c r="E17" s="174"/>
      <x:c r="F17" s="180">
        <x:f>SUM('1:3'!$F$16)</x:f>
        <x:v>62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21</x:v>
      </x:c>
      <x:c r="D18" s="194" t="s">
        <x:v>67</x:v>
      </x:c>
      <x:c r="E18" s="195"/>
      <x:c r="F18" s="187">
        <x:v>8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SUM('1:3'!$C$18)</x:f>
        <x:v>64</x:v>
      </x:c>
      <x:c r="D19" s="173"/>
      <x:c r="E19" s="174"/>
      <x:c r="F19" s="180">
        <x:f>SUM('1:3'!$F$18)</x:f>
        <x:v>32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67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SUM('1:3'!$F$20)</x:f>
        <x:v>211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2796206</x:v>
      </x:c>
      <x:c r="J23" s="61" t="s">
        <x:v>45</x:v>
      </x:c>
      <x:c r="K23" s="62">
        <x:f>SUM(K4:K22)</x:f>
        <x:v>97585.666666666672</x:v>
      </x:c>
      <x:c r="M23" s="89" t="s">
        <x:v>21</x:v>
      </x:c>
      <x:c r="N23" s="176">
        <x:f>C5+C6</x:f>
        <x:v>546000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0.69566015673591242</x:v>
      </x:c>
      <x:c r="J24" s="61" t="s">
        <x:v>110</x:v>
      </x:c>
      <x:c r="K24" s="63">
        <x:f>K23/A25</x:f>
        <x:v>0.024278061118712942</x:v>
      </x:c>
    </x:row>
    <x:row r="25" spans="1:11" ht="34.149999999999999" customHeight="1">
      <x:c r="A25" s="203">
        <x:f>C2</x:f>
        <x:v>4019500</x:v>
      </x:c>
      <x:c r="B25" s="169"/>
      <x:c r="C25" s="169">
        <x:f>E25/I1</x:f>
        <x:v>4309000</x:v>
      </x:c>
      <x:c r="D25" s="169"/>
      <x:c r="E25" s="169">
        <x:f>SUM('1:3'!$A$25)</x:f>
        <x:v>12927000</x:v>
      </x:c>
      <x:c r="F25" s="169"/>
      <x:c r="G25" s="169"/>
      <x:c r="H25" s="108" t="s">
        <x:v>129</x:v>
      </x:c>
      <x:c r="I25" s="109">
        <x:f>SUM('1:3'!$I$23)</x:f>
        <x:v>5760924</x:v>
      </x:c>
      <x:c r="J25" s="61" t="s">
        <x:v>129</x:v>
      </x:c>
      <x:c r="K25" s="62">
        <x:f>SUM('1:3'!$K$23)</x:f>
        <x:v>524064.00000000006</x:v>
      </x:c>
    </x:row>
    <x:row r="26" spans="1:11" ht="34.149999999999999" customHeight="1">
      <x:c r="A26" s="153" t="s">
        <x:v>31</x:v>
      </x:c>
      <x:c r="B26" s="154"/>
      <x:c r="C26" s="318"/>
      <x:c r="D26" s="154"/>
      <x:c r="E26" s="155"/>
      <x:c r="F26" s="155"/>
      <x:c r="G26" s="155"/>
      <x:c r="H26" s="108" t="s">
        <x:v>50</x:v>
      </x:c>
      <x:c r="I26" s="111">
        <x:f>I25/$E$25</x:f>
        <x:v>0.44565049895567416</x:v>
      </x:c>
      <x:c r="J26" s="64" t="s">
        <x:v>50</x:v>
      </x:c>
      <x:c r="K26" s="65">
        <x:f>K25/$E$25</x:f>
        <x:v>0.040540264562543518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603333.33333333337</x:v>
      </x:c>
      <x:c r="M27" s="66"/>
    </x:row>
    <x:row r="28" spans="1:13" ht="30.949999999999999" customHeight="1">
      <x:c r="A28" s="316"/>
      <x:c r="B28" s="54" t="s">
        <x:v>84</x:v>
      </x:c>
      <x:c r="C28" s="204">
        <x:f>3800000/30</x:f>
        <x:v>126666.66666666667</x:v>
      </x:c>
      <x:c r="D28" s="205"/>
      <x:c r="E28" s="55"/>
      <x:c r="F28" s="206"/>
      <x:c r="G28" s="206"/>
      <x:c r="H28" s="112" t="s">
        <x:v>110</x:v>
      </x:c>
      <x:c r="I28" s="114">
        <x:f>I27/$A$25</x:f>
        <x:v>0.15010158809138782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SUM('1:3'!$I$27)</x:f>
        <x:v>1903600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3.1551381215469609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/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abSelected="1" topLeftCell="A10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4</x:v>
      </x:c>
      <x:c r="G1" s="68" t="s">
        <x:v>75</x:v>
      </x:c>
      <x:c r="H1" s="52" t="s">
        <x:v>55</x:v>
      </x:c>
      <x:c r="I1" s="52">
        <x:f>F1-K1</x:f>
        <x:v>4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4437500</x:v>
      </x:c>
      <x:c r="D2" s="168"/>
      <x:c r="E2" s="171" t="s">
        <x:v>137</x:v>
      </x:c>
      <x:c r="F2" s="172"/>
      <x:c r="G2" s="160">
        <x:v>141250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3869000</x:v>
      </x:c>
      <x:c r="D4" s="155"/>
      <x:c r="E4" s="170" t="s">
        <x:v>2</x:v>
      </x:c>
      <x:c r="F4" s="170"/>
      <x:c r="G4" s="134">
        <x:f>INT(C4*0.0275)</x:f>
        <x:v>106397</x:v>
      </x:c>
      <x:c r="H4" s="54" t="s">
        <x:v>77</x:v>
      </x:c>
      <x:c r="I4" s="125">
        <x:f>477600+452000+221400+196664+298584</x:f>
        <x:v>1646248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568500</x:v>
      </x:c>
      <x:c r="D5" s="155"/>
      <x:c r="E5" s="154" t="s">
        <x:v>94</x:v>
      </x:c>
      <x:c r="F5" s="154"/>
      <x:c r="G5" s="134">
        <x:f>INT(C5*0.01)</x:f>
        <x:v>5685</x:v>
      </x:c>
      <x:c r="H5" s="54" t="s">
        <x:v>111</x:v>
      </x:c>
      <x:c r="I5" s="125">
        <x:f>18400+29656+25600+21310+18300+11750</x:f>
        <x:v>125016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510000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f>305920-14200</x:f>
        <x:v>291720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199750</x:v>
      </x:c>
      <x:c r="D8" s="155"/>
      <x:c r="E8" s="194" t="s">
        <x:v>41</x:v>
      </x:c>
      <x:c r="F8" s="195"/>
      <x:c r="G8" s="185">
        <x:f>C5+G2-G6-C22</x:f>
        <x:v>199750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13</x:v>
      </x:c>
      <x:c r="D12" s="194" t="s">
        <x:v>60</x:v>
      </x:c>
      <x:c r="E12" s="195"/>
      <x:c r="F12" s="183">
        <x:v>12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SUM('1:4'!$C$12)</x:f>
        <x:v>61</x:v>
      </x:c>
      <x:c r="D13" s="173"/>
      <x:c r="E13" s="174"/>
      <x:c r="F13" s="181">
        <x:f>SUM('1:4'!$F$12)</x:f>
        <x:v>49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40</x:v>
      </x:c>
      <x:c r="D14" s="194" t="s">
        <x:v>29</x:v>
      </x:c>
      <x:c r="E14" s="195"/>
      <x:c r="F14" s="183">
        <x:v>27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SUM('1:4'!$C$14)</x:f>
        <x:v>147</x:v>
      </x:c>
      <x:c r="D15" s="173"/>
      <x:c r="E15" s="174"/>
      <x:c r="F15" s="181">
        <x:f>SUM('1:4'!$F$14)</x:f>
        <x:v>77</x:v>
      </x:c>
      <x:c r="G15" s="182"/>
      <x:c r="H15" s="54" t="s">
        <x:v>44</x:v>
      </x:c>
      <x:c r="I15" s="58">
        <x:f>3500+50400+4900+5500+23600</x:f>
        <x:v>87900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3</x:v>
      </x:c>
      <x:c r="D16" s="194" t="s">
        <x:v>34</x:v>
      </x:c>
      <x:c r="E16" s="195"/>
      <x:c r="F16" s="179">
        <x:v>14</x:v>
      </x:c>
      <x:c r="G16" s="179"/>
      <x:c r="H16" s="54"/>
      <x:c r="I16" s="58"/>
      <x:c r="J16" s="54" t="s">
        <x:v>19</x:v>
      </x:c>
      <x:c r="K16" s="58">
        <x:v>35920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SUM('1:4'!$C$16)</x:f>
        <x:v>22</x:v>
      </x:c>
      <x:c r="D17" s="173"/>
      <x:c r="E17" s="174"/>
      <x:c r="F17" s="180">
        <x:f>SUM('1:4'!$F$16)</x:f>
        <x:v>76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35</x:v>
      </x:c>
      <x:c r="D18" s="194" t="s">
        <x:v>67</x:v>
      </x:c>
      <x:c r="E18" s="195"/>
      <x:c r="F18" s="187">
        <x:v>9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SUM('1:4'!$C$18)</x:f>
        <x:v>99</x:v>
      </x:c>
      <x:c r="D19" s="173"/>
      <x:c r="E19" s="174"/>
      <x:c r="F19" s="180">
        <x:f>SUM('1:4'!$F$18)</x:f>
        <x:v>41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72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SUM('1:4'!$F$20)</x:f>
        <x:v>283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2206884</x:v>
      </x:c>
      <x:c r="J23" s="61" t="s">
        <x:v>45</x:v>
      </x:c>
      <x:c r="K23" s="62">
        <x:f>SUM(K4:K22)</x:f>
        <x:v>50586.666666666664</x:v>
      </x:c>
      <x:c r="M23" s="89" t="s">
        <x:v>21</x:v>
      </x:c>
      <x:c r="N23" s="176">
        <x:f>C5+C6</x:f>
        <x:v>568500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0.49732597183098592</x:v>
      </x:c>
      <x:c r="J24" s="61" t="s">
        <x:v>110</x:v>
      </x:c>
      <x:c r="K24" s="63">
        <x:f>K23/A25</x:f>
        <x:v>0.01139981220657277</x:v>
      </x:c>
    </x:row>
    <x:row r="25" spans="1:11" ht="34.149999999999999" customHeight="1">
      <x:c r="A25" s="203">
        <x:f>C2</x:f>
        <x:v>4437500</x:v>
      </x:c>
      <x:c r="B25" s="169"/>
      <x:c r="C25" s="169">
        <x:f>E25/I1</x:f>
        <x:v>4341125</x:v>
      </x:c>
      <x:c r="D25" s="169"/>
      <x:c r="E25" s="169">
        <x:f>SUM('1:4'!$A$25)</x:f>
        <x:v>17364500</x:v>
      </x:c>
      <x:c r="F25" s="169"/>
      <x:c r="G25" s="169"/>
      <x:c r="H25" s="108" t="s">
        <x:v>129</x:v>
      </x:c>
      <x:c r="I25" s="109">
        <x:f>SUM('1:4'!$I$23)</x:f>
        <x:v>7967808</x:v>
      </x:c>
      <x:c r="J25" s="61" t="s">
        <x:v>129</x:v>
      </x:c>
      <x:c r="K25" s="62">
        <x:f>SUM('1:4'!$K$23)</x:f>
        <x:v>574650.66666666674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0.4588561720752109</x:v>
      </x:c>
      <x:c r="J26" s="64" t="s">
        <x:v>50</x:v>
      </x:c>
      <x:c r="K26" s="65">
        <x:f>K25/$E$25</x:f>
        <x:v>0.033093418564696178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603333.33333333337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0.13596244131455401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SUM('1:4'!$I$27)</x:f>
        <x:v>2506933.3333333335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4.1551381215469609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/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abSelected="1" topLeftCell="A11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5</x:v>
      </x:c>
      <x:c r="G1" s="68" t="s">
        <x:v>79</x:v>
      </x:c>
      <x:c r="H1" s="52" t="s">
        <x:v>55</x:v>
      </x:c>
      <x:c r="I1" s="52">
        <x:f>F1-K1</x:f>
        <x:v>5</x:v>
      </x:c>
      <x:c r="J1" s="52" t="s">
        <x:v>18</x:v>
      </x:c>
      <x:c r="K1" s="52"/>
    </x:row>
    <x:row r="2" spans="1:11" ht="20.100000000000001" customHeight="1">
      <x:c r="A2" s="327" t="s">
        <x:v>112</x:v>
      </x:c>
      <x:c r="B2" s="328"/>
      <x:c r="C2" s="331">
        <x:f>SUM(C4:D7)</x:f>
        <x:v>4883000</x:v>
      </x:c>
      <x:c r="D2" s="332"/>
      <x:c r="E2" s="171" t="s">
        <x:v>137</x:v>
      </x:c>
      <x:c r="F2" s="172"/>
      <x:c r="G2" s="160">
        <x:v>199750</x:v>
      </x:c>
      <x:c r="H2" s="335" t="s">
        <x:v>111</x:v>
      </x:c>
      <x:c r="I2" s="336"/>
      <x:c r="J2" s="156" t="s">
        <x:v>101</x:v>
      </x:c>
      <x:c r="K2" s="324"/>
    </x:row>
    <x:row r="3" spans="1:11" ht="20.100000000000001" customHeight="1">
      <x:c r="A3" s="329"/>
      <x:c r="B3" s="330"/>
      <x:c r="C3" s="333"/>
      <x:c r="D3" s="334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338" t="s">
        <x:v>87</x:v>
      </x:c>
      <x:c r="B4" s="339"/>
      <x:c r="C4" s="201">
        <x:v>3580000</x:v>
      </x:c>
      <x:c r="D4" s="202"/>
      <x:c r="E4" s="340" t="s">
        <x:v>2</x:v>
      </x:c>
      <x:c r="F4" s="341"/>
      <x:c r="G4" s="134">
        <x:f>INT(C4*0.0275)</x:f>
        <x:v>98450</x:v>
      </x:c>
      <x:c r="H4" s="54" t="s">
        <x:v>77</x:v>
      </x:c>
      <x:c r="I4" s="125">
        <x:f>477600+452000+226800+368745+324376+556452</x:f>
        <x:v>2405973</x:v>
      </x:c>
      <x:c r="J4" s="82" t="s">
        <x:v>133</x:v>
      </x:c>
      <x:c r="K4" s="58"/>
    </x:row>
    <x:row r="5" spans="1:11" ht="30.949999999999999" customHeight="1">
      <x:c r="A5" s="338" t="s">
        <x:v>152</x:v>
      </x:c>
      <x:c r="B5" s="339"/>
      <x:c r="C5" s="201">
        <x:v>1303000</x:v>
      </x:c>
      <x:c r="D5" s="202"/>
      <x:c r="E5" s="183" t="s">
        <x:v>94</x:v>
      </x:c>
      <x:c r="F5" s="184"/>
      <x:c r="G5" s="134">
        <x:f>INT(C5*0.01)</x:f>
        <x:v>13030</x:v>
      </x:c>
      <x:c r="H5" s="54" t="s">
        <x:v>111</x:v>
      </x:c>
      <x:c r="I5" s="125">
        <x:f>59312+38940+36080+16100+25600+30300+40700+12360</x:f>
        <x:v>259392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1350000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345" t="s">
        <x:v>64</x:v>
      </x:c>
      <x:c r="B8" s="195"/>
      <x:c r="C8" s="190">
        <x:v>152750</x:v>
      </x:c>
      <x:c r="D8" s="191"/>
      <x:c r="E8" s="194" t="s">
        <x:v>41</x:v>
      </x:c>
      <x:c r="F8" s="195"/>
      <x:c r="G8" s="185">
        <x:f>C5+G2-G6-C22</x:f>
        <x:v>152750</x:v>
      </x:c>
      <x:c r="H8" s="54" t="s">
        <x:v>135</x:v>
      </x:c>
      <x:c r="I8" s="125"/>
      <x:c r="J8" s="82"/>
      <x:c r="K8" s="58"/>
    </x:row>
    <x:row r="9" spans="1:11" ht="21.949999999999999" customHeight="1">
      <x:c r="A9" s="346"/>
      <x:c r="B9" s="174"/>
      <x:c r="C9" s="192"/>
      <x:c r="D9" s="193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337" t="s">
        <x:v>4</x:v>
      </x:c>
      <x:c r="B10" s="184"/>
      <x:c r="C10" s="201">
        <x:v>41000</x:v>
      </x:c>
      <x:c r="D10" s="202"/>
      <x:c r="E10" s="183" t="s">
        <x:v>9</x:v>
      </x:c>
      <x:c r="F10" s="184"/>
      <x:c r="G10" s="55"/>
      <x:c r="H10" s="54"/>
      <x:c r="I10" s="125"/>
      <x:c r="J10" s="54" t="s">
        <x:v>143</x:v>
      </x:c>
      <x:c r="K10" s="58"/>
    </x:row>
    <x:row r="11" spans="1:11" ht="33" customHeight="1">
      <x:c r="A11" s="337" t="s">
        <x:v>35</x:v>
      </x:c>
      <x:c r="B11" s="184"/>
      <x:c r="C11" s="342" t="s">
        <x:v>73</x:v>
      </x:c>
      <x:c r="D11" s="343"/>
      <x:c r="E11" s="343"/>
      <x:c r="F11" s="343"/>
      <x:c r="G11" s="344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16</x:v>
      </x:c>
      <x:c r="D12" s="194" t="s">
        <x:v>60</x:v>
      </x:c>
      <x:c r="E12" s="195"/>
      <x:c r="F12" s="183">
        <x:v>12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SUM('1:5'!$C$12)</x:f>
        <x:v>77</x:v>
      </x:c>
      <x:c r="D13" s="173"/>
      <x:c r="E13" s="174"/>
      <x:c r="F13" s="181">
        <x:f>SUM('1:5'!$F$12)</x:f>
        <x:v>61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63</x:v>
      </x:c>
      <x:c r="D14" s="194" t="s">
        <x:v>29</x:v>
      </x:c>
      <x:c r="E14" s="195"/>
      <x:c r="F14" s="183">
        <x:v>20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SUM('1:5'!$C$14)</x:f>
        <x:v>210</x:v>
      </x:c>
      <x:c r="D15" s="173"/>
      <x:c r="E15" s="174"/>
      <x:c r="F15" s="181">
        <x:f>SUM('1:5'!$F$14)</x:f>
        <x:v>97</x:v>
      </x:c>
      <x:c r="G15" s="182"/>
      <x:c r="H15" s="54" t="s">
        <x:v>44</x:v>
      </x:c>
      <x:c r="I15" s="58">
        <x:f>3500+26000+7800+6500+65000+8900+11000+23600+9250+3200+38400+28000+17000+3150+4900</x:f>
        <x:v>256200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10</x:v>
      </x:c>
      <x:c r="D16" s="194" t="s">
        <x:v>34</x:v>
      </x:c>
      <x:c r="E16" s="195"/>
      <x:c r="F16" s="325">
        <x:v>23</x:v>
      </x:c>
      <x:c r="G16" s="326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SUM('1:5'!$C$16)</x:f>
        <x:v>32</x:v>
      </x:c>
      <x:c r="D17" s="173"/>
      <x:c r="E17" s="174"/>
      <x:c r="F17" s="181">
        <x:f>SUM('1:5'!$F$16)</x:f>
        <x:v>99</x:v>
      </x:c>
      <x:c r="G17" s="182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51</x:v>
      </x:c>
      <x:c r="D18" s="194" t="s">
        <x:v>67</x:v>
      </x:c>
      <x:c r="E18" s="195"/>
      <x:c r="F18" s="325">
        <x:v>23</x:v>
      </x:c>
      <x:c r="G18" s="32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SUM('1:5'!$C$18)</x:f>
        <x:v>150</x:v>
      </x:c>
      <x:c r="D19" s="173"/>
      <x:c r="E19" s="174"/>
      <x:c r="F19" s="181">
        <x:f>SUM('1:5'!$F$18)</x:f>
        <x:v>64</x:v>
      </x:c>
      <x:c r="G19" s="182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83" t="s">
        <x:v>49</x:v>
      </x:c>
      <x:c r="E20" s="184"/>
      <x:c r="F20" s="325">
        <x:v>63</x:v>
      </x:c>
      <x:c r="G20" s="326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83" t="s">
        <x:v>58</x:v>
      </x:c>
      <x:c r="E21" s="184"/>
      <x:c r="F21" s="181">
        <x:f>SUM('1:5'!$F$20)</x:f>
        <x:v>346</x:v>
      </x:c>
      <x:c r="G21" s="182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37" t="s">
        <x:v>11</x:v>
      </x:c>
      <x:c r="B22" s="184"/>
      <x:c r="C22" s="347"/>
      <x:c r="D22" s="348"/>
      <x:c r="E22" s="348"/>
      <x:c r="F22" s="348"/>
      <x:c r="G22" s="349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37" t="s">
        <x:v>57</x:v>
      </x:c>
      <x:c r="B23" s="184"/>
      <x:c r="C23" s="321"/>
      <x:c r="D23" s="322"/>
      <x:c r="E23" s="322"/>
      <x:c r="F23" s="322"/>
      <x:c r="G23" s="323"/>
      <x:c r="H23" s="108" t="s">
        <x:v>26</x:v>
      </x:c>
      <x:c r="I23" s="109">
        <x:f>SUM(I4:I22)</x:f>
        <x:v>2921565</x:v>
      </x:c>
      <x:c r="J23" s="61" t="s">
        <x:v>45</x:v>
      </x:c>
      <x:c r="K23" s="62">
        <x:f>SUM(K4:K22)</x:f>
        <x:v>14666.666666666666</x:v>
      </x:c>
      <x:c r="M23" s="89" t="s">
        <x:v>21</x:v>
      </x:c>
      <x:c r="N23" s="176">
        <x:f>C5+C6</x:f>
        <x:v>1303000</x:v>
      </x:c>
      <x:c r="O23" s="177"/>
    </x:row>
    <x:row r="24" spans="1:11" ht="34.149999999999999" customHeight="1">
      <x:c r="A24" s="337" t="s">
        <x:v>110</x:v>
      </x:c>
      <x:c r="B24" s="184"/>
      <x:c r="C24" s="183" t="s">
        <x:v>7</x:v>
      </x:c>
      <x:c r="D24" s="184"/>
      <x:c r="E24" s="183" t="s">
        <x:v>23</x:v>
      </x:c>
      <x:c r="F24" s="320"/>
      <x:c r="G24" s="184"/>
      <x:c r="H24" s="108" t="s">
        <x:v>110</x:v>
      </x:c>
      <x:c r="I24" s="110">
        <x:f>I23/A25</x:f>
        <x:v>0.59831353676018839</x:v>
      </x:c>
      <x:c r="J24" s="61" t="s">
        <x:v>110</x:v>
      </x:c>
      <x:c r="K24" s="63">
        <x:f>K23/A25</x:f>
        <x:v>0.0030036179944023483</x:v>
      </x:c>
    </x:row>
    <x:row r="25" spans="1:11" ht="34.149999999999999" customHeight="1">
      <x:c r="A25" s="351">
        <x:f>C2</x:f>
        <x:v>4883000</x:v>
      </x:c>
      <x:c r="B25" s="205"/>
      <x:c r="C25" s="204">
        <x:f>E25/I1</x:f>
        <x:v>4449500</x:v>
      </x:c>
      <x:c r="D25" s="205"/>
      <x:c r="E25" s="204">
        <x:f>SUM('1:5'!$A$25)</x:f>
        <x:v>22247500</x:v>
      </x:c>
      <x:c r="F25" s="319"/>
      <x:c r="G25" s="205"/>
      <x:c r="H25" s="108" t="s">
        <x:v>129</x:v>
      </x:c>
      <x:c r="I25" s="109">
        <x:f>SUM('1:5'!$I$23)</x:f>
        <x:v>10889373</x:v>
      </x:c>
      <x:c r="J25" s="61" t="s">
        <x:v>129</x:v>
      </x:c>
      <x:c r="K25" s="62">
        <x:f>SUM('1:5'!$K$23)</x:f>
        <x:v>589317.33333333337</x:v>
      </x:c>
    </x:row>
    <x:row r="26" spans="1:11" ht="34.149999999999999" customHeight="1">
      <x:c r="A26" s="337" t="s">
        <x:v>31</x:v>
      </x:c>
      <x:c r="B26" s="184"/>
      <x:c r="C26" s="183"/>
      <x:c r="D26" s="184"/>
      <x:c r="E26" s="201"/>
      <x:c r="F26" s="350"/>
      <x:c r="G26" s="202"/>
      <x:c r="H26" s="108" t="s">
        <x:v>50</x:v>
      </x:c>
      <x:c r="I26" s="111">
        <x:f>I25/$E$25</x:f>
        <x:v>0.48946501854140917</x:v>
      </x:c>
      <x:c r="J26" s="64" t="s">
        <x:v>50</x:v>
      </x:c>
      <x:c r="K26" s="65">
        <x:f>K25/$E$25</x:f>
        <x:v>0.026489148593474923</x:v>
      </x:c>
    </x:row>
    <x:row r="27" spans="1:13" ht="30.949999999999999" customHeight="1">
      <x:c r="A27" s="196" t="s">
        <x:v>66</x:v>
      </x:c>
      <x:c r="B27" s="54" t="s">
        <x:v>138</x:v>
      </x:c>
      <x:c r="C27" s="204">
        <x:f>4000000/30</x:f>
        <x:v>133333.33333333334</x:v>
      </x:c>
      <x:c r="D27" s="205"/>
      <x:c r="E27" s="55"/>
      <x:c r="F27" s="201"/>
      <x:c r="G27" s="202"/>
      <x:c r="H27" s="112" t="s">
        <x:v>40</x:v>
      </x:c>
      <x:c r="I27" s="113">
        <x:f>SUM(C27:D34,F27:G31)</x:f>
        <x:v>683333.33333333337</x:v>
      </x:c>
      <x:c r="M27" s="66"/>
    </x:row>
    <x:row r="28" spans="1:13" ht="30.949999999999999" customHeight="1">
      <x:c r="A28" s="197"/>
      <x:c r="B28" s="54" t="s">
        <x:v>84</x:v>
      </x:c>
      <x:c r="C28" s="204">
        <x:f>3800000/30</x:f>
        <x:v>126666.66666666667</x:v>
      </x:c>
      <x:c r="D28" s="205"/>
      <x:c r="E28" s="55"/>
      <x:c r="F28" s="199"/>
      <x:c r="G28" s="200"/>
      <x:c r="H28" s="112" t="s">
        <x:v>110</x:v>
      </x:c>
      <x:c r="I28" s="114">
        <x:f>I27/$A$25</x:f>
        <x:v>0.13994129292101851</x:v>
      </x:c>
      <x:c r="M28" s="66"/>
    </x:row>
    <x:row r="29" spans="1:13" ht="30.949999999999999" customHeight="1">
      <x:c r="A29" s="197"/>
      <x:c r="B29" s="54" t="s">
        <x:v>140</x:v>
      </x:c>
      <x:c r="C29" s="204">
        <x:f>3200000/30</x:f>
        <x:v>106666.66666666667</x:v>
      </x:c>
      <x:c r="D29" s="205"/>
      <x:c r="E29" s="55"/>
      <x:c r="F29" s="201"/>
      <x:c r="G29" s="202"/>
      <x:c r="H29" s="112" t="s">
        <x:v>129</x:v>
      </x:c>
      <x:c r="I29" s="113">
        <x:f>SUM('1:5'!$I$27)</x:f>
        <x:v>3190266.666666667</x:v>
      </x:c>
      <x:c r="M29" s="66"/>
    </x:row>
    <x:row r="30" spans="1:13" ht="30.949999999999999" customHeight="1">
      <x:c r="A30" s="197"/>
      <x:c r="B30" s="54"/>
      <x:c r="C30" s="204"/>
      <x:c r="D30" s="205"/>
      <x:c r="E30" s="55"/>
      <x:c r="F30" s="201"/>
      <x:c r="G30" s="202"/>
      <x:c r="H30" s="112" t="s">
        <x:v>50</x:v>
      </x:c>
      <x:c r="I30" s="114">
        <x:f>I29/$I$27</x:f>
        <x:v>4.6686829268292689</x:v>
      </x:c>
      <x:c r="M30" s="66"/>
    </x:row>
    <x:row r="31" spans="1:7" customHeight="1">
      <x:c r="A31" s="197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130000</x:v>
      </x:c>
      <x:c r="G31" s="202"/>
    </x:row>
    <x:row r="32" spans="1:4" customHeight="1">
      <x:c r="A32" s="197"/>
      <x:c r="B32" s="148" t="s">
        <x:v>90</x:v>
      </x:c>
      <x:c r="C32" s="199">
        <x:f>14000*5</x:f>
        <x:v>70000</x:v>
      </x:c>
      <x:c r="D32" s="200"/>
    </x:row>
    <x:row r="33" spans="1:4" customHeight="1">
      <x:c r="A33" s="197"/>
      <x:c r="B33" s="148" t="s">
        <x:v>78</x:v>
      </x:c>
      <x:c r="C33" s="199"/>
      <x:c r="D33" s="200"/>
    </x:row>
    <x:row r="34" spans="1:4" customHeight="1">
      <x:c r="A34" s="198"/>
      <x:c r="B34" s="54"/>
      <x:c r="C34" s="201"/>
      <x:c r="D34" s="202"/>
    </x:row>
  </x:sheetData>
  <x:mergeCells count="73">
    <x:mergeCell ref="C8:D9"/>
    <x:mergeCell ref="E8:F9"/>
    <x:mergeCell ref="G8:G9"/>
    <x:mergeCell ref="E25:G25"/>
    <x:mergeCell ref="C24:D24"/>
    <x:mergeCell ref="E24:G24"/>
    <x:mergeCell ref="C23:G23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D20:E20"/>
    <x:mergeCell ref="F20:G20"/>
    <x:mergeCell ref="D21:E21"/>
    <x:mergeCell ref="F21:G21"/>
    <x:mergeCell ref="F18:G18"/>
    <x:mergeCell ref="F19:G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F30:G30"/>
    <x:mergeCell ref="C30:D30"/>
    <x:mergeCell ref="F31:G31"/>
    <x:mergeCell ref="F29:G29"/>
    <x:mergeCell ref="C27:D27"/>
    <x:mergeCell ref="F27:G27"/>
    <x:mergeCell ref="C28:D28"/>
    <x:mergeCell ref="F28:G28"/>
    <x:mergeCell ref="C29:D29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abSelected="1" topLeftCell="A1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6</x:v>
      </x:c>
      <x:c r="G1" s="68" t="s">
        <x:v>76</x:v>
      </x:c>
      <x:c r="H1" s="52" t="s">
        <x:v>55</x:v>
      </x:c>
      <x:c r="I1" s="52">
        <x:f>F1-K1</x:f>
        <x:v>6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4123500</x:v>
      </x:c>
      <x:c r="D2" s="168"/>
      <x:c r="E2" s="171" t="s">
        <x:v>137</x:v>
      </x:c>
      <x:c r="F2" s="172"/>
      <x:c r="G2" s="160">
        <x:v>152750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3114500</x:v>
      </x:c>
      <x:c r="D4" s="155"/>
      <x:c r="E4" s="170" t="s">
        <x:v>2</x:v>
      </x:c>
      <x:c r="F4" s="170"/>
      <x:c r="G4" s="134">
        <x:f>INT(C4*0.0275)</x:f>
        <x:v>85648</x:v>
      </x:c>
      <x:c r="H4" s="54" t="s">
        <x:v>77</x:v>
      </x:c>
      <x:c r="I4" s="125"/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1009000</x:v>
      </x:c>
      <x:c r="D5" s="155"/>
      <x:c r="E5" s="154" t="s">
        <x:v>94</x:v>
      </x:c>
      <x:c r="F5" s="154"/>
      <x:c r="G5" s="134">
        <x:f>INT(C5*0.01)</x:f>
        <x:v>10090</x:v>
      </x:c>
      <x:c r="H5" s="54" t="s">
        <x:v>111</x:v>
      </x:c>
      <x:c r="I5" s="125"/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1000000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161750</x:v>
      </x:c>
      <x:c r="D8" s="155"/>
      <x:c r="E8" s="194" t="s">
        <x:v>41</x:v>
      </x:c>
      <x:c r="F8" s="195"/>
      <x:c r="G8" s="185">
        <x:f>C5+G2-G6-C22</x:f>
        <x:v>161750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22</x:v>
      </x:c>
      <x:c r="D12" s="194" t="s">
        <x:v>60</x:v>
      </x:c>
      <x:c r="E12" s="195"/>
      <x:c r="F12" s="183">
        <x:v>4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SUM('1:6'!$C$12)</x:f>
        <x:v>99</x:v>
      </x:c>
      <x:c r="D13" s="173"/>
      <x:c r="E13" s="174"/>
      <x:c r="F13" s="181">
        <x:f>SUM('1:6'!$F$12)</x:f>
        <x:v>65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/>
      <x:c r="D14" s="194" t="s">
        <x:v>29</x:v>
      </x:c>
      <x:c r="E14" s="195"/>
      <x:c r="F14" s="183">
        <x:v>21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SUM('1:6'!$C$14)</x:f>
        <x:v>210</x:v>
      </x:c>
      <x:c r="D15" s="173"/>
      <x:c r="E15" s="174"/>
      <x:c r="F15" s="181">
        <x:f>SUM('1:6'!$F$14)</x:f>
        <x:v>118</x:v>
      </x:c>
      <x:c r="G15" s="182"/>
      <x:c r="H15" s="54" t="s">
        <x:v>44</x:v>
      </x:c>
      <x:c r="I15" s="58"/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5</x:v>
      </x:c>
      <x:c r="D16" s="194" t="s">
        <x:v>34</x:v>
      </x:c>
      <x:c r="E16" s="195"/>
      <x:c r="F16" s="179">
        <x:v>12</x:v>
      </x:c>
      <x:c r="G16" s="179"/>
      <x:c r="H16" s="54"/>
      <x:c r="I16" s="58"/>
      <x:c r="J16" s="54" t="s">
        <x:v>19</x:v>
      </x:c>
      <x:c r="K16" s="58">
        <x:v>122360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SUM('1:6'!$C$16)</x:f>
        <x:v>37</x:v>
      </x:c>
      <x:c r="D17" s="173"/>
      <x:c r="E17" s="174"/>
      <x:c r="F17" s="180">
        <x:f>SUM('1:6'!$F$16)</x:f>
        <x:v>111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54</x:v>
      </x:c>
      <x:c r="D18" s="194" t="s">
        <x:v>67</x:v>
      </x:c>
      <x:c r="E18" s="195"/>
      <x:c r="F18" s="187">
        <x:v>17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SUM('1:6'!$C$18)</x:f>
        <x:v>204</x:v>
      </x:c>
      <x:c r="D19" s="173"/>
      <x:c r="E19" s="174"/>
      <x:c r="F19" s="180">
        <x:f>SUM('1:6'!$F$18)</x:f>
        <x:v>81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61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SUM('1:6'!$F$20)</x:f>
        <x:v>407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0</x:v>
      </x:c>
      <x:c r="J23" s="61" t="s">
        <x:v>45</x:v>
      </x:c>
      <x:c r="K23" s="62">
        <x:f>SUM(K4:K22)</x:f>
        <x:v>137026.66666666666</x:v>
      </x:c>
      <x:c r="M23" s="89" t="s">
        <x:v>21</x:v>
      </x:c>
      <x:c r="N23" s="176">
        <x:f>C5+C6</x:f>
        <x:v>1009000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</x:v>
      </x:c>
      <x:c r="J24" s="61" t="s">
        <x:v>110</x:v>
      </x:c>
      <x:c r="K24" s="63">
        <x:f>K23/A25</x:f>
        <x:v>0.033230669738490759</x:v>
      </x:c>
    </x:row>
    <x:row r="25" spans="1:11" ht="34.149999999999999" customHeight="1">
      <x:c r="A25" s="203">
        <x:f>C2</x:f>
        <x:v>4123500</x:v>
      </x:c>
      <x:c r="B25" s="169"/>
      <x:c r="C25" s="169">
        <x:f>E25/I1</x:f>
        <x:v>4395166.666666667</x:v>
      </x:c>
      <x:c r="D25" s="169"/>
      <x:c r="E25" s="169">
        <x:f>SUM('1:6'!$A$25)</x:f>
        <x:v>26371000</x:v>
      </x:c>
      <x:c r="F25" s="169"/>
      <x:c r="G25" s="169"/>
      <x:c r="H25" s="108" t="s">
        <x:v>129</x:v>
      </x:c>
      <x:c r="I25" s="109">
        <x:f>SUM('1:6'!$I$23)</x:f>
        <x:v>10889373</x:v>
      </x:c>
      <x:c r="J25" s="61" t="s">
        <x:v>129</x:v>
      </x:c>
      <x:c r="K25" s="62">
        <x:f>SUM('1:6'!$K$23)</x:f>
        <x:v>726344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0.41292984718061509</x:v>
      </x:c>
      <x:c r="J26" s="64" t="s">
        <x:v>50</x:v>
      </x:c>
      <x:c r="K26" s="65">
        <x:f>K25/$E$25</x:f>
        <x:v>0.027543286185582647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5">
        <x:f>SUM(C27:D34,F27:G31)</x:f>
        <x:v>669333.33333333337</x:v>
      </x:c>
      <x:c r="M27" s="66"/>
    </x:row>
    <x:row r="28" spans="1:13" ht="30.949999999999999" customHeight="1">
      <x:c r="A28" s="316"/>
      <x:c r="B28" s="54" t="s">
        <x:v>84</x:v>
      </x:c>
      <x:c r="C28" s="204">
        <x:f>3800000/30</x:f>
        <x:v>126666.66666666667</x:v>
      </x:c>
      <x:c r="D28" s="205"/>
      <x:c r="E28" s="55"/>
      <x:c r="F28" s="206"/>
      <x:c r="G28" s="206"/>
      <x:c r="H28" s="112" t="s">
        <x:v>110</x:v>
      </x:c>
      <x:c r="I28" s="114">
        <x:f>I27/$A$25</x:f>
        <x:v>0.16232165231801465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SUM('1:6'!$I$27)</x:f>
        <x:v>3859600.0000000005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5.7663346613545823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130000</x:v>
      </x:c>
      <x:c r="G31" s="202"/>
    </x:row>
    <x:row r="32" spans="1:4" customHeight="1">
      <x:c r="A32" s="316"/>
      <x:c r="B32" s="148" t="s">
        <x:v>90</x:v>
      </x:c>
      <x:c r="C32" s="199">
        <x:f>14000*4</x:f>
        <x:v>56000</x:v>
      </x:c>
      <x:c r="D32" s="200"/>
    </x:row>
    <x:row r="33" spans="1:4" customHeight="1">
      <x:c r="A33" s="316"/>
      <x:c r="B33" s="148" t="s">
        <x:v>78</x:v>
      </x:c>
      <x:c r="C33" s="199"/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abSelected="1" topLeftCell="A4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7</x:v>
      </x:c>
      <x:c r="G1" s="68" t="s">
        <x:v>136</x:v>
      </x:c>
      <x:c r="H1" s="52" t="s">
        <x:v>55</x:v>
      </x:c>
      <x:c r="I1" s="52">
        <x:f>F1-K1</x:f>
        <x:v>7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4209500</x:v>
      </x:c>
      <x:c r="D2" s="168"/>
      <x:c r="E2" s="171" t="s">
        <x:v>137</x:v>
      </x:c>
      <x:c r="F2" s="172"/>
      <x:c r="G2" s="160">
        <x:v>161750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3070500</x:v>
      </x:c>
      <x:c r="D4" s="155"/>
      <x:c r="E4" s="170" t="s">
        <x:v>2</x:v>
      </x:c>
      <x:c r="F4" s="170"/>
      <x:c r="G4" s="134">
        <x:f>INT(C4*0.0275)</x:f>
        <x:v>84438</x:v>
      </x:c>
      <x:c r="H4" s="54" t="s">
        <x:v>77</x:v>
      </x:c>
      <x:c r="I4" s="125">
        <x:f>452000+221400+173972+307632</x:f>
        <x:v>1155004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1139000</x:v>
      </x:c>
      <x:c r="D5" s="155"/>
      <x:c r="E5" s="154" t="s">
        <x:v>94</x:v>
      </x:c>
      <x:c r="F5" s="154"/>
      <x:c r="G5" s="134">
        <x:f>INT(C5*0.01)</x:f>
        <x:v>11390</x:v>
      </x:c>
      <x:c r="H5" s="54" t="s">
        <x:v>111</x:v>
      </x:c>
      <x:c r="I5" s="125">
        <x:f>48300+25600+14960+29656+36080+21310</x:f>
        <x:v>175906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1160000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140750</x:v>
      </x:c>
      <x:c r="D8" s="155"/>
      <x:c r="E8" s="194" t="s">
        <x:v>41</x:v>
      </x:c>
      <x:c r="F8" s="195"/>
      <x:c r="G8" s="185">
        <x:f>C5+G2-G6-C22</x:f>
        <x:v>140750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>
        <x:v>13000</x:v>
      </x:c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>
        <x:v>100000</x:v>
      </x:c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14</x:v>
      </x:c>
      <x:c r="D12" s="194" t="s">
        <x:v>60</x:v>
      </x:c>
      <x:c r="E12" s="195"/>
      <x:c r="F12" s="183">
        <x:v>16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SUM('1:7'!$C$12)</x:f>
        <x:v>113</x:v>
      </x:c>
      <x:c r="D13" s="173"/>
      <x:c r="E13" s="174"/>
      <x:c r="F13" s="181">
        <x:f>SUM('1:7'!$F$12)</x:f>
        <x:v>81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36</x:v>
      </x:c>
      <x:c r="D14" s="194" t="s">
        <x:v>29</x:v>
      </x:c>
      <x:c r="E14" s="195"/>
      <x:c r="F14" s="183">
        <x:v>10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SUM('1:7'!$C$14)</x:f>
        <x:v>246</x:v>
      </x:c>
      <x:c r="D15" s="173"/>
      <x:c r="E15" s="174"/>
      <x:c r="F15" s="181">
        <x:f>SUM('1:7'!$F$14)</x:f>
        <x:v>128</x:v>
      </x:c>
      <x:c r="G15" s="182"/>
      <x:c r="H15" s="54" t="s">
        <x:v>44</x:v>
      </x:c>
      <x:c r="I15" s="58">
        <x:f>32500+8500+21000+6600+3900+3200</x:f>
        <x:v>75700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4</x:v>
      </x:c>
      <x:c r="D16" s="194" t="s">
        <x:v>34</x:v>
      </x:c>
      <x:c r="E16" s="195"/>
      <x:c r="F16" s="179">
        <x:v>30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SUM('1:7'!$C$16)</x:f>
        <x:v>41</x:v>
      </x:c>
      <x:c r="D17" s="173"/>
      <x:c r="E17" s="174"/>
      <x:c r="F17" s="180">
        <x:f>SUM('1:7'!$F$16)</x:f>
        <x:v>141</x:v>
      </x:c>
      <x:c r="G17" s="180"/>
      <x:c r="H17" s="54" t="s">
        <x:v>109</x:v>
      </x:c>
      <x:c r="I17" s="58">
        <x:v>1600</x:v>
      </x:c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26</x:v>
      </x:c>
      <x:c r="D18" s="194" t="s">
        <x:v>67</x:v>
      </x:c>
      <x:c r="E18" s="195"/>
      <x:c r="F18" s="187">
        <x:v>9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SUM('1:7'!$C$18)</x:f>
        <x:v>230</x:v>
      </x:c>
      <x:c r="D19" s="173"/>
      <x:c r="E19" s="174"/>
      <x:c r="F19" s="180">
        <x:f>SUM('1:7'!$F$18)</x:f>
        <x:v>90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60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SUM('1:7'!$F$20)</x:f>
        <x:v>467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1508210</x:v>
      </x:c>
      <x:c r="J23" s="61" t="s">
        <x:v>45</x:v>
      </x:c>
      <x:c r="K23" s="62">
        <x:f>SUM(K4:K22)</x:f>
        <x:v>27666.666666666664</x:v>
      </x:c>
      <x:c r="M23" s="89" t="s">
        <x:v>21</x:v>
      </x:c>
      <x:c r="N23" s="176">
        <x:f>C5+C6</x:f>
        <x:v>1139000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0.3582872075068298</x:v>
      </x:c>
      <x:c r="J24" s="61" t="s">
        <x:v>110</x:v>
      </x:c>
      <x:c r="K24" s="63">
        <x:f>K23/A25</x:f>
        <x:v>0.0065724353644534186</x:v>
      </x:c>
    </x:row>
    <x:row r="25" spans="1:11" ht="34.149999999999999" customHeight="1">
      <x:c r="A25" s="203">
        <x:f>C2</x:f>
        <x:v>4209500</x:v>
      </x:c>
      <x:c r="B25" s="169"/>
      <x:c r="C25" s="169">
        <x:f>E25/I1</x:f>
        <x:v>4368642.8571428573</x:v>
      </x:c>
      <x:c r="D25" s="169"/>
      <x:c r="E25" s="169">
        <x:f>SUM('1:7'!$A$25)</x:f>
        <x:v>30580500</x:v>
      </x:c>
      <x:c r="F25" s="169"/>
      <x:c r="G25" s="169"/>
      <x:c r="H25" s="108" t="s">
        <x:v>129</x:v>
      </x:c>
      <x:c r="I25" s="109">
        <x:f>SUM('1:7'!$I$23)</x:f>
        <x:v>12397583</x:v>
      </x:c>
      <x:c r="J25" s="61" t="s">
        <x:v>129</x:v>
      </x:c>
      <x:c r="K25" s="62">
        <x:f>SUM('1:7'!$K$23)</x:f>
        <x:v>754010.66666666663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0.40540811955331013</x:v>
      </x:c>
      <x:c r="J26" s="64" t="s">
        <x:v>50</x:v>
      </x:c>
      <x:c r="K26" s="65">
        <x:f>K25/$E$25</x:f>
        <x:v>0.0246565839887074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655983.33333333337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0.1558340262105555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SUM('1:7'!$I$27)</x:f>
        <x:v>4515583.333333334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6.8836860692598902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11700*4.5</x:f>
        <x:v>52650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abSelected="1" topLeftCell="A10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8</x:v>
      </x:c>
      <x:c r="G1" s="68" t="s">
        <x:v>150</x:v>
      </x:c>
      <x:c r="H1" s="52" t="s">
        <x:v>55</x:v>
      </x:c>
      <x:c r="I1" s="52">
        <x:f>F1-K1</x:f>
        <x:v>8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4550000</x:v>
      </x:c>
      <x:c r="D2" s="168"/>
      <x:c r="E2" s="171" t="s">
        <x:v>137</x:v>
      </x:c>
      <x:c r="F2" s="172"/>
      <x:c r="G2" s="160">
        <x:v>140750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3980000</x:v>
      </x:c>
      <x:c r="D4" s="155"/>
      <x:c r="E4" s="170" t="s">
        <x:v>2</x:v>
      </x:c>
      <x:c r="F4" s="170"/>
      <x:c r="G4" s="134">
        <x:f>INT(C4*0.0275)</x:f>
        <x:v>109450</x:v>
      </x:c>
      <x:c r="H4" s="54" t="s">
        <x:v>77</x:v>
      </x:c>
      <x:c r="I4" s="125">
        <x:f>477600+904000+232200+196497+264654</x:f>
        <x:v>2074951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570000</x:v>
      </x:c>
      <x:c r="D5" s="155"/>
      <x:c r="E5" s="154" t="s">
        <x:v>94</x:v>
      </x:c>
      <x:c r="F5" s="154"/>
      <x:c r="G5" s="134">
        <x:f>INT(C5*0.01)</x:f>
        <x:v>5700</x:v>
      </x:c>
      <x:c r="H5" s="54" t="s">
        <x:v>111</x:v>
      </x:c>
      <x:c r="I5" s="125">
        <x:f>59312+72160+48300+25600+21310+14960</x:f>
        <x:v>241642</x:v>
      </x:c>
      <x:c r="J5" s="82"/>
      <x:c r="K5" s="58"/>
    </x:row>
    <x:row r="6" spans="1:13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600000</x:v>
      </x:c>
      <x:c r="H6" s="54"/>
      <x:c r="I6" s="125"/>
      <x:c r="J6" s="82" t="s">
        <x:v>46</x:v>
      </x:c>
      <x:c r="K6" s="58"/>
      <x:c r="M6" s="125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f>165600-38100</x:f>
        <x:v>127500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110350</x:v>
      </x:c>
      <x:c r="D8" s="155"/>
      <x:c r="E8" s="194" t="s">
        <x:v>41</x:v>
      </x:c>
      <x:c r="F8" s="195"/>
      <x:c r="G8" s="185">
        <x:f>C5+G2-G6-C22</x:f>
        <x:v>110750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>
        <x:v>50400</x:v>
      </x:c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 t="s">
        <x:v>160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11</x:v>
      </x:c>
      <x:c r="D12" s="194" t="s">
        <x:v>60</x:v>
      </x:c>
      <x:c r="E12" s="195"/>
      <x:c r="F12" s="183">
        <x:v>9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SUM('1:8'!$C$12)</x:f>
        <x:v>124</x:v>
      </x:c>
      <x:c r="D13" s="173"/>
      <x:c r="E13" s="174"/>
      <x:c r="F13" s="181">
        <x:f>SUM('1:8'!$F$12)</x:f>
        <x:v>90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37</x:v>
      </x:c>
      <x:c r="D14" s="194" t="s">
        <x:v>29</x:v>
      </x:c>
      <x:c r="E14" s="195"/>
      <x:c r="F14" s="183">
        <x:v>12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SUM('1:8'!$C$14)</x:f>
        <x:v>283</x:v>
      </x:c>
      <x:c r="D15" s="173"/>
      <x:c r="E15" s="174"/>
      <x:c r="F15" s="181">
        <x:f>SUM('1:8'!$F$14)</x:f>
        <x:v>140</x:v>
      </x:c>
      <x:c r="G15" s="182"/>
      <x:c r="H15" s="54" t="s">
        <x:v>44</x:v>
      </x:c>
      <x:c r="I15" s="58">
        <x:f>39000+1200+2200+52000+4900+11800</x:f>
        <x:v>111100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5</x:v>
      </x:c>
      <x:c r="D16" s="194" t="s">
        <x:v>34</x:v>
      </x:c>
      <x:c r="E16" s="195"/>
      <x:c r="F16" s="179">
        <x:v>19</x:v>
      </x:c>
      <x:c r="G16" s="179"/>
      <x:c r="H16" s="54"/>
      <x:c r="I16" s="58"/>
      <x:c r="J16" s="54" t="s">
        <x:v>19</x:v>
      </x:c>
      <x:c r="K16" s="58">
        <x:v>209070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SUM('1:8'!$C$16)</x:f>
        <x:v>46</x:v>
      </x:c>
      <x:c r="D17" s="173"/>
      <x:c r="E17" s="174"/>
      <x:c r="F17" s="180">
        <x:f>SUM('1:8'!$F$16)</x:f>
        <x:v>160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34</x:v>
      </x:c>
      <x:c r="D18" s="194" t="s">
        <x:v>67</x:v>
      </x:c>
      <x:c r="E18" s="195"/>
      <x:c r="F18" s="187">
        <x:v>28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SUM('1:8'!$C$18)</x:f>
        <x:v>264</x:v>
      </x:c>
      <x:c r="D19" s="173"/>
      <x:c r="E19" s="174"/>
      <x:c r="F19" s="180">
        <x:f>SUM('1:8'!$F$18)</x:f>
        <x:v>118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58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SUM('1:8'!$F$20)</x:f>
        <x:v>525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2611193</x:v>
      </x:c>
      <x:c r="J23" s="61" t="s">
        <x:v>45</x:v>
      </x:c>
      <x:c r="K23" s="62">
        <x:f>SUM(K4:K22)</x:f>
        <x:v>223736.66666666666</x:v>
      </x:c>
      <x:c r="M23" s="89" t="s">
        <x:v>21</x:v>
      </x:c>
      <x:c r="N23" s="176">
        <x:f>C5+C6</x:f>
        <x:v>570000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0.57388857142857141</x:v>
      </x:c>
      <x:c r="J24" s="61" t="s">
        <x:v>110</x:v>
      </x:c>
      <x:c r="K24" s="63">
        <x:f>K23/A25</x:f>
        <x:v>0.049172893772893772</x:v>
      </x:c>
    </x:row>
    <x:row r="25" spans="1:11" ht="34.149999999999999" customHeight="1">
      <x:c r="A25" s="203">
        <x:f>C2</x:f>
        <x:v>4550000</x:v>
      </x:c>
      <x:c r="B25" s="169"/>
      <x:c r="C25" s="169">
        <x:f>E25/I1</x:f>
        <x:v>4391312.5</x:v>
      </x:c>
      <x:c r="D25" s="169"/>
      <x:c r="E25" s="169">
        <x:f>SUM('1:8'!$A$25)</x:f>
        <x:v>35130500</x:v>
      </x:c>
      <x:c r="F25" s="169"/>
      <x:c r="G25" s="169"/>
      <x:c r="H25" s="108" t="s">
        <x:v>129</x:v>
      </x:c>
      <x:c r="I25" s="109">
        <x:f>SUM('1:8'!$I$23)</x:f>
        <x:v>15008776</x:v>
      </x:c>
      <x:c r="J25" s="61" t="s">
        <x:v>129</x:v>
      </x:c>
      <x:c r="K25" s="62">
        <x:f>SUM('1:8'!$K$23)</x:f>
        <x:v>977747.33333333326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0.42722921677744408</x:v>
      </x:c>
      <x:c r="J26" s="64" t="s">
        <x:v>50</x:v>
      </x:c>
      <x:c r="K26" s="65">
        <x:f>K25/$E$25</x:f>
        <x:v>0.027831864998600454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650133.33333333337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0.14288644688644689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SUM('1:8'!$I$27)</x:f>
        <x:v>5165716.666666667</x:v>
      </x:c>
      <x:c r="M29" s="66" t="s">
        <x:v>151</x:v>
      </x:c>
    </x:row>
    <x:row r="30" spans="1:13" ht="30.949999999999999" customHeight="1">
      <x:c r="A30" s="316"/>
      <x:c r="B30" s="54"/>
      <x:c r="C30" s="204"/>
      <x:c r="D30" s="205"/>
      <x:c r="E30" s="55"/>
      <x:c r="F30" s="201"/>
      <x:c r="G30" s="202"/>
      <x:c r="H30" s="112" t="s">
        <x:v>50</x:v>
      </x:c>
      <x:c r="I30" s="114">
        <x:f>I29/$I$27</x:f>
        <x:v>7.9456265381460209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abSelected="1" topLeftCell="A4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9</x:v>
      </x:c>
      <x:c r="G1" s="68" t="s">
        <x:v>80</x:v>
      </x:c>
      <x:c r="H1" s="52" t="s">
        <x:v>55</x:v>
      </x:c>
      <x:c r="I1" s="52">
        <x:f>F1-K1</x:f>
        <x:v>9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4554500</x:v>
      </x:c>
      <x:c r="D2" s="168"/>
      <x:c r="E2" s="171" t="s">
        <x:v>137</x:v>
      </x:c>
      <x:c r="F2" s="172"/>
      <x:c r="G2" s="160">
        <x:v>110350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3301000</x:v>
      </x:c>
      <x:c r="D4" s="155"/>
      <x:c r="E4" s="170" t="s">
        <x:v>2</x:v>
      </x:c>
      <x:c r="F4" s="170"/>
      <x:c r="G4" s="134">
        <x:f>INT(C4*0.0275)</x:f>
        <x:v>90777</x:v>
      </x:c>
      <x:c r="H4" s="54" t="s">
        <x:v>77</x:v>
      </x:c>
      <x:c r="I4" s="125">
        <x:f>56220+30650+477600+452000+216000+171545</x:f>
        <x:v>1404015</x:v>
      </x:c>
      <x:c r="J4" s="82" t="s">
        <x:v>133</x:v>
      </x:c>
      <x:c r="K4" s="58">
        <x:v>276000</x:v>
      </x:c>
    </x:row>
    <x:row r="5" spans="1:11" ht="30.949999999999999" customHeight="1">
      <x:c r="A5" s="162" t="s">
        <x:v>152</x:v>
      </x:c>
      <x:c r="B5" s="163"/>
      <x:c r="C5" s="155">
        <x:v>1253500</x:v>
      </x:c>
      <x:c r="D5" s="155"/>
      <x:c r="E5" s="154" t="s">
        <x:v>94</x:v>
      </x:c>
      <x:c r="F5" s="154"/>
      <x:c r="G5" s="134">
        <x:f>INT(C5*0.01)</x:f>
        <x:v>12535</x:v>
      </x:c>
      <x:c r="H5" s="54" t="s">
        <x:v>111</x:v>
      </x:c>
      <x:c r="I5" s="125">
        <x:f>47300+38940+40700</x:f>
        <x:v>126940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1250000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113850</x:v>
      </x:c>
      <x:c r="D8" s="155"/>
      <x:c r="E8" s="194" t="s">
        <x:v>41</x:v>
      </x:c>
      <x:c r="F8" s="195"/>
      <x:c r="G8" s="185">
        <x:f>C5+G2-G6-C22</x:f>
        <x:v>113850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10</x:v>
      </x:c>
      <x:c r="D12" s="194" t="s">
        <x:v>60</x:v>
      </x:c>
      <x:c r="E12" s="195"/>
      <x:c r="F12" s="183">
        <x:v>6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SUM('1:9'!$C$12)</x:f>
        <x:v>134</x:v>
      </x:c>
      <x:c r="D13" s="173"/>
      <x:c r="E13" s="174"/>
      <x:c r="F13" s="181">
        <x:f>SUM('1:9'!$F$12)</x:f>
        <x:v>96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31</x:v>
      </x:c>
      <x:c r="D14" s="194" t="s">
        <x:v>29</x:v>
      </x:c>
      <x:c r="E14" s="195"/>
      <x:c r="F14" s="183">
        <x:v>18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SUM('1:9'!$C$14)</x:f>
        <x:v>314</x:v>
      </x:c>
      <x:c r="D15" s="173"/>
      <x:c r="E15" s="174"/>
      <x:c r="F15" s="181">
        <x:f>SUM('1:9'!$F$14)</x:f>
        <x:v>158</x:v>
      </x:c>
      <x:c r="G15" s="182"/>
      <x:c r="H15" s="54" t="s">
        <x:v>44</x:v>
      </x:c>
      <x:c r="I15" s="58">
        <x:v>121150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7</x:v>
      </x:c>
      <x:c r="D16" s="194" t="s">
        <x:v>34</x:v>
      </x:c>
      <x:c r="E16" s="195"/>
      <x:c r="F16" s="179">
        <x:v>30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SUM('1:9'!$C$16)</x:f>
        <x:v>53</x:v>
      </x:c>
      <x:c r="D17" s="173"/>
      <x:c r="E17" s="174"/>
      <x:c r="F17" s="180">
        <x:f>SUM('1:9'!$F$16)</x:f>
        <x:v>190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44</x:v>
      </x:c>
      <x:c r="D18" s="194" t="s">
        <x:v>67</x:v>
      </x:c>
      <x:c r="E18" s="195"/>
      <x:c r="F18" s="187">
        <x:v>13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SUM('1:9'!$C$18)</x:f>
        <x:v>308</x:v>
      </x:c>
      <x:c r="D19" s="173"/>
      <x:c r="E19" s="174"/>
      <x:c r="F19" s="180">
        <x:f>SUM('1:9'!$F$18)</x:f>
        <x:v>131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78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SUM('1:9'!$F$20)</x:f>
        <x:v>603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1708105</x:v>
      </x:c>
      <x:c r="J23" s="61" t="s">
        <x:v>45</x:v>
      </x:c>
      <x:c r="K23" s="62">
        <x:f>SUM(K4:K22)</x:f>
        <x:v>290666.66666666669</x:v>
      </x:c>
      <x:c r="M23" s="89" t="s">
        <x:v>21</x:v>
      </x:c>
      <x:c r="N23" s="176">
        <x:f>C5+C6</x:f>
        <x:v>1253500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0.37503677681413988</x:v>
      </x:c>
      <x:c r="J24" s="61" t="s">
        <x:v>110</x:v>
      </x:c>
      <x:c r="K24" s="63">
        <x:f>K23/A25</x:f>
        <x:v>0.063819665532257472</x:v>
      </x:c>
    </x:row>
    <x:row r="25" spans="1:11" ht="34.149999999999999" customHeight="1">
      <x:c r="A25" s="203">
        <x:f>C2</x:f>
        <x:v>4554500</x:v>
      </x:c>
      <x:c r="B25" s="169"/>
      <x:c r="C25" s="169">
        <x:f>E25/I1</x:f>
        <x:v>4409444.444444444</x:v>
      </x:c>
      <x:c r="D25" s="169"/>
      <x:c r="E25" s="169">
        <x:f>SUM('1:9'!$A$25)</x:f>
        <x:v>39685000</x:v>
      </x:c>
      <x:c r="F25" s="169"/>
      <x:c r="G25" s="169"/>
      <x:c r="H25" s="108" t="s">
        <x:v>129</x:v>
      </x:c>
      <x:c r="I25" s="109">
        <x:f>SUM('1:9'!$I$23)</x:f>
        <x:v>16716881</x:v>
      </x:c>
      <x:c r="J25" s="61" t="s">
        <x:v>129</x:v>
      </x:c>
      <x:c r="K25" s="62">
        <x:f>SUM('1:9'!$K$23)</x:f>
        <x:v>1268414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0.42123928436436942</x:v>
      </x:c>
      <x:c r="J26" s="64" t="s">
        <x:v>50</x:v>
      </x:c>
      <x:c r="K26" s="65">
        <x:f>K25/$E$25</x:f>
        <x:v>0.031962051152828526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661833.33333333337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0.14531415815859774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SUM('1:9'!$I$27)</x:f>
        <x:v>5827550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8.8051624276001004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11700*5</x:f>
        <x:v>58500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abSelected="1" topLeftCell="A2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10</x:v>
      </x:c>
      <x:c r="G1" s="68" t="s">
        <x:v>147</x:v>
      </x:c>
      <x:c r="H1" s="52" t="s">
        <x:v>55</x:v>
      </x:c>
      <x:c r="I1" s="52">
        <x:f>F1-K1</x:f>
        <x:v>10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5003500</x:v>
      </x:c>
      <x:c r="D2" s="168"/>
      <x:c r="E2" s="171" t="s">
        <x:v>137</x:v>
      </x:c>
      <x:c r="F2" s="172"/>
      <x:c r="G2" s="160">
        <x:v>113850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4248000</x:v>
      </x:c>
      <x:c r="D4" s="155"/>
      <x:c r="E4" s="170" t="s">
        <x:v>2</x:v>
      </x:c>
      <x:c r="F4" s="170"/>
      <x:c r="G4" s="134">
        <x:f>INT(C4*0.0275)</x:f>
        <x:v>116820</x:v>
      </x:c>
      <x:c r="H4" s="54" t="s">
        <x:v>77</x:v>
      </x:c>
      <x:c r="I4" s="125">
        <x:f>452000+221400+205854+10</x:f>
        <x:v>879264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755500</x:v>
      </x:c>
      <x:c r="D5" s="155"/>
      <x:c r="E5" s="154" t="s">
        <x:v>94</x:v>
      </x:c>
      <x:c r="F5" s="154"/>
      <x:c r="G5" s="134">
        <x:f>INT(C5*0.01)</x:f>
        <x:v>7555</x:v>
      </x:c>
      <x:c r="H5" s="54" t="s">
        <x:v>111</x:v>
      </x:c>
      <x:c r="I5" s="125">
        <x:f>48300+25600+36080+59312</x:f>
        <x:v>169292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710000</x:v>
      </x:c>
      <x:c r="H6" s="54"/>
      <x:c r="I6" s="125"/>
      <x:c r="J6" s="82" t="s">
        <x:v>46</x:v>
      </x:c>
      <x:c r="K6" s="58">
        <x:v>84000</x:v>
      </x:c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159350</x:v>
      </x:c>
      <x:c r="D8" s="155"/>
      <x:c r="E8" s="194" t="s">
        <x:v>41</x:v>
      </x:c>
      <x:c r="F8" s="195"/>
      <x:c r="G8" s="185">
        <x:f>C5+G2-G6-C22</x:f>
        <x:v>159350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>
        <x:v>130000</x:v>
      </x:c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 t="s">
        <x:v>158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6</x:v>
      </x:c>
      <x:c r="D12" s="194" t="s">
        <x:v>60</x:v>
      </x:c>
      <x:c r="E12" s="195"/>
      <x:c r="F12" s="183">
        <x:v>7</x:v>
      </x:c>
      <x:c r="G12" s="184"/>
      <x:c r="H12" s="54" t="s">
        <x:v>42</x:v>
      </x:c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SUM('1:10'!$C$12)</x:f>
        <x:v>140</x:v>
      </x:c>
      <x:c r="D13" s="173"/>
      <x:c r="E13" s="174"/>
      <x:c r="F13" s="181">
        <x:f>SUM('1:10'!$F$12)</x:f>
        <x:v>103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39</x:v>
      </x:c>
      <x:c r="D14" s="194" t="s">
        <x:v>29</x:v>
      </x:c>
      <x:c r="E14" s="195"/>
      <x:c r="F14" s="183">
        <x:v>16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SUM('1:10'!$C$14)</x:f>
        <x:v>353</x:v>
      </x:c>
      <x:c r="D15" s="173"/>
      <x:c r="E15" s="174"/>
      <x:c r="F15" s="181">
        <x:f>SUM('1:10'!$F$14)</x:f>
        <x:v>174</x:v>
      </x:c>
      <x:c r="G15" s="182"/>
      <x:c r="H15" s="54" t="s">
        <x:v>44</x:v>
      </x:c>
      <x:c r="I15" s="58">
        <x:f>52000+19200+21000+5550+7800+6000+28000</x:f>
        <x:v>139550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4</x:v>
      </x:c>
      <x:c r="D16" s="194" t="s">
        <x:v>34</x:v>
      </x:c>
      <x:c r="E16" s="195"/>
      <x:c r="F16" s="179">
        <x:v>30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SUM('1:10'!$C$16)</x:f>
        <x:v>57</x:v>
      </x:c>
      <x:c r="D17" s="173"/>
      <x:c r="E17" s="174"/>
      <x:c r="F17" s="180">
        <x:f>F19</x:f>
        <x:v>143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45</x:v>
      </x:c>
      <x:c r="D18" s="194" t="s">
        <x:v>67</x:v>
      </x:c>
      <x:c r="E18" s="195"/>
      <x:c r="F18" s="187">
        <x:v>12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SUM('1:10'!$C$18)</x:f>
        <x:v>353</x:v>
      </x:c>
      <x:c r="D19" s="173"/>
      <x:c r="E19" s="174"/>
      <x:c r="F19" s="180">
        <x:f>SUM('1:10'!$F$18)</x:f>
        <x:v>143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78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SUM('1:10'!$F$20)</x:f>
        <x:v>681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1188106</x:v>
      </x:c>
      <x:c r="J23" s="61" t="s">
        <x:v>45</x:v>
      </x:c>
      <x:c r="K23" s="62">
        <x:f>SUM(K4:K22)</x:f>
        <x:v>228666.66666666666</x:v>
      </x:c>
      <x:c r="M23" s="89" t="s">
        <x:v>21</x:v>
      </x:c>
      <x:c r="N23" s="176">
        <x:f>C5+C6</x:f>
        <x:v>755500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0.23745498151294095</x:v>
      </x:c>
      <x:c r="J24" s="61" t="s">
        <x:v>110</x:v>
      </x:c>
      <x:c r="K24" s="63">
        <x:f>K23/A25</x:f>
        <x:v>0.045701342393657772</x:v>
      </x:c>
    </x:row>
    <x:row r="25" spans="1:11" ht="34.149999999999999" customHeight="1">
      <x:c r="A25" s="203">
        <x:f>C2</x:f>
        <x:v>5003500</x:v>
      </x:c>
      <x:c r="B25" s="169"/>
      <x:c r="C25" s="169">
        <x:f>E25/I1</x:f>
        <x:v>4468850</x:v>
      </x:c>
      <x:c r="D25" s="169"/>
      <x:c r="E25" s="169">
        <x:f>SUM('1:10'!$A$25)</x:f>
        <x:v>44688500</x:v>
      </x:c>
      <x:c r="F25" s="169"/>
      <x:c r="G25" s="169"/>
      <x:c r="H25" s="108" t="s">
        <x:v>129</x:v>
      </x:c>
      <x:c r="I25" s="109">
        <x:f>SUM('1:10'!$I$21)</x:f>
        <x:v>0</x:v>
      </x:c>
      <x:c r="J25" s="61" t="s">
        <x:v>129</x:v>
      </x:c>
      <x:c r="K25" s="62">
        <x:f>SUM('1:10'!$K$21)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661833.33333333337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0.13227407481429668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SUM('1:10'!$I$25)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124.60825384034247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11700*5</x:f>
        <x:v>58500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abSelected="1" topLeftCell="A23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11</x:v>
      </x:c>
      <x:c r="G1" s="68" t="s">
        <x:v>75</x:v>
      </x:c>
      <x:c r="H1" s="52" t="s">
        <x:v>55</x:v>
      </x:c>
      <x:c r="I1" s="52">
        <x:f>F1-K1</x:f>
        <x:v>11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4632500</x:v>
      </x:c>
      <x:c r="D2" s="168"/>
      <x:c r="E2" s="171" t="s">
        <x:v>137</x:v>
      </x:c>
      <x:c r="F2" s="172"/>
      <x:c r="G2" s="160">
        <x:v>159350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4116500</x:v>
      </x:c>
      <x:c r="D4" s="155"/>
      <x:c r="E4" s="170" t="s">
        <x:v>2</x:v>
      </x:c>
      <x:c r="F4" s="170"/>
      <x:c r="G4" s="134">
        <x:f>INT(C4*0.0275)</x:f>
        <x:v>113203</x:v>
      </x:c>
      <x:c r="H4" s="54" t="s">
        <x:v>77</x:v>
      </x:c>
      <x:c r="I4" s="125">
        <x:f>477600+452000+216000+442898+298584+189100</x:f>
        <x:v>2076182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516000</x:v>
      </x:c>
      <x:c r="D5" s="155"/>
      <x:c r="E5" s="154" t="s">
        <x:v>94</x:v>
      </x:c>
      <x:c r="F5" s="154"/>
      <x:c r="G5" s="134">
        <x:f>INT(C5*0.01)</x:f>
        <x:v>5160</x:v>
      </x:c>
      <x:c r="H5" s="54" t="s">
        <x:v>111</x:v>
      </x:c>
      <x:c r="I5" s="125">
        <x:f>34540+29656+48300+25600+21310+2640+3200+15690</x:f>
        <x:v>180936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550000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v>268800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125350</x:v>
      </x:c>
      <x:c r="D8" s="155"/>
      <x:c r="E8" s="194" t="s">
        <x:v>41</x:v>
      </x:c>
      <x:c r="F8" s="195"/>
      <x:c r="G8" s="185">
        <x:f>C5+G2-G6-C22</x:f>
        <x:v>125350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6" ht="33" customHeight="1">
      <x:c r="A11" s="153" t="s">
        <x:v>35</x:v>
      </x:c>
      <x:c r="B11" s="154"/>
      <x:c r="C11" s="189" t="s">
        <x:v>74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  <x:c r="M11" s="52"/>
      <x:c r="N11" s="52"/>
      <x:c r="O11" s="52"/>
      <x:c r="P11" s="52"/>
    </x:row>
    <x:row r="12" spans="1:12" ht="21.949999999999999" customHeight="1">
      <x:c r="A12" s="59" t="s">
        <x:v>125</x:v>
      </x:c>
      <x:c r="B12" s="207" t="s">
        <x:v>144</x:v>
      </x:c>
      <x:c r="C12" s="80">
        <x:v>9</x:v>
      </x:c>
      <x:c r="D12" s="194" t="s">
        <x:v>60</x:v>
      </x:c>
      <x:c r="E12" s="195"/>
      <x:c r="F12" s="183">
        <x:v>11</x:v>
      </x:c>
      <x:c r="G12" s="184"/>
      <x:c r="H12" s="54" t="s">
        <x:v>42</x:v>
      </x:c>
      <x:c r="I12" s="58"/>
      <x:c r="J12" s="54"/>
      <x:c r="K12" s="58"/>
      <x:c r="L12" s="60"/>
    </x:row>
    <x:row r="13" spans="1:12" ht="21.949999999999999" customHeight="1">
      <x:c r="A13" s="59" t="s">
        <x:v>30</x:v>
      </x:c>
      <x:c r="B13" s="208"/>
      <x:c r="C13" s="135">
        <x:f>SUM('1:11'!$C$12)</x:f>
        <x:v>149</x:v>
      </x:c>
      <x:c r="D13" s="173"/>
      <x:c r="E13" s="174"/>
      <x:c r="F13" s="181">
        <x:f>SUM('1:11'!$F$12)</x:f>
        <x:v>114</x:v>
      </x:c>
      <x:c r="G13" s="182"/>
      <x:c r="H13" s="54" t="s">
        <x:v>39</x:v>
      </x:c>
      <x:c r="I13" s="58"/>
      <x:c r="J13" s="54"/>
      <x:c r="K13" s="58"/>
      <x:c r="L13" s="60"/>
    </x:row>
    <x:row r="14" spans="1:12" ht="21.949999999999999" customHeight="1">
      <x:c r="A14" s="59" t="s">
        <x:v>125</x:v>
      </x:c>
      <x:c r="B14" s="207" t="s">
        <x:v>83</x:v>
      </x:c>
      <x:c r="C14" s="80">
        <x:v>39</x:v>
      </x:c>
      <x:c r="D14" s="194" t="s">
        <x:v>29</x:v>
      </x:c>
      <x:c r="E14" s="195"/>
      <x:c r="F14" s="183">
        <x:v>20</x:v>
      </x:c>
      <x:c r="G14" s="184"/>
      <x:c r="H14" s="54" t="s">
        <x:v>47</x:v>
      </x:c>
      <x:c r="I14" s="58"/>
      <x:c r="J14" s="54"/>
      <x:c r="K14" s="58"/>
      <x:c r="L14" s="60"/>
    </x:row>
    <x:row r="15" spans="1:12" ht="21.949999999999999" customHeight="1">
      <x:c r="A15" s="59" t="s">
        <x:v>30</x:v>
      </x:c>
      <x:c r="B15" s="208"/>
      <x:c r="C15" s="135">
        <x:f>SUM('1:11'!$C$14)</x:f>
        <x:v>392</x:v>
      </x:c>
      <x:c r="D15" s="173"/>
      <x:c r="E15" s="174"/>
      <x:c r="F15" s="181">
        <x:f>SUM('1:11'!$F$14)</x:f>
        <x:v>194</x:v>
      </x:c>
      <x:c r="G15" s="182"/>
      <x:c r="H15" s="54" t="s">
        <x:v>44</x:v>
      </x:c>
      <x:c r="I15" s="58">
        <x:v>94000</x:v>
      </x:c>
      <x:c r="J15" s="54" t="s">
        <x:v>101</x:v>
      </x:c>
      <x:c r="K15" s="58">
        <x:v>5100</x:v>
      </x:c>
      <x:c r="L15" s="60"/>
    </x:row>
    <x:row r="16" spans="1:12" ht="21.949999999999999" customHeight="1">
      <x:c r="A16" s="59" t="s">
        <x:v>125</x:v>
      </x:c>
      <x:c r="B16" s="207" t="s">
        <x:v>123</x:v>
      </x:c>
      <x:c r="C16" s="80">
        <x:v>4</x:v>
      </x:c>
      <x:c r="D16" s="194" t="s">
        <x:v>34</x:v>
      </x:c>
      <x:c r="E16" s="195"/>
      <x:c r="F16" s="179">
        <x:v>25</x:v>
      </x:c>
      <x:c r="G16" s="179"/>
      <x:c r="H16" s="54"/>
      <x:c r="I16" s="58"/>
      <x:c r="J16" s="54" t="s">
        <x:v>19</x:v>
      </x:c>
      <x:c r="K16" s="58">
        <x:v>303000</x:v>
      </x:c>
      <x:c r="L16" s="60"/>
    </x:row>
    <x:row r="17" spans="1:12" ht="21.949999999999999" customHeight="1">
      <x:c r="A17" s="59" t="s">
        <x:v>30</x:v>
      </x:c>
      <x:c r="B17" s="208"/>
      <x:c r="C17" s="135">
        <x:f>SUM('1:11'!$C$16)</x:f>
        <x:v>61</x:v>
      </x:c>
      <x:c r="D17" s="173"/>
      <x:c r="E17" s="174"/>
      <x:c r="F17" s="180">
        <x:f>SUM('1:11'!$F$16)</x:f>
        <x:v>245</x:v>
      </x:c>
      <x:c r="G17" s="180"/>
      <x:c r="H17" s="54" t="s">
        <x:v>109</x:v>
      </x:c>
      <x:c r="I17" s="58">
        <x:v>4800</x:v>
      </x:c>
      <x:c r="J17" s="54" t="s">
        <x:v>24</x:v>
      </x:c>
      <x:c r="K17" s="58"/>
      <x:c r="L17" s="60"/>
    </x:row>
    <x:row r="18" spans="1:12" ht="21.949999999999999" customHeight="1">
      <x:c r="A18" s="59" t="s">
        <x:v>125</x:v>
      </x:c>
      <x:c r="B18" s="207" t="s">
        <x:v>28</x:v>
      </x:c>
      <x:c r="C18" s="80">
        <x:v>31</x:v>
      </x:c>
      <x:c r="D18" s="194" t="s">
        <x:v>67</x:v>
      </x:c>
      <x:c r="E18" s="195"/>
      <x:c r="F18" s="187">
        <x:v>21</x:v>
      </x:c>
      <x:c r="G18" s="188"/>
      <x:c r="H18" s="54"/>
      <x:c r="I18" s="58"/>
      <x:c r="J18" s="54"/>
      <x:c r="K18" s="58"/>
      <x:c r="L18" s="60"/>
    </x:row>
    <x:row r="19" spans="1:12" ht="21.949999999999999" customHeight="1">
      <x:c r="A19" s="59" t="s">
        <x:v>30</x:v>
      </x:c>
      <x:c r="B19" s="208"/>
      <x:c r="C19" s="135">
        <x:f>SUM('1:11'!$C$18)</x:f>
        <x:v>384</x:v>
      </x:c>
      <x:c r="D19" s="173"/>
      <x:c r="E19" s="174"/>
      <x:c r="F19" s="180">
        <x:f>SUM('1:11'!$F$18)</x:f>
        <x:v>164</x:v>
      </x:c>
      <x:c r="G19" s="180"/>
      <x:c r="H19" s="54"/>
      <x:c r="I19" s="58"/>
      <x:c r="J19" s="54"/>
      <x:c r="K19" s="58"/>
      <x:c r="L19" s="60"/>
    </x:row>
    <x:row r="20" spans="4:12" ht="21.949999999999999" customHeight="1">
      <x:c r="D20" s="154" t="s">
        <x:v>49</x:v>
      </x:c>
      <x:c r="E20" s="154"/>
      <x:c r="F20" s="179">
        <x:v>67</x:v>
      </x:c>
      <x:c r="G20" s="179"/>
      <x:c r="H20" s="54"/>
      <x:c r="I20" s="58"/>
      <x:c r="J20" s="54"/>
      <x:c r="K20" s="58"/>
      <x:c r="L20" s="60"/>
    </x:row>
    <x:row r="21" spans="4:12" ht="21.949999999999999" customHeight="1">
      <x:c r="D21" s="154" t="s">
        <x:v>58</x:v>
      </x:c>
      <x:c r="E21" s="154"/>
      <x:c r="F21" s="180">
        <x:f>SUM('1:11'!$F$20)</x:f>
        <x:v>748</x:v>
      </x:c>
      <x:c r="G21" s="180"/>
      <x:c r="H21" s="54"/>
      <x:c r="I21" s="58"/>
      <x:c r="J21" s="54"/>
      <x:c r="K21" s="58"/>
      <x:c r="L21" s="60"/>
    </x:row>
    <x:row r="22" spans="1:12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2680718</x:v>
      </x:c>
      <x:c r="J23" s="61" t="s">
        <x:v>45</x:v>
      </x:c>
      <x:c r="K23" s="62">
        <x:f>SUM(K4:K22)</x:f>
        <x:v>322766.66666666669</x:v>
      </x:c>
      <x:c r="M23" s="89" t="s">
        <x:v>21</x:v>
      </x:c>
      <x:c r="N23" s="176">
        <x:f>C5+C6</x:f>
        <x:v>516000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0.57867630868861308</x:v>
      </x:c>
      <x:c r="J24" s="61" t="s">
        <x:v>110</x:v>
      </x:c>
      <x:c r="K24" s="63">
        <x:f>K23/A25</x:f>
        <x:v>0.069674401870840078</x:v>
      </x:c>
    </x:row>
    <x:row r="25" spans="1:11" ht="34.149999999999999" customHeight="1">
      <x:c r="A25" s="203">
        <x:f>C2</x:f>
        <x:v>4632500</x:v>
      </x:c>
      <x:c r="B25" s="169"/>
      <x:c r="C25" s="169">
        <x:f>E25/I1</x:f>
        <x:v>4483727.2727272725</x:v>
      </x:c>
      <x:c r="D25" s="169"/>
      <x:c r="E25" s="169">
        <x:f>SUM('1:11'!$A$25)</x:f>
        <x:v>49321000</x:v>
      </x:c>
      <x:c r="F25" s="169"/>
      <x:c r="G25" s="169"/>
      <x:c r="H25" s="108" t="s">
        <x:v>129</x:v>
      </x:c>
      <x:c r="I25" s="109">
        <x:f>SUM('1:11'!$I$21)</x:f>
        <x:v>0</x:v>
      </x:c>
      <x:c r="J25" s="61" t="s">
        <x:v>129</x:v>
      </x:c>
      <x:c r="K25" s="62">
        <x:f>SUM('1:11'!$K$21)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9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782133.33333333337</x:v>
      </x:c>
    </x:row>
    <x:row r="28" spans="1:9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0.16883612160460515</x:v>
      </x:c>
    </x:row>
    <x:row r="29" spans="1:9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SUM('1:11'!$I$25)</x:f>
        <x:v>82469896</x:v>
      </x:c>
    </x:row>
    <x:row r="30" spans="1:9" ht="30.949999999999999" customHeight="1">
      <x:c r="A30" s="316"/>
      <x:c r="B30" s="54"/>
      <x:c r="C30" s="169"/>
      <x:c r="D30" s="169"/>
      <x:c r="E30" s="55" t="s">
        <x:v>81</x:v>
      </x:c>
      <x:c r="F30" s="201">
        <x:v>132000</x:v>
      </x:c>
      <x:c r="G30" s="202"/>
      <x:c r="H30" s="112" t="s">
        <x:v>50</x:v>
      </x:c>
      <x:c r="I30" s="114">
        <x:f>I29/$I$27</x:f>
        <x:v>105.44224684623252</x:v>
      </x:c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abSelected="1" topLeftCell="A28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12</x:v>
      </x:c>
      <x:c r="G1" s="68" t="s">
        <x:v>79</x:v>
      </x:c>
      <x:c r="H1" s="52" t="s">
        <x:v>55</x:v>
      </x:c>
      <x:c r="I1" s="52">
        <x:f>F1-K1</x:f>
        <x:v>12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4548500</x:v>
      </x:c>
      <x:c r="D2" s="168"/>
      <x:c r="E2" s="171" t="s">
        <x:v>137</x:v>
      </x:c>
      <x:c r="F2" s="172"/>
      <x:c r="G2" s="160">
        <x:v>125350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3652000</x:v>
      </x:c>
      <x:c r="D4" s="155"/>
      <x:c r="E4" s="170" t="s">
        <x:v>2</x:v>
      </x:c>
      <x:c r="F4" s="170"/>
      <x:c r="G4" s="134">
        <x:f>INT(C4*0.0275)</x:f>
        <x:v>100430</x:v>
      </x:c>
      <x:c r="H4" s="54" t="s">
        <x:v>77</x:v>
      </x:c>
      <x:c r="I4" s="125">
        <x:f>448200+477600+61300+10+452000+318138</x:f>
        <x:v>1757248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896500</x:v>
      </x:c>
      <x:c r="D5" s="155"/>
      <x:c r="E5" s="154" t="s">
        <x:v>94</x:v>
      </x:c>
      <x:c r="F5" s="154"/>
      <x:c r="G5" s="134">
        <x:f>INT(C5*0.01)</x:f>
        <x:v>8965</x:v>
      </x:c>
      <x:c r="H5" s="54" t="s">
        <x:v>111</x:v>
      </x:c>
      <x:c r="I5" s="125">
        <x:f>88968+72160+48300+25600+21310+15690</x:f>
        <x:v>272028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920000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101850</x:v>
      </x:c>
      <x:c r="D8" s="155"/>
      <x:c r="E8" s="194" t="s">
        <x:v>41</x:v>
      </x:c>
      <x:c r="F8" s="195"/>
      <x:c r="G8" s="185">
        <x:f>C5+G2-G6-C22</x:f>
        <x:v>101850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354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12</x:v>
      </x:c>
      <x:c r="D12" s="194" t="s">
        <x:v>60</x:v>
      </x:c>
      <x:c r="E12" s="195"/>
      <x:c r="F12" s="183">
        <x:v>16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SUM('1:12'!$C$12)</x:f>
        <x:v>161</x:v>
      </x:c>
      <x:c r="D13" s="173"/>
      <x:c r="E13" s="174"/>
      <x:c r="F13" s="181">
        <x:f>SUM('1:12'!$F$12)</x:f>
        <x:v>130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34</x:v>
      </x:c>
      <x:c r="D14" s="194" t="s">
        <x:v>29</x:v>
      </x:c>
      <x:c r="E14" s="195"/>
      <x:c r="F14" s="183">
        <x:v>22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SUM('1:12'!$C$14)</x:f>
        <x:v>426</x:v>
      </x:c>
      <x:c r="D15" s="173"/>
      <x:c r="E15" s="174"/>
      <x:c r="F15" s="181">
        <x:f>SUM('1:12'!$F$14)</x:f>
        <x:v>216</x:v>
      </x:c>
      <x:c r="G15" s="182"/>
      <x:c r="H15" s="54" t="s">
        <x:v>44</x:v>
      </x:c>
      <x:c r="I15" s="58">
        <x:v>258850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5</x:v>
      </x:c>
      <x:c r="D16" s="194" t="s">
        <x:v>34</x:v>
      </x:c>
      <x:c r="E16" s="195"/>
      <x:c r="F16" s="179">
        <x:v>16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SUM('1:12'!$C$16)</x:f>
        <x:v>66</x:v>
      </x:c>
      <x:c r="D17" s="173"/>
      <x:c r="E17" s="174"/>
      <x:c r="F17" s="180">
        <x:f>SUM('1:12'!$F$16)</x:f>
        <x:v>261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56</x:v>
      </x:c>
      <x:c r="D18" s="194" t="s">
        <x:v>67</x:v>
      </x:c>
      <x:c r="E18" s="195"/>
      <x:c r="F18" s="187">
        <x:v>22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SUM('1:12'!$C$18)</x:f>
        <x:v>440</x:v>
      </x:c>
      <x:c r="D19" s="173"/>
      <x:c r="E19" s="174"/>
      <x:c r="F19" s="180">
        <x:f>SUM('1:12'!$F$18)</x:f>
        <x:v>186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325">
        <x:v>48</x:v>
      </x:c>
      <x:c r="G20" s="326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SUM('1:12'!$F$20)</x:f>
        <x:v>796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3"/>
      <x:c r="E23" s="313"/>
      <x:c r="F23" s="313"/>
      <x:c r="G23" s="313"/>
      <x:c r="H23" s="108" t="s">
        <x:v>26</x:v>
      </x:c>
      <x:c r="I23" s="109">
        <x:f>SUM(I4:I22)</x:f>
        <x:v>2288126</x:v>
      </x:c>
      <x:c r="J23" s="61" t="s">
        <x:v>45</x:v>
      </x:c>
      <x:c r="K23" s="62">
        <x:f>SUM(K4:K22)</x:f>
        <x:v>14666.666666666666</x:v>
      </x:c>
      <x:c r="M23" s="89" t="s">
        <x:v>21</x:v>
      </x:c>
      <x:c r="N23" s="176">
        <x:f>C5+C6</x:f>
        <x:v>896500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0.50305067604704845</x:v>
      </x:c>
      <x:c r="J24" s="61" t="s">
        <x:v>110</x:v>
      </x:c>
      <x:c r="K24" s="63">
        <x:f>K23/A25</x:f>
        <x:v>0.0032245062474808542</x:v>
      </x:c>
    </x:row>
    <x:row r="25" spans="1:11" ht="34.149999999999999" customHeight="1">
      <x:c r="A25" s="203">
        <x:f>C2</x:f>
        <x:v>4548500</x:v>
      </x:c>
      <x:c r="B25" s="169"/>
      <x:c r="C25" s="169">
        <x:f>E25/I1</x:f>
        <x:v>4489125</x:v>
      </x:c>
      <x:c r="D25" s="169"/>
      <x:c r="E25" s="169">
        <x:f>SUM('1:12'!$A$25)</x:f>
        <x:v>53869500</x:v>
      </x:c>
      <x:c r="F25" s="169"/>
      <x:c r="G25" s="169"/>
      <x:c r="H25" s="108" t="s">
        <x:v>129</x:v>
      </x:c>
      <x:c r="I25" s="109">
        <x:f>SUM('1:12'!$I$21)</x:f>
        <x:v>0</x:v>
      </x:c>
      <x:c r="J25" s="61" t="s">
        <x:v>129</x:v>
      </x:c>
      <x:c r="K25" s="62">
        <x:f>SUM('1:12'!$K$21)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352"/>
      <x:c r="G27" s="352"/>
      <x:c r="H27" s="112" t="s">
        <x:v>40</x:v>
      </x:c>
      <x:c r="I27" s="113">
        <x:f>SUM(C27:D34,F27:G31)</x:f>
        <x:v>734833.33333333337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353"/>
      <x:c r="G28" s="353"/>
      <x:c r="H28" s="112" t="s">
        <x:v>110</x:v>
      </x:c>
      <x:c r="I28" s="114">
        <x:f>I27/$A$25</x:f>
        <x:v>0.16155509142208055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SUM('1:12'!$I$25)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112.2293889770923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130000</x:v>
      </x:c>
      <x:c r="G31" s="202"/>
    </x:row>
    <x:row r="32" spans="1:4" customHeight="1">
      <x:c r="A32" s="316"/>
      <x:c r="B32" s="148" t="s">
        <x:v>90</x:v>
      </x:c>
      <x:c r="C32" s="199">
        <x:f>14000*4.5</x:f>
        <x:v>63000</x:v>
      </x:c>
      <x:c r="D32" s="200"/>
    </x:row>
    <x:row r="33" spans="1:4" customHeight="1">
      <x:c r="A33" s="316"/>
      <x:c r="B33" s="148" t="s">
        <x:v>78</x:v>
      </x:c>
      <x:c r="C33" s="199">
        <x:f>11700*5</x:f>
        <x:v>58500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F28:G28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abSelected="1" topLeftCell="A1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13</x:v>
      </x:c>
      <x:c r="G1" s="68" t="s">
        <x:v>76</x:v>
      </x:c>
      <x:c r="H1" s="52" t="s">
        <x:v>55</x:v>
      </x:c>
      <x:c r="I1" s="52">
        <x:f>F1-K1</x:f>
        <x:v>13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4203000</x:v>
      </x:c>
      <x:c r="D2" s="168"/>
      <x:c r="E2" s="171" t="s">
        <x:v>137</x:v>
      </x:c>
      <x:c r="F2" s="172"/>
      <x:c r="G2" s="160">
        <x:v>101850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3168000</x:v>
      </x:c>
      <x:c r="D4" s="155"/>
      <x:c r="E4" s="170" t="s">
        <x:v>2</x:v>
      </x:c>
      <x:c r="F4" s="170"/>
      <x:c r="G4" s="134">
        <x:f>INT(C4*0.0275)</x:f>
        <x:v>87120</x:v>
      </x:c>
      <x:c r="H4" s="54" t="s">
        <x:v>77</x:v>
      </x:c>
      <x:c r="I4" s="125"/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1035000</x:v>
      </x:c>
      <x:c r="D5" s="155"/>
      <x:c r="E5" s="154" t="s">
        <x:v>94</x:v>
      </x:c>
      <x:c r="F5" s="154"/>
      <x:c r="G5" s="134">
        <x:f>INT(C5*0.01)</x:f>
        <x:v>10350</x:v>
      </x:c>
      <x:c r="H5" s="54" t="s">
        <x:v>111</x:v>
      </x:c>
      <x:c r="I5" s="125"/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1050000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86850</x:v>
      </x:c>
      <x:c r="D8" s="155"/>
      <x:c r="E8" s="194" t="s">
        <x:v>41</x:v>
      </x:c>
      <x:c r="F8" s="195"/>
      <x:c r="G8" s="185">
        <x:f>C5+G2-G6-C22</x:f>
        <x:v>86850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9</x:v>
      </x:c>
      <x:c r="D12" s="194" t="s">
        <x:v>60</x:v>
      </x:c>
      <x:c r="E12" s="195"/>
      <x:c r="F12" s="183">
        <x:v>6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SUM('1:13'!$C$12)</x:f>
        <x:v>170</x:v>
      </x:c>
      <x:c r="D13" s="173"/>
      <x:c r="E13" s="174"/>
      <x:c r="F13" s="181">
        <x:f>SUM('1:13'!$F$12)</x:f>
        <x:v>136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44</x:v>
      </x:c>
      <x:c r="D14" s="194" t="s">
        <x:v>29</x:v>
      </x:c>
      <x:c r="E14" s="195"/>
      <x:c r="F14" s="183">
        <x:v>29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SUM('1:13'!$C$14)</x:f>
        <x:v>470</x:v>
      </x:c>
      <x:c r="D15" s="173"/>
      <x:c r="E15" s="174"/>
      <x:c r="F15" s="181">
        <x:f>SUM('1:13'!$F$14)</x:f>
        <x:v>245</x:v>
      </x:c>
      <x:c r="G15" s="182"/>
      <x:c r="H15" s="54" t="s">
        <x:v>44</x:v>
      </x:c>
      <x:c r="I15" s="58"/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3</x:v>
      </x:c>
      <x:c r="D16" s="194" t="s">
        <x:v>34</x:v>
      </x:c>
      <x:c r="E16" s="195"/>
      <x:c r="F16" s="179">
        <x:v>24</x:v>
      </x:c>
      <x:c r="G16" s="179"/>
      <x:c r="H16" s="54"/>
      <x:c r="I16" s="58"/>
      <x:c r="J16" s="54" t="s">
        <x:v>19</x:v>
      </x:c>
      <x:c r="K16" s="58">
        <x:v>93171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SUM('1:13'!$C$16)</x:f>
        <x:v>69</x:v>
      </x:c>
      <x:c r="D17" s="173"/>
      <x:c r="E17" s="174"/>
      <x:c r="F17" s="180">
        <x:f>SUM('1:13'!$F$16)</x:f>
        <x:v>285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31</x:v>
      </x:c>
      <x:c r="D18" s="194" t="s">
        <x:v>67</x:v>
      </x:c>
      <x:c r="E18" s="195"/>
      <x:c r="F18" s="187">
        <x:v>15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SUM('1:13'!$C$18)</x:f>
        <x:v>471</x:v>
      </x:c>
      <x:c r="D19" s="173"/>
      <x:c r="E19" s="174"/>
      <x:c r="F19" s="180">
        <x:f>SUM('1:13'!$F$18)</x:f>
        <x:v>201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58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SUM('1:13'!$F$20)</x:f>
        <x:v>854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0</x:v>
      </x:c>
      <x:c r="J23" s="61" t="s">
        <x:v>45</x:v>
      </x:c>
      <x:c r="K23" s="62">
        <x:f>SUM(K4:K22)</x:f>
        <x:v>107837.66666666667</x:v>
      </x:c>
      <x:c r="M23" s="89" t="s">
        <x:v>21</x:v>
      </x:c>
      <x:c r="N23" s="176">
        <x:f>C5+C6</x:f>
        <x:v>1035000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</x:v>
      </x:c>
      <x:c r="J24" s="61" t="s">
        <x:v>110</x:v>
      </x:c>
      <x:c r="K24" s="63">
        <x:f>K23/A25</x:f>
        <x:v>0.025657308271869302</x:v>
      </x:c>
    </x:row>
    <x:row r="25" spans="1:11" ht="34.149999999999999" customHeight="1">
      <x:c r="A25" s="203">
        <x:f>C2</x:f>
        <x:v>4203000</x:v>
      </x:c>
      <x:c r="B25" s="169"/>
      <x:c r="C25" s="169">
        <x:f>E25/I1</x:f>
        <x:v>4467115.384615385</x:v>
      </x:c>
      <x:c r="D25" s="169"/>
      <x:c r="E25" s="169">
        <x:f>SUM('1:13'!$A$25)</x:f>
        <x:v>58072500</x:v>
      </x:c>
      <x:c r="F25" s="169"/>
      <x:c r="G25" s="169"/>
      <x:c r="H25" s="108" t="s">
        <x:v>129</x:v>
      </x:c>
      <x:c r="I25" s="109">
        <x:f>SUM('1:13'!$I$21)</x:f>
        <x:v>0</x:v>
      </x:c>
      <x:c r="J25" s="61" t="s">
        <x:v>129</x:v>
      </x:c>
      <x:c r="K25" s="62">
        <x:f>SUM('1:13'!$K$21)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676333.33333333337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0.16091680545642004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SUM('1:13'!$I$25)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121.93676096599309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130000</x:v>
      </x:c>
      <x:c r="G31" s="202"/>
    </x:row>
    <x:row r="32" spans="1:4" customHeight="1">
      <x:c r="A32" s="316"/>
      <x:c r="B32" s="148" t="s">
        <x:v>90</x:v>
      </x:c>
      <x:c r="C32" s="199">
        <x:f>14000*4.5</x:f>
        <x:v>63000</x:v>
      </x:c>
      <x:c r="D32" s="200"/>
    </x:row>
    <x:row r="33" spans="1:4" customHeight="1">
      <x:c r="A33" s="316"/>
      <x:c r="B33" s="148" t="s">
        <x:v>78</x:v>
      </x:c>
      <x:c r="C33" s="199"/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abSelected="1" topLeftCell="A25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14</x:v>
      </x:c>
      <x:c r="G1" s="68" t="s">
        <x:v>136</x:v>
      </x:c>
      <x:c r="H1" s="52" t="s">
        <x:v>55</x:v>
      </x:c>
      <x:c r="I1" s="52">
        <x:f>F1-K1</x:f>
        <x:v>14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2931500</x:v>
      </x:c>
      <x:c r="D2" s="168"/>
      <x:c r="E2" s="171" t="s">
        <x:v>137</x:v>
      </x:c>
      <x:c r="F2" s="172"/>
      <x:c r="G2" s="160">
        <x:v>86850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2623500</x:v>
      </x:c>
      <x:c r="D4" s="155"/>
      <x:c r="E4" s="170" t="s">
        <x:v>2</x:v>
      </x:c>
      <x:c r="F4" s="170"/>
      <x:c r="G4" s="134">
        <x:f>INT(C4*0.0275)</x:f>
        <x:v>72146</x:v>
      </x:c>
      <x:c r="H4" s="54" t="s">
        <x:v>77</x:v>
      </x:c>
      <x:c r="I4" s="125">
        <x:f>56220+452000+216000+208010+294060</x:f>
        <x:v>1226290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308000</x:v>
      </x:c>
      <x:c r="D5" s="155"/>
      <x:c r="E5" s="154" t="s">
        <x:v>94</x:v>
      </x:c>
      <x:c r="F5" s="154"/>
      <x:c r="G5" s="134">
        <x:f>INT(C5*0.01)</x:f>
        <x:v>3080</x:v>
      </x:c>
      <x:c r="H5" s="54" t="s">
        <x:v>111</x:v>
      </x:c>
      <x:c r="I5" s="125">
        <x:f>21310+48300+25600+29656+72160+102900</x:f>
        <x:v>299926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280000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114850</x:v>
      </x:c>
      <x:c r="D8" s="155"/>
      <x:c r="E8" s="194" t="s">
        <x:v>41</x:v>
      </x:c>
      <x:c r="F8" s="195"/>
      <x:c r="G8" s="185">
        <x:f>C5+G2-G6-C22</x:f>
        <x:v>114850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>
        <x:v>178000</x:v>
      </x:c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>
        <x:v>6000</x:v>
      </x:c>
    </x:row>
    <x:row r="11" spans="1:11" ht="33" customHeight="1">
      <x:c r="A11" s="153" t="s">
        <x:v>35</x:v>
      </x:c>
      <x:c r="B11" s="154"/>
      <x:c r="C11" s="189" t="s">
        <x:v>88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8</x:v>
      </x:c>
      <x:c r="D12" s="194" t="s">
        <x:v>60</x:v>
      </x:c>
      <x:c r="E12" s="195"/>
      <x:c r="F12" s="183">
        <x:v>10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SUM('1:14'!$C$12)</x:f>
        <x:v>178</x:v>
      </x:c>
      <x:c r="D13" s="173"/>
      <x:c r="E13" s="174"/>
      <x:c r="F13" s="181">
        <x:f>SUM('1:14'!$F$12)</x:f>
        <x:v>146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28</x:v>
      </x:c>
      <x:c r="D14" s="194" t="s">
        <x:v>29</x:v>
      </x:c>
      <x:c r="E14" s="195"/>
      <x:c r="F14" s="183">
        <x:v>11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SUM('1:14'!$C$14)</x:f>
        <x:v>498</x:v>
      </x:c>
      <x:c r="D15" s="173"/>
      <x:c r="E15" s="174"/>
      <x:c r="F15" s="181">
        <x:f>SUM('1:14'!$F$14)</x:f>
        <x:v>256</x:v>
      </x:c>
      <x:c r="G15" s="182"/>
      <x:c r="H15" s="54" t="s">
        <x:v>44</x:v>
      </x:c>
      <x:c r="I15" s="58">
        <x:f>7200+8500+8250+4000+3200+5500+22500</x:f>
        <x:v>59150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0</x:v>
      </x:c>
      <x:c r="D16" s="194" t="s">
        <x:v>34</x:v>
      </x:c>
      <x:c r="E16" s="195"/>
      <x:c r="F16" s="179">
        <x:v>14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SUM('1:14'!$C$16)</x:f>
        <x:v>69</x:v>
      </x:c>
      <x:c r="D17" s="173"/>
      <x:c r="E17" s="174"/>
      <x:c r="F17" s="180">
        <x:f>SUM('1:14'!$F$16)</x:f>
        <x:v>299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34</x:v>
      </x:c>
      <x:c r="D18" s="194" t="s">
        <x:v>67</x:v>
      </x:c>
      <x:c r="E18" s="195"/>
      <x:c r="F18" s="187">
        <x:v>9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SUM('1:14'!$C$18)</x:f>
        <x:v>505</x:v>
      </x:c>
      <x:c r="D19" s="173"/>
      <x:c r="E19" s="174"/>
      <x:c r="F19" s="180">
        <x:f>SUM('1:14'!$F$18)</x:f>
        <x:v>210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44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SUM('1:14'!$F$20)</x:f>
        <x:v>898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1641366</x:v>
      </x:c>
      <x:c r="J23" s="61" t="s">
        <x:v>45</x:v>
      </x:c>
      <x:c r="K23" s="62">
        <x:f>SUM(K4:K22)</x:f>
        <x:v>20666.666666666664</x:v>
      </x:c>
      <x:c r="M23" s="89" t="s">
        <x:v>21</x:v>
      </x:c>
      <x:c r="N23" s="176">
        <x:f>C5+C6</x:f>
        <x:v>308000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0.55990653249189837</x:v>
      </x:c>
      <x:c r="J24" s="61" t="s">
        <x:v>110</x:v>
      </x:c>
      <x:c r="K24" s="63">
        <x:f>K23/A25</x:f>
        <x:v>0.0070498607083972929</x:v>
      </x:c>
    </x:row>
    <x:row r="25" spans="1:11" ht="34.149999999999999" customHeight="1">
      <x:c r="A25" s="203">
        <x:f>C2</x:f>
        <x:v>2931500</x:v>
      </x:c>
      <x:c r="B25" s="169"/>
      <x:c r="C25" s="169">
        <x:f>E25/I1</x:f>
        <x:v>4357428.5714285718</x:v>
      </x:c>
      <x:c r="D25" s="169"/>
      <x:c r="E25" s="169">
        <x:f>SUM('1:14'!$A$25)</x:f>
        <x:v>61004000</x:v>
      </x:c>
      <x:c r="F25" s="169"/>
      <x:c r="G25" s="169"/>
      <x:c r="H25" s="108" t="s">
        <x:v>129</x:v>
      </x:c>
      <x:c r="I25" s="109">
        <x:f>SUM('1:14'!$I$21)</x:f>
        <x:v>0</x:v>
      </x:c>
      <x:c r="J25" s="61" t="s">
        <x:v>129</x:v>
      </x:c>
      <x:c r="K25" s="62">
        <x:f>SUM('1:14'!$K$21)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650133.33333333337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0.2217749729944852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SUM('1:14'!$I$25)</x:f>
        <x:v>82469896</x:v>
      </x:c>
      <x:c r="M29" s="66" t="s">
        <x:v>151</x:v>
      </x:c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126.85074241181296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7" customHeight="1">
      <x:c r="A32" s="316"/>
      <x:c r="B32" s="148" t="s">
        <x:v>90</x:v>
      </x:c>
      <x:c r="C32" s="199"/>
      <x:c r="D32" s="200"/>
      <x:c r="E32" s="55" t="s">
        <x:v>71</x:v>
      </x:c>
      <x:c r="F32" s="201">
        <x:v>132000</x:v>
      </x:c>
      <x:c r="G32" s="202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abSelected="1" topLeftCell="A1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15</x:v>
      </x:c>
      <x:c r="G1" s="68" t="s">
        <x:v>150</x:v>
      </x:c>
      <x:c r="H1" s="52" t="s">
        <x:v>55</x:v>
      </x:c>
      <x:c r="I1" s="52">
        <x:f>F1-K1</x:f>
        <x:v>15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4874000</x:v>
      </x:c>
      <x:c r="D2" s="168"/>
      <x:c r="E2" s="171" t="s">
        <x:v>137</x:v>
      </x:c>
      <x:c r="F2" s="172"/>
      <x:c r="G2" s="160">
        <x:v>114850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3721000</x:v>
      </x:c>
      <x:c r="D4" s="155"/>
      <x:c r="E4" s="170" t="s">
        <x:v>2</x:v>
      </x:c>
      <x:c r="F4" s="170"/>
      <x:c r="G4" s="134">
        <x:f>INT(C4*0.0275)</x:f>
        <x:v>102327</x:v>
      </x:c>
      <x:c r="H4" s="54" t="s">
        <x:v>77</x:v>
      </x:c>
      <x:c r="I4" s="125">
        <x:f>452000+216000+10</x:f>
        <x:v>668010</x:v>
      </x:c>
      <x:c r="J4" s="82" t="s">
        <x:v>133</x:v>
      </x:c>
      <x:c r="K4" s="58">
        <x:v>196000</x:v>
      </x:c>
    </x:row>
    <x:row r="5" spans="1:13" ht="30.949999999999999" customHeight="1">
      <x:c r="A5" s="162" t="s">
        <x:v>152</x:v>
      </x:c>
      <x:c r="B5" s="163"/>
      <x:c r="C5" s="155">
        <x:v>1153000</x:v>
      </x:c>
      <x:c r="D5" s="155"/>
      <x:c r="E5" s="154" t="s">
        <x:v>94</x:v>
      </x:c>
      <x:c r="F5" s="154"/>
      <x:c r="G5" s="134">
        <x:f>INT(C5*0.01)</x:f>
        <x:v>11530</x:v>
      </x:c>
      <x:c r="H5" s="54" t="s">
        <x:v>111</x:v>
      </x:c>
      <x:c r="I5" s="125">
        <x:f>29656+25600+15690</x:f>
        <x:v>70946</x:v>
      </x:c>
      <x:c r="J5" s="82"/>
      <x:c r="K5" s="58"/>
      <x:c r="M5" s="137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1150000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f>165600-24800</x:f>
        <x:v>140800</x:v>
      </x:c>
      <x:c r="J7" s="82" t="s">
        <x:v>54</x:v>
      </x:c>
      <x:c r="K7" s="58">
        <x:v>12500</x:v>
      </x:c>
    </x:row>
    <x:row r="8" spans="1:11" ht="21.949999999999999" customHeight="1">
      <x:c r="A8" s="153" t="s">
        <x:v>64</x:v>
      </x:c>
      <x:c r="B8" s="154"/>
      <x:c r="C8" s="155">
        <x:v>117850</x:v>
      </x:c>
      <x:c r="D8" s="155"/>
      <x:c r="E8" s="194" t="s">
        <x:v>41</x:v>
      </x:c>
      <x:c r="F8" s="195"/>
      <x:c r="G8" s="185">
        <x:f>C5+G2-G6-C22</x:f>
        <x:v>117850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>
        <x:v>100000</x:v>
      </x:c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 t="s">
        <x:v>162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25</x:v>
      </x:c>
      <x:c r="D12" s="194" t="s">
        <x:v>60</x:v>
      </x:c>
      <x:c r="E12" s="195"/>
      <x:c r="F12" s="183">
        <x:v>9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SUM('1:15'!$C$12)</x:f>
        <x:v>203</x:v>
      </x:c>
      <x:c r="D13" s="173"/>
      <x:c r="E13" s="174"/>
      <x:c r="F13" s="181">
        <x:f>SUM('1:15'!$F$12)</x:f>
        <x:v>155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45</x:v>
      </x:c>
      <x:c r="D14" s="194" t="s">
        <x:v>29</x:v>
      </x:c>
      <x:c r="E14" s="195"/>
      <x:c r="F14" s="183">
        <x:v>14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SUM('1:15'!$C$14)</x:f>
        <x:v>543</x:v>
      </x:c>
      <x:c r="D15" s="173"/>
      <x:c r="E15" s="174"/>
      <x:c r="F15" s="181">
        <x:f>SUM('1:15'!$F$14)</x:f>
        <x:v>270</x:v>
      </x:c>
      <x:c r="G15" s="182"/>
      <x:c r="H15" s="54" t="s">
        <x:v>44</x:v>
      </x:c>
      <x:c r="I15" s="58">
        <x:f>26000+65000+52000+11800+6600+19200+4000</x:f>
        <x:v>184600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8</x:v>
      </x:c>
      <x:c r="D16" s="194" t="s">
        <x:v>34</x:v>
      </x:c>
      <x:c r="E16" s="195"/>
      <x:c r="F16" s="179">
        <x:v>22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SUM('1:15'!$C$16)</x:f>
        <x:v>77</x:v>
      </x:c>
      <x:c r="D17" s="173"/>
      <x:c r="E17" s="174"/>
      <x:c r="F17" s="180">
        <x:f>SUM('1:15'!$F$16)</x:f>
        <x:v>321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43</x:v>
      </x:c>
      <x:c r="D18" s="194" t="s">
        <x:v>67</x:v>
      </x:c>
      <x:c r="E18" s="195"/>
      <x:c r="F18" s="187">
        <x:v>14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SUM('1:15'!$C$18)</x:f>
        <x:v>548</x:v>
      </x:c>
      <x:c r="D19" s="173"/>
      <x:c r="E19" s="174"/>
      <x:c r="F19" s="180">
        <x:f>SUM('1:15'!$F$18)</x:f>
        <x:v>224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69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SUM('1:15'!$F$20)</x:f>
        <x:v>967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1120356</x:v>
      </x:c>
      <x:c r="J23" s="61" t="s">
        <x:v>45</x:v>
      </x:c>
      <x:c r="K23" s="62">
        <x:f>SUM(K4:K22)</x:f>
        <x:v>223166.66666666666</x:v>
      </x:c>
      <x:c r="M23" s="89" t="s">
        <x:v>21</x:v>
      </x:c>
      <x:c r="N23" s="176">
        <x:f>C5+C6</x:f>
        <x:v>1153000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0.22986376692654903</x:v>
      </x:c>
      <x:c r="J24" s="61" t="s">
        <x:v>110</x:v>
      </x:c>
      <x:c r="K24" s="63">
        <x:f>K23/A25</x:f>
        <x:v>0.045787170017781424</x:v>
      </x:c>
    </x:row>
    <x:row r="25" spans="1:11" ht="34.149999999999999" customHeight="1">
      <x:c r="A25" s="203">
        <x:f>C2</x:f>
        <x:v>4874000</x:v>
      </x:c>
      <x:c r="B25" s="169"/>
      <x:c r="C25" s="169">
        <x:f>E25/I1</x:f>
        <x:v>4391866.666666667</x:v>
      </x:c>
      <x:c r="D25" s="169"/>
      <x:c r="E25" s="169">
        <x:f>SUM('1:15'!$A$25)</x:f>
        <x:v>65878000</x:v>
      </x:c>
      <x:c r="F25" s="169"/>
      <x:c r="G25" s="169"/>
      <x:c r="H25" s="108" t="s">
        <x:v>129</x:v>
      </x:c>
      <x:c r="I25" s="109">
        <x:f>SUM('1:15'!$I$21)</x:f>
        <x:v>0</x:v>
      </x:c>
      <x:c r="J25" s="61" t="s">
        <x:v>129</x:v>
      </x:c>
      <x:c r="K25" s="62">
        <x:f>SUM('1:15'!$K$21)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661833.33333333337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0.13578853781972372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SUM('1:15'!$I$25)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124.60825384034247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7" customHeight="1">
      <x:c r="A32" s="316"/>
      <x:c r="B32" s="148" t="s">
        <x:v>90</x:v>
      </x:c>
      <x:c r="C32" s="199"/>
      <x:c r="D32" s="200"/>
      <x:c r="E32" s="55" t="s">
        <x:v>71</x:v>
      </x:c>
      <x:c r="F32" s="201">
        <x:v>132000</x:v>
      </x:c>
      <x:c r="G32" s="202"/>
    </x:row>
    <x:row r="33" spans="1:4" customHeight="1">
      <x:c r="A33" s="316"/>
      <x:c r="B33" s="148" t="s">
        <x:v>78</x:v>
      </x:c>
      <x:c r="C33" s="199">
        <x:f>11700*5</x:f>
        <x:v>58500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abSelected="1" topLeftCell="A25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16</x:v>
      </x:c>
      <x:c r="G1" s="68" t="s">
        <x:v>156</x:v>
      </x:c>
      <x:c r="H1" s="52" t="s">
        <x:v>55</x:v>
      </x:c>
      <x:c r="I1" s="52">
        <x:f>F1-K1</x:f>
        <x:v>16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4174000</x:v>
      </x:c>
      <x:c r="D2" s="168"/>
      <x:c r="E2" s="171" t="s">
        <x:v>137</x:v>
      </x:c>
      <x:c r="F2" s="172"/>
      <x:c r="G2" s="160">
        <x:v>117850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2" ht="30.949999999999999" customHeight="1">
      <x:c r="A4" s="162" t="s">
        <x:v>87</x:v>
      </x:c>
      <x:c r="B4" s="163"/>
      <x:c r="C4" s="155">
        <x:v>3576000</x:v>
      </x:c>
      <x:c r="D4" s="155"/>
      <x:c r="E4" s="170" t="s">
        <x:v>2</x:v>
      </x:c>
      <x:c r="F4" s="170"/>
      <x:c r="G4" s="134">
        <x:f>INT(C4*0.0275)</x:f>
        <x:v>98340</x:v>
      </x:c>
      <x:c r="H4" s="54" t="s">
        <x:v>77</x:v>
      </x:c>
      <x:c r="I4" s="125">
        <x:f>56220+452000+221400+179645</x:f>
        <x:v>909265</x:v>
      </x:c>
      <x:c r="J4" s="82" t="s">
        <x:v>133</x:v>
      </x:c>
      <x:c r="K4" s="58"/>
      <x:c r="L4" s="98"/>
    </x:row>
    <x:row r="5" spans="1:11" ht="30.949999999999999" customHeight="1">
      <x:c r="A5" s="162" t="s">
        <x:v>152</x:v>
      </x:c>
      <x:c r="B5" s="163"/>
      <x:c r="C5" s="155">
        <x:v>598000</x:v>
      </x:c>
      <x:c r="D5" s="155"/>
      <x:c r="E5" s="154" t="s">
        <x:v>94</x:v>
      </x:c>
      <x:c r="F5" s="154"/>
      <x:c r="G5" s="134">
        <x:f>INT(C5*0.01)</x:f>
        <x:v>5980</x:v>
      </x:c>
      <x:c r="H5" s="54" t="s">
        <x:v>111</x:v>
      </x:c>
      <x:c r="I5" s="125">
        <x:f>60500+29656</x:f>
        <x:v>90156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600000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v>160700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115850</x:v>
      </x:c>
      <x:c r="D8" s="155"/>
      <x:c r="E8" s="194" t="s">
        <x:v>41</x:v>
      </x:c>
      <x:c r="F8" s="195"/>
      <x:c r="G8" s="185">
        <x:f>C5+G2-G6-C22</x:f>
        <x:v>115850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>
        <x:v>100000</x:v>
      </x:c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 t="s">
        <x:v>72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13</x:v>
      </x:c>
      <x:c r="D12" s="194" t="s">
        <x:v>60</x:v>
      </x:c>
      <x:c r="E12" s="195"/>
      <x:c r="F12" s="183">
        <x:v>8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SUM('1:16'!$C$12)</x:f>
        <x:v>216</x:v>
      </x:c>
      <x:c r="D13" s="173"/>
      <x:c r="E13" s="174"/>
      <x:c r="F13" s="181">
        <x:f>SUM('1:16'!$F$12)</x:f>
        <x:v>163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46</x:v>
      </x:c>
      <x:c r="D14" s="194" t="s">
        <x:v>29</x:v>
      </x:c>
      <x:c r="E14" s="195"/>
      <x:c r="F14" s="183">
        <x:v>14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SUM('1:16'!$C$14)</x:f>
        <x:v>589</x:v>
      </x:c>
      <x:c r="D15" s="173"/>
      <x:c r="E15" s="174"/>
      <x:c r="F15" s="181">
        <x:f>SUM('1:16'!$F$14)</x:f>
        <x:v>284</x:v>
      </x:c>
      <x:c r="G15" s="182"/>
      <x:c r="H15" s="54" t="s">
        <x:v>44</x:v>
      </x:c>
      <x:c r="I15" s="58">
        <x:f>11800+234000+17000+13500+5500+4000+1200+19200+26000+4000+3200</x:f>
        <x:v>339400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6</x:v>
      </x:c>
      <x:c r="D16" s="194" t="s">
        <x:v>34</x:v>
      </x:c>
      <x:c r="E16" s="195"/>
      <x:c r="F16" s="179">
        <x:v>20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SUM('1:16'!$C$16)</x:f>
        <x:v>83</x:v>
      </x:c>
      <x:c r="D17" s="173"/>
      <x:c r="E17" s="174"/>
      <x:c r="F17" s="180">
        <x:f>SUM('1:16'!$F$16)</x:f>
        <x:v>341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30</x:v>
      </x:c>
      <x:c r="D18" s="194" t="s">
        <x:v>67</x:v>
      </x:c>
      <x:c r="E18" s="195"/>
      <x:c r="F18" s="187">
        <x:v>8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SUM('1:16'!$C$18)</x:f>
        <x:v>578</x:v>
      </x:c>
      <x:c r="D19" s="173"/>
      <x:c r="E19" s="174"/>
      <x:c r="F19" s="180">
        <x:f>SUM('1:16'!$F$18)</x:f>
        <x:v>232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62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SUM('1:16'!$F$20)</x:f>
        <x:v>1029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1499521</x:v>
      </x:c>
      <x:c r="J23" s="61" t="s">
        <x:v>45</x:v>
      </x:c>
      <x:c r="K23" s="62">
        <x:f>SUM(K4:K22)</x:f>
        <x:v>14666.666666666666</x:v>
      </x:c>
      <x:c r="M23" s="89" t="s">
        <x:v>21</x:v>
      </x:c>
      <x:c r="N23" s="176">
        <x:f>C5+C6</x:f>
        <x:v>598000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0.35925275515093436</x:v>
      </x:c>
      <x:c r="J24" s="61" t="s">
        <x:v>110</x:v>
      </x:c>
      <x:c r="K24" s="63">
        <x:f>K23/A25</x:f>
        <x:v>0.0035138156843954639</x:v>
      </x:c>
    </x:row>
    <x:row r="25" spans="1:11" ht="34.149999999999999" customHeight="1">
      <x:c r="A25" s="203">
        <x:f>C2</x:f>
        <x:v>4174000</x:v>
      </x:c>
      <x:c r="B25" s="169"/>
      <x:c r="C25" s="169">
        <x:f>E25/I1</x:f>
        <x:v>4378250</x:v>
      </x:c>
      <x:c r="D25" s="169"/>
      <x:c r="E25" s="169">
        <x:f>SUM('1:16'!$A$25)</x:f>
        <x:v>70052000</x:v>
      </x:c>
      <x:c r="F25" s="169"/>
      <x:c r="G25" s="169"/>
      <x:c r="H25" s="108" t="s">
        <x:v>129</x:v>
      </x:c>
      <x:c r="I25" s="109">
        <x:f>SUM('1:16'!$I$21)</x:f>
        <x:v>0</x:v>
      </x:c>
      <x:c r="J25" s="61" t="s">
        <x:v>129</x:v>
      </x:c>
      <x:c r="K25" s="62">
        <x:f>SUM('1:16'!$K$21)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650133.33333333337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0.15575786615556622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SUM('1:16'!$I$25)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126.85074241181296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7" customHeight="1">
      <x:c r="A32" s="316"/>
      <x:c r="B32" s="148" t="s">
        <x:v>90</x:v>
      </x:c>
      <x:c r="C32" s="199"/>
      <x:c r="D32" s="200"/>
      <x:c r="E32" s="53" t="s">
        <x:v>159</x:v>
      </x:c>
      <x:c r="G32" s="145">
        <x:v>132000</x:v>
      </x:c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abSelected="1" view="pageBreakPreview" topLeftCell="B23" zoomScale="85" zoomScaleNormal="85" zoomScaleSheetLayoutView="8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17</x:v>
      </x:c>
      <x:c r="G1" s="68" t="s">
        <x:v>147</x:v>
      </x:c>
      <x:c r="H1" s="52" t="s">
        <x:v>55</x:v>
      </x:c>
      <x:c r="I1" s="52">
        <x:f>F1-K1</x:f>
        <x:v>17</x:v>
      </x:c>
      <x:c r="J1" s="52" t="s">
        <x:v>18</x:v>
      </x:c>
      <x:c r="K1" s="52"/>
    </x:row>
    <x:row r="2" spans="1:11" ht="20.100000000000001" customHeight="1">
      <x:c r="A2" s="327" t="s">
        <x:v>112</x:v>
      </x:c>
      <x:c r="B2" s="328"/>
      <x:c r="C2" s="331">
        <x:f>SUM(C4:D7)</x:f>
        <x:v>4611500</x:v>
      </x:c>
      <x:c r="D2" s="332"/>
      <x:c r="E2" s="171" t="s">
        <x:v>137</x:v>
      </x:c>
      <x:c r="F2" s="172"/>
      <x:c r="G2" s="160">
        <x:v>115850</x:v>
      </x:c>
      <x:c r="H2" s="335" t="s">
        <x:v>111</x:v>
      </x:c>
      <x:c r="I2" s="336"/>
      <x:c r="J2" s="156" t="s">
        <x:v>101</x:v>
      </x:c>
      <x:c r="K2" s="324"/>
    </x:row>
    <x:row r="3" spans="1:11" ht="20.100000000000001" customHeight="1">
      <x:c r="A3" s="329"/>
      <x:c r="B3" s="330"/>
      <x:c r="C3" s="333"/>
      <x:c r="D3" s="334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338" t="s">
        <x:v>87</x:v>
      </x:c>
      <x:c r="B4" s="339"/>
      <x:c r="C4" s="201">
        <x:v>4039500</x:v>
      </x:c>
      <x:c r="D4" s="202"/>
      <x:c r="E4" s="340" t="s">
        <x:v>2</x:v>
      </x:c>
      <x:c r="F4" s="341"/>
      <x:c r="G4" s="134">
        <x:f>INT(C4*0.0275)</x:f>
        <x:v>111086</x:v>
      </x:c>
      <x:c r="H4" s="54" t="s">
        <x:v>77</x:v>
      </x:c>
      <x:c r="I4" s="125">
        <x:f>477600+452000+178200+185318+296322</x:f>
        <x:v>1589440</x:v>
      </x:c>
      <x:c r="J4" s="82" t="s">
        <x:v>133</x:v>
      </x:c>
      <x:c r="K4" s="58"/>
    </x:row>
    <x:row r="5" spans="1:11" ht="30.949999999999999" customHeight="1">
      <x:c r="A5" s="338" t="s">
        <x:v>152</x:v>
      </x:c>
      <x:c r="B5" s="339"/>
      <x:c r="C5" s="201">
        <x:v>572000</x:v>
      </x:c>
      <x:c r="D5" s="202"/>
      <x:c r="E5" s="183" t="s">
        <x:v>94</x:v>
      </x:c>
      <x:c r="F5" s="184"/>
      <x:c r="G5" s="134">
        <x:f>INT(C5*0.01)</x:f>
        <x:v>5720</x:v>
      </x:c>
      <x:c r="H5" s="54" t="s">
        <x:v>111</x:v>
      </x:c>
      <x:c r="I5" s="125">
        <x:f>20130+59312+36080+12980</x:f>
        <x:v>128502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530000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345" t="s">
        <x:v>64</x:v>
      </x:c>
      <x:c r="B8" s="195"/>
      <x:c r="C8" s="190">
        <x:v>157850</x:v>
      </x:c>
      <x:c r="D8" s="191"/>
      <x:c r="E8" s="194" t="s">
        <x:v>41</x:v>
      </x:c>
      <x:c r="F8" s="195"/>
      <x:c r="G8" s="185">
        <x:f>C5+G2-G6-C22</x:f>
        <x:v>157850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346"/>
      <x:c r="B9" s="174"/>
      <x:c r="C9" s="192"/>
      <x:c r="D9" s="193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337" t="s">
        <x:v>4</x:v>
      </x:c>
      <x:c r="B10" s="184"/>
      <x:c r="C10" s="201"/>
      <x:c r="D10" s="202"/>
      <x:c r="E10" s="183" t="s">
        <x:v>9</x:v>
      </x:c>
      <x:c r="F10" s="184"/>
      <x:c r="G10" s="55"/>
      <x:c r="H10" s="54"/>
      <x:c r="I10" s="125"/>
      <x:c r="J10" s="54" t="s">
        <x:v>143</x:v>
      </x:c>
      <x:c r="K10" s="58"/>
    </x:row>
    <x:row r="11" spans="1:11" ht="33" customHeight="1">
      <x:c r="A11" s="337" t="s">
        <x:v>35</x:v>
      </x:c>
      <x:c r="B11" s="184"/>
      <x:c r="C11" s="342"/>
      <x:c r="D11" s="343"/>
      <x:c r="E11" s="343"/>
      <x:c r="F11" s="343"/>
      <x:c r="G11" s="344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22</x:v>
      </x:c>
      <x:c r="D12" s="194" t="s">
        <x:v>60</x:v>
      </x:c>
      <x:c r="E12" s="195"/>
      <x:c r="F12" s="183">
        <x:v>4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SUM('1:17'!$C$12)</x:f>
        <x:v>238</x:v>
      </x:c>
      <x:c r="D13" s="173"/>
      <x:c r="E13" s="174"/>
      <x:c r="F13" s="181">
        <x:f>SUM('1:17'!$F$12)</x:f>
        <x:v>167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49</x:v>
      </x:c>
      <x:c r="D14" s="194" t="s">
        <x:v>29</x:v>
      </x:c>
      <x:c r="E14" s="195"/>
      <x:c r="F14" s="183">
        <x:v>21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SUM('1:17'!$C$14)</x:f>
        <x:v>638</x:v>
      </x:c>
      <x:c r="D15" s="173"/>
      <x:c r="E15" s="174"/>
      <x:c r="F15" s="181">
        <x:f>SUM('1:17'!$F$14)</x:f>
        <x:v>305</x:v>
      </x:c>
      <x:c r="G15" s="182"/>
      <x:c r="H15" s="54" t="s">
        <x:v>44</x:v>
      </x:c>
      <x:c r="I15" s="58">
        <x:f>6200+11000+9800+3500+11800+6000+13000+4950+32500</x:f>
        <x:v>98750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3</x:v>
      </x:c>
      <x:c r="D16" s="194" t="s">
        <x:v>34</x:v>
      </x:c>
      <x:c r="E16" s="195"/>
      <x:c r="F16" s="325">
        <x:v>21</x:v>
      </x:c>
      <x:c r="G16" s="326"/>
      <x:c r="H16" s="54"/>
      <x:c r="I16" s="58"/>
      <x:c r="J16" s="54" t="s">
        <x:v>19</x:v>
      </x:c>
      <x:c r="K16" s="58">
        <x:v>106050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SUM('1:17'!$C$16)</x:f>
        <x:v>86</x:v>
      </x:c>
      <x:c r="D17" s="173"/>
      <x:c r="E17" s="174"/>
      <x:c r="F17" s="181">
        <x:f>SUM('1:17'!$F$16)</x:f>
        <x:v>362</x:v>
      </x:c>
      <x:c r="G17" s="182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38</x:v>
      </x:c>
      <x:c r="D18" s="194" t="s">
        <x:v>67</x:v>
      </x:c>
      <x:c r="E18" s="195"/>
      <x:c r="F18" s="325">
        <x:v>5</x:v>
      </x:c>
      <x:c r="G18" s="32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SUM('1:17'!$C$18)</x:f>
        <x:v>616</x:v>
      </x:c>
      <x:c r="D19" s="173"/>
      <x:c r="E19" s="174"/>
      <x:c r="F19" s="181">
        <x:f>SUM('1:17'!$F$18)</x:f>
        <x:v>237</x:v>
      </x:c>
      <x:c r="G19" s="182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83" t="s">
        <x:v>49</x:v>
      </x:c>
      <x:c r="E20" s="184"/>
      <x:c r="F20" s="325">
        <x:v>54</x:v>
      </x:c>
      <x:c r="G20" s="326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83" t="s">
        <x:v>58</x:v>
      </x:c>
      <x:c r="E21" s="184"/>
      <x:c r="F21" s="181">
        <x:f>SUM('1:17'!$F$20)</x:f>
        <x:v>1083</x:v>
      </x:c>
      <x:c r="G21" s="182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37" t="s">
        <x:v>11</x:v>
      </x:c>
      <x:c r="B22" s="184"/>
      <x:c r="C22" s="347"/>
      <x:c r="D22" s="348"/>
      <x:c r="E22" s="348"/>
      <x:c r="F22" s="348"/>
      <x:c r="G22" s="349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37" t="s">
        <x:v>57</x:v>
      </x:c>
      <x:c r="B23" s="184"/>
      <x:c r="C23" s="321"/>
      <x:c r="D23" s="322"/>
      <x:c r="E23" s="322"/>
      <x:c r="F23" s="322"/>
      <x:c r="G23" s="323"/>
      <x:c r="H23" s="108" t="s">
        <x:v>26</x:v>
      </x:c>
      <x:c r="I23" s="109">
        <x:f>SUM(I4:I22)</x:f>
        <x:v>1872692</x:v>
      </x:c>
      <x:c r="J23" s="61" t="s">
        <x:v>45</x:v>
      </x:c>
      <x:c r="K23" s="62">
        <x:f>SUM(K4:K22)</x:f>
        <x:v>120716.66666666667</x:v>
      </x:c>
      <x:c r="M23" s="89" t="s">
        <x:v>21</x:v>
      </x:c>
      <x:c r="N23" s="176">
        <x:f>C5+C6</x:f>
        <x:v>572000</x:v>
      </x:c>
      <x:c r="O23" s="177"/>
    </x:row>
    <x:row r="24" spans="1:11" ht="34.149999999999999" customHeight="1">
      <x:c r="A24" s="337" t="s">
        <x:v>110</x:v>
      </x:c>
      <x:c r="B24" s="184"/>
      <x:c r="C24" s="183" t="s">
        <x:v>7</x:v>
      </x:c>
      <x:c r="D24" s="184"/>
      <x:c r="E24" s="183" t="s">
        <x:v>23</x:v>
      </x:c>
      <x:c r="F24" s="320"/>
      <x:c r="G24" s="184"/>
      <x:c r="H24" s="108" t="s">
        <x:v>110</x:v>
      </x:c>
      <x:c r="I24" s="110">
        <x:f>I23/A25</x:f>
        <x:v>0.40609172720372982</x:v>
      </x:c>
      <x:c r="J24" s="61" t="s">
        <x:v>110</x:v>
      </x:c>
      <x:c r="K24" s="63">
        <x:f>K23/A25</x:f>
        <x:v>0.026177310347320105</x:v>
      </x:c>
    </x:row>
    <x:row r="25" spans="1:11" ht="34.149999999999999" customHeight="1">
      <x:c r="A25" s="351">
        <x:f>C2</x:f>
        <x:v>4611500</x:v>
      </x:c>
      <x:c r="B25" s="205"/>
      <x:c r="C25" s="204">
        <x:f>E25/I1</x:f>
        <x:v>4391970.5882352944</x:v>
      </x:c>
      <x:c r="D25" s="205"/>
      <x:c r="E25" s="204">
        <x:f>SUM('1:17'!$A$25)</x:f>
        <x:v>74663500</x:v>
      </x:c>
      <x:c r="F25" s="319"/>
      <x:c r="G25" s="205"/>
      <x:c r="H25" s="108" t="s">
        <x:v>129</x:v>
      </x:c>
      <x:c r="I25" s="109">
        <x:f>SUM('1:17'!$I$21)</x:f>
        <x:v>0</x:v>
      </x:c>
      <x:c r="J25" s="61" t="s">
        <x:v>129</x:v>
      </x:c>
      <x:c r="K25" s="62">
        <x:f>SUM('1:17'!$K$21)</x:f>
        <x:v>0</x:v>
      </x:c>
    </x:row>
    <x:row r="26" spans="1:11" ht="34.149999999999999" customHeight="1">
      <x:c r="A26" s="337" t="s">
        <x:v>31</x:v>
      </x:c>
      <x:c r="B26" s="184"/>
      <x:c r="C26" s="183"/>
      <x:c r="D26" s="184"/>
      <x:c r="E26" s="201"/>
      <x:c r="F26" s="350"/>
      <x:c r="G26" s="202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196" t="s">
        <x:v>66</x:v>
      </x:c>
      <x:c r="B27" s="54" t="s">
        <x:v>138</x:v>
      </x:c>
      <x:c r="C27" s="204">
        <x:f>4000000/30</x:f>
        <x:v>133333.33333333334</x:v>
      </x:c>
      <x:c r="D27" s="205"/>
      <x:c r="E27" s="55"/>
      <x:c r="F27" s="201"/>
      <x:c r="G27" s="202"/>
      <x:c r="H27" s="112" t="s">
        <x:v>40</x:v>
      </x:c>
      <x:c r="I27" s="113">
        <x:f>SUM(C27:D34,F27:G31)</x:f>
        <x:v>650133.33333333337</x:v>
      </x:c>
      <x:c r="M27" s="66"/>
    </x:row>
    <x:row r="28" spans="1:13" ht="30.949999999999999" customHeight="1">
      <x:c r="A28" s="197"/>
      <x:c r="B28" s="54" t="s">
        <x:v>84</x:v>
      </x:c>
      <x:c r="C28" s="204">
        <x:f>3800000/30</x:f>
        <x:v>126666.66666666667</x:v>
      </x:c>
      <x:c r="D28" s="205"/>
      <x:c r="E28" s="55"/>
      <x:c r="F28" s="199"/>
      <x:c r="G28" s="200"/>
      <x:c r="H28" s="112" t="s">
        <x:v>110</x:v>
      </x:c>
      <x:c r="I28" s="114">
        <x:f>I27/$A$25</x:f>
        <x:v>0.14098088113050708</x:v>
      </x:c>
      <x:c r="M28" s="66"/>
    </x:row>
    <x:row r="29" spans="1:13" ht="30.949999999999999" customHeight="1">
      <x:c r="A29" s="197"/>
      <x:c r="B29" s="54" t="s">
        <x:v>140</x:v>
      </x:c>
      <x:c r="C29" s="204">
        <x:f>3200000/30</x:f>
        <x:v>106666.66666666667</x:v>
      </x:c>
      <x:c r="D29" s="205"/>
      <x:c r="E29" s="55"/>
      <x:c r="F29" s="201"/>
      <x:c r="G29" s="202"/>
      <x:c r="H29" s="112" t="s">
        <x:v>129</x:v>
      </x:c>
      <x:c r="I29" s="113">
        <x:f>SUM('1:17'!$I$25)</x:f>
        <x:v>82469896</x:v>
      </x:c>
      <x:c r="M29" s="66"/>
    </x:row>
    <x:row r="30" spans="1:13" ht="30.949999999999999" customHeight="1">
      <x:c r="A30" s="197"/>
      <x:c r="B30" s="54"/>
      <x:c r="C30" s="204"/>
      <x:c r="D30" s="205"/>
      <x:c r="E30" s="55"/>
      <x:c r="F30" s="201"/>
      <x:c r="G30" s="202"/>
      <x:c r="H30" s="112" t="s">
        <x:v>50</x:v>
      </x:c>
      <x:c r="I30" s="114">
        <x:f>I29/$I$27</x:f>
        <x:v>126.85074241181296</x:v>
      </x:c>
      <x:c r="M30" s="66"/>
    </x:row>
    <x:row r="31" spans="1:7" customHeight="1">
      <x:c r="A31" s="197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7" customHeight="1">
      <x:c r="A32" s="197"/>
      <x:c r="B32" s="148" t="s">
        <x:v>90</x:v>
      </x:c>
      <x:c r="C32" s="199"/>
      <x:c r="D32" s="200"/>
      <x:c r="E32" s="55" t="s">
        <x:v>71</x:v>
      </x:c>
      <x:c r="F32" s="201">
        <x:v>132000</x:v>
      </x:c>
      <x:c r="G32" s="202"/>
    </x:row>
    <x:row r="33" spans="1:4" customHeight="1">
      <x:c r="A33" s="197"/>
      <x:c r="B33" s="148" t="s">
        <x:v>78</x:v>
      </x:c>
      <x:c r="C33" s="199">
        <x:f>11700*4</x:f>
        <x:v>46800</x:v>
      </x:c>
      <x:c r="D33" s="200"/>
    </x:row>
    <x:row r="34" spans="1:4" customHeight="1">
      <x:c r="A34" s="198"/>
      <x:c r="B34" s="54"/>
      <x:c r="C34" s="201"/>
      <x:c r="D34" s="20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4"/>
  <x:sheetViews>
    <x:sheetView tabSelected="1" topLeftCell="A23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18</x:v>
      </x:c>
      <x:c r="G1" s="68" t="s">
        <x:v>75</x:v>
      </x:c>
      <x:c r="H1" s="52" t="s">
        <x:v>55</x:v>
      </x:c>
      <x:c r="I1" s="52">
        <x:f>F1-K1</x:f>
        <x:v>18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5454000</x:v>
      </x:c>
      <x:c r="D2" s="168"/>
      <x:c r="E2" s="171" t="s">
        <x:v>137</x:v>
      </x:c>
      <x:c r="F2" s="172"/>
      <x:c r="G2" s="160">
        <x:v>157850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4829500</x:v>
      </x:c>
      <x:c r="D4" s="155"/>
      <x:c r="E4" s="170" t="s">
        <x:v>2</x:v>
      </x:c>
      <x:c r="F4" s="170"/>
      <x:c r="G4" s="134">
        <x:f>INT(C4*0.0275)</x:f>
        <x:v>132811</x:v>
      </x:c>
      <x:c r="H4" s="54" t="s">
        <x:v>77</x:v>
      </x:c>
      <x:c r="I4" s="125">
        <x:f>955200+452000+226800+542880</x:f>
        <x:v>2176880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624500</x:v>
      </x:c>
      <x:c r="D5" s="155"/>
      <x:c r="E5" s="154" t="s">
        <x:v>94</x:v>
      </x:c>
      <x:c r="F5" s="154"/>
      <x:c r="G5" s="134">
        <x:f>INT(C5*0.01)</x:f>
        <x:v>6245</x:v>
      </x:c>
      <x:c r="H5" s="54" t="s">
        <x:v>111</x:v>
      </x:c>
      <x:c r="I5" s="125">
        <x:f>41250+38940+36080+25600+20130</x:f>
        <x:v>162000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660000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f>1059850-20200</x:f>
        <x:v>1039650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122350</x:v>
      </x:c>
      <x:c r="D8" s="155"/>
      <x:c r="E8" s="194" t="s">
        <x:v>41</x:v>
      </x:c>
      <x:c r="F8" s="195"/>
      <x:c r="G8" s="185">
        <x:f>C5+G2-G6-C22</x:f>
        <x:v>122350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20</x:v>
      </x:c>
      <x:c r="D12" s="194" t="s">
        <x:v>60</x:v>
      </x:c>
      <x:c r="E12" s="195"/>
      <x:c r="F12" s="183">
        <x:v>7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SUM('1:18'!$C$12)</x:f>
        <x:v>258</x:v>
      </x:c>
      <x:c r="D13" s="173"/>
      <x:c r="E13" s="174"/>
      <x:c r="F13" s="181">
        <x:f>SUM('1:18'!$F$12)</x:f>
        <x:v>174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52</x:v>
      </x:c>
      <x:c r="D14" s="194" t="s">
        <x:v>29</x:v>
      </x:c>
      <x:c r="E14" s="195"/>
      <x:c r="F14" s="183">
        <x:v>21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SUM('1:18'!$C$14)</x:f>
        <x:v>690</x:v>
      </x:c>
      <x:c r="D15" s="173"/>
      <x:c r="E15" s="174"/>
      <x:c r="F15" s="181">
        <x:f>SUM('1:18'!$F$14)</x:f>
        <x:v>326</x:v>
      </x:c>
      <x:c r="G15" s="182"/>
      <x:c r="H15" s="54" t="s">
        <x:v>44</x:v>
      </x:c>
      <x:c r="I15" s="58">
        <x:f>4950+39000+11800+3200+2550+13500+17000</x:f>
        <x:v>92000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9</x:v>
      </x:c>
      <x:c r="D16" s="194" t="s">
        <x:v>34</x:v>
      </x:c>
      <x:c r="E16" s="195"/>
      <x:c r="F16" s="179">
        <x:v>24</x:v>
      </x:c>
      <x:c r="G16" s="179"/>
      <x:c r="H16" s="54"/>
      <x:c r="I16" s="58"/>
      <x:c r="J16" s="54" t="s">
        <x:v>19</x:v>
      </x:c>
      <x:c r="K16" s="58">
        <x:v>319920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SUM('1:18'!$C$16)</x:f>
        <x:v>95</x:v>
      </x:c>
      <x:c r="D17" s="173"/>
      <x:c r="E17" s="174"/>
      <x:c r="F17" s="180">
        <x:f>SUM('1:18'!$F$16)</x:f>
        <x:v>386</x:v>
      </x:c>
      <x:c r="G17" s="180"/>
      <x:c r="H17" s="54" t="s">
        <x:v>109</x:v>
      </x:c>
      <x:c r="I17" s="58">
        <x:v>3200</x:v>
      </x:c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46</x:v>
      </x:c>
      <x:c r="D18" s="194" t="s">
        <x:v>67</x:v>
      </x:c>
      <x:c r="E18" s="195"/>
      <x:c r="F18" s="187">
        <x:v>20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SUM('1:18'!$C$18)</x:f>
        <x:v>662</x:v>
      </x:c>
      <x:c r="D19" s="173"/>
      <x:c r="E19" s="174"/>
      <x:c r="F19" s="180">
        <x:f>SUM('1:18'!$F$18)</x:f>
        <x:v>257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79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SUM('1:18'!$F$20)</x:f>
        <x:v>1162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3529730</x:v>
      </x:c>
      <x:c r="J23" s="61" t="s">
        <x:v>45</x:v>
      </x:c>
      <x:c r="K23" s="62">
        <x:f>SUM(K4:K22)</x:f>
        <x:v>334586.66666666669</x:v>
      </x:c>
      <x:c r="M23" s="89" t="s">
        <x:v>21</x:v>
      </x:c>
      <x:c r="N23" s="176">
        <x:f>C5+C6</x:f>
        <x:v>624500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0.64718188485515216</x:v>
      </x:c>
      <x:c r="J24" s="61" t="s">
        <x:v>110</x:v>
      </x:c>
      <x:c r="K24" s="63">
        <x:f>K23/A25</x:f>
        <x:v>0.061347023591248018</x:v>
      </x:c>
    </x:row>
    <x:row r="25" spans="1:11" ht="34.149999999999999" customHeight="1">
      <x:c r="A25" s="203">
        <x:f>C2</x:f>
        <x:v>5454000</x:v>
      </x:c>
      <x:c r="B25" s="169"/>
      <x:c r="C25" s="169">
        <x:f>E25/I1</x:f>
        <x:v>4450972.222222222</x:v>
      </x:c>
      <x:c r="D25" s="169"/>
      <x:c r="E25" s="169">
        <x:f>SUM('1:18'!$A$25)</x:f>
        <x:v>80117500</x:v>
      </x:c>
      <x:c r="F25" s="169"/>
      <x:c r="G25" s="169"/>
      <x:c r="H25" s="108" t="s">
        <x:v>129</x:v>
      </x:c>
      <x:c r="I25" s="109">
        <x:f>SUM('1:18'!$I$21)</x:f>
        <x:v>0</x:v>
      </x:c>
      <x:c r="J25" s="61" t="s">
        <x:v>129</x:v>
      </x:c>
      <x:c r="K25" s="62">
        <x:f>SUM('1:18'!$K$21)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650133.33333333337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0.11920303141425255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SUM('1:18'!$I$25)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126.85074241181296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7" customHeight="1">
      <x:c r="A32" s="316"/>
      <x:c r="B32" s="148" t="s">
        <x:v>90</x:v>
      </x:c>
      <x:c r="C32" s="199"/>
      <x:c r="D32" s="200"/>
      <x:c r="E32" s="55" t="s">
        <x:v>71</x:v>
      </x:c>
      <x:c r="F32" s="201">
        <x:v>132000</x:v>
      </x:c>
      <x:c r="G32" s="202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4"/>
  <x:sheetViews>
    <x:sheetView tabSelected="1" topLeftCell="A24" zoomScale="85" zoomScaleNormal="85" zoomScaleSheetLayoutView="75" workbookViewId="0">
      <x:selection activeCell="I18" activeCellId="0" sqref="I18:I18"/>
    </x:sheetView>
  </x:sheetViews>
  <x:sheetFormatPr defaultColWidth="8.625" defaultRowHeight="13.5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37</x:v>
      </x:c>
      <x:c r="D1" s="68"/>
      <x:c r="E1" s="68">
        <x:v>4</x:v>
      </x:c>
      <x:c r="F1" s="68">
        <x:v>19</x:v>
      </x:c>
      <x:c r="G1" s="68" t="s">
        <x:v>82</x:v>
      </x:c>
      <x:c r="H1" s="52" t="s">
        <x:v>55</x:v>
      </x:c>
      <x:c r="I1" s="52">
        <x:f>F1-K1</x:f>
        <x:v>19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4828000</x:v>
      </x:c>
      <x:c r="D2" s="168"/>
      <x:c r="E2" s="171" t="s">
        <x:v>137</x:v>
      </x:c>
      <x:c r="F2" s="172"/>
      <x:c r="G2" s="160">
        <x:v>122350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3984000</x:v>
      </x:c>
      <x:c r="D4" s="155"/>
      <x:c r="E4" s="170" t="s">
        <x:v>2</x:v>
      </x:c>
      <x:c r="F4" s="170"/>
      <x:c r="G4" s="134">
        <x:f>INT(C4*0.0275)</x:f>
        <x:v>109560</x:v>
      </x:c>
      <x:c r="H4" s="54" t="s">
        <x:v>77</x:v>
      </x:c>
      <x:c r="I4" s="125">
        <x:f>452000+469800+204228+208973+294060</x:f>
        <x:v>1629061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844000</x:v>
      </x:c>
      <x:c r="D5" s="155"/>
      <x:c r="E5" s="154" t="s">
        <x:v>94</x:v>
      </x:c>
      <x:c r="F5" s="154"/>
      <x:c r="G5" s="134">
        <x:f>INT(C5*0.01)</x:f>
        <x:v>8440</x:v>
      </x:c>
      <x:c r="H5" s="54" t="s">
        <x:v>111</x:v>
      </x:c>
      <x:c r="I5" s="125">
        <x:f>88968+36080+51200+20130+24720</x:f>
        <x:v>221098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750000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216350</x:v>
      </x:c>
      <x:c r="D8" s="155"/>
      <x:c r="E8" s="194" t="s">
        <x:v>41</x:v>
      </x:c>
      <x:c r="F8" s="195"/>
      <x:c r="G8" s="185">
        <x:f>C5+G2-G6-C22</x:f>
        <x:v>216350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17</x:v>
      </x:c>
      <x:c r="D12" s="194" t="s">
        <x:v>60</x:v>
      </x:c>
      <x:c r="E12" s="195"/>
      <x:c r="F12" s="183">
        <x:v>9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SUM('1:19'!$C$12)</x:f>
        <x:v>275</x:v>
      </x:c>
      <x:c r="D13" s="173"/>
      <x:c r="E13" s="174"/>
      <x:c r="F13" s="181">
        <x:f>SUM('1:19'!$F$12)</x:f>
        <x:v>183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40</x:v>
      </x:c>
      <x:c r="D14" s="194" t="s">
        <x:v>29</x:v>
      </x:c>
      <x:c r="E14" s="195"/>
      <x:c r="F14" s="183">
        <x:v>24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SUM('1:19'!$C$14)</x:f>
        <x:v>730</x:v>
      </x:c>
      <x:c r="D15" s="173"/>
      <x:c r="E15" s="174"/>
      <x:c r="F15" s="181">
        <x:f>SUM('1:19'!$F$14)</x:f>
        <x:v>350</x:v>
      </x:c>
      <x:c r="G15" s="182"/>
      <x:c r="H15" s="54" t="s">
        <x:v>44</x:v>
      </x:c>
      <x:c r="I15" s="58">
        <x:f>11000+4950+52000+17700+2550+17000+11000+4900+3500+4500+38400+6600+3900</x:f>
        <x:v>178000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11</x:v>
      </x:c>
      <x:c r="D16" s="194" t="s">
        <x:v>34</x:v>
      </x:c>
      <x:c r="E16" s="195"/>
      <x:c r="F16" s="179">
        <x:v>30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SUM('1:19'!$C$16)</x:f>
        <x:v>106</x:v>
      </x:c>
      <x:c r="D17" s="173"/>
      <x:c r="E17" s="174"/>
      <x:c r="F17" s="180">
        <x:f>SUM('1:19'!$F$16)</x:f>
        <x:v>416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48</x:v>
      </x:c>
      <x:c r="D18" s="194" t="s">
        <x:v>67</x:v>
      </x:c>
      <x:c r="E18" s="195"/>
      <x:c r="F18" s="187">
        <x:v>20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SUM('1:19'!$C$18)</x:f>
        <x:v>710</x:v>
      </x:c>
      <x:c r="D19" s="173"/>
      <x:c r="E19" s="174"/>
      <x:c r="F19" s="180">
        <x:f>SUM('1:19'!$F$18)</x:f>
        <x:v>277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62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SUM('1:19'!$F$20)</x:f>
        <x:v>1224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2028159</x:v>
      </x:c>
      <x:c r="J23" s="61" t="s">
        <x:v>45</x:v>
      </x:c>
      <x:c r="K23" s="62">
        <x:f>SUM(K4:K22)</x:f>
        <x:v>14666.666666666666</x:v>
      </x:c>
      <x:c r="M23" s="89" t="s">
        <x:v>21</x:v>
      </x:c>
      <x:c r="N23" s="176">
        <x:f>C5+C6</x:f>
        <x:v>844000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0.42008264291632147</x:v>
      </x:c>
      <x:c r="J24" s="61" t="s">
        <x:v>110</x:v>
      </x:c>
      <x:c r="K24" s="63">
        <x:f>K23/A25</x:f>
        <x:v>0.0030378348522507592</x:v>
      </x:c>
    </x:row>
    <x:row r="25" spans="1:11" ht="34.149999999999999" customHeight="1">
      <x:c r="A25" s="203">
        <x:f>C2</x:f>
        <x:v>4828000</x:v>
      </x:c>
      <x:c r="B25" s="169"/>
      <x:c r="C25" s="169">
        <x:f>E25/I1</x:f>
        <x:v>4470815.7894736845</x:v>
      </x:c>
      <x:c r="D25" s="169"/>
      <x:c r="E25" s="169">
        <x:f>SUM('1:19'!$A$25)</x:f>
        <x:v>84945500</x:v>
      </x:c>
      <x:c r="F25" s="169"/>
      <x:c r="G25" s="169"/>
      <x:c r="H25" s="108" t="s">
        <x:v>129</x:v>
      </x:c>
      <x:c r="I25" s="109">
        <x:f>SUM('1:18'!$I$21)</x:f>
        <x:v>0</x:v>
      </x:c>
      <x:c r="J25" s="61" t="s">
        <x:v>129</x:v>
      </x:c>
      <x:c r="K25" s="62">
        <x:f>SUM('1:18'!$K$21)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683333.33333333337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0.14153548743441038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SUM('1:18'!$I$25)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120.68765268292682</x:v>
      </x:c>
      <x:c r="M30" s="66"/>
    </x:row>
    <x:row r="31" spans="1:7" ht="30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130000</x:v>
      </x:c>
      <x:c r="G31" s="202"/>
    </x:row>
    <x:row r="32" spans="1:4" ht="30" customHeight="1">
      <x:c r="A32" s="316"/>
      <x:c r="B32" s="148" t="s">
        <x:v>90</x:v>
      </x:c>
      <x:c r="C32" s="199">
        <x:f>14000*5</x:f>
        <x:v>70000</x:v>
      </x:c>
      <x:c r="D32" s="200"/>
    </x:row>
    <x:row r="33" spans="1:4" ht="30" customHeight="1">
      <x:c r="A33" s="316"/>
      <x:c r="B33" s="148" t="s">
        <x:v>78</x:v>
      </x:c>
      <x:c r="C33" s="199"/>
      <x:c r="D33" s="200"/>
    </x:row>
    <x:row r="34" spans="1:4" ht="30" customHeight="1">
      <x:c r="A34" s="317"/>
      <x:c r="B34" s="54"/>
      <x:c r="C34" s="201"/>
      <x:c r="D34" s="202"/>
    </x:row>
  </x:sheetData>
  <x:mergeCells count="73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abSelected="1" topLeftCell="A27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20</x:v>
      </x:c>
      <x:c r="G1" s="68" t="s">
        <x:v>76</x:v>
      </x:c>
      <x:c r="H1" s="52" t="s">
        <x:v>55</x:v>
      </x:c>
      <x:c r="I1" s="52">
        <x:f>F1-K1</x:f>
        <x:v>19</x:v>
      </x:c>
      <x:c r="J1" s="52" t="s">
        <x:v>18</x:v>
      </x:c>
      <x:c r="K1" s="52">
        <x:v>1</x:v>
      </x:c>
    </x:row>
    <x:row r="2" spans="1:11" ht="20.100000000000001" customHeight="1">
      <x:c r="A2" s="164" t="s">
        <x:v>112</x:v>
      </x:c>
      <x:c r="B2" s="165"/>
      <x:c r="C2" s="168">
        <x:f>SUM(C4:D7)</x:f>
        <x:v>5850000</x:v>
      </x:c>
      <x:c r="D2" s="168"/>
      <x:c r="E2" s="171" t="s">
        <x:v>137</x:v>
      </x:c>
      <x:c r="F2" s="172"/>
      <x:c r="G2" s="160">
        <x:v>216350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4935000</x:v>
      </x:c>
      <x:c r="D4" s="155"/>
      <x:c r="E4" s="170" t="s">
        <x:v>2</x:v>
      </x:c>
      <x:c r="F4" s="170"/>
      <x:c r="G4" s="134">
        <x:f>INT(C4*0.0275)</x:f>
        <x:v>135712</x:v>
      </x:c>
      <x:c r="H4" s="54" t="s">
        <x:v>77</x:v>
      </x:c>
      <x:c r="I4" s="125"/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915000</x:v>
      </x:c>
      <x:c r="D5" s="155"/>
      <x:c r="E5" s="154" t="s">
        <x:v>94</x:v>
      </x:c>
      <x:c r="F5" s="154"/>
      <x:c r="G5" s="134">
        <x:f>INT(C5*0.01)</x:f>
        <x:v>9150</x:v>
      </x:c>
      <x:c r="H5" s="54" t="s">
        <x:v>111</x:v>
      </x:c>
      <x:c r="I5" s="125"/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980000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151350</x:v>
      </x:c>
      <x:c r="D8" s="155"/>
      <x:c r="E8" s="194" t="s">
        <x:v>41</x:v>
      </x:c>
      <x:c r="F8" s="195"/>
      <x:c r="G8" s="185">
        <x:f>C5+G2-G6-C22</x:f>
        <x:v>151350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24</x:v>
      </x:c>
      <x:c r="D12" s="194" t="s">
        <x:v>60</x:v>
      </x:c>
      <x:c r="E12" s="195"/>
      <x:c r="F12" s="183">
        <x:v>24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SUM('1:20'!$C$12)</x:f>
        <x:v>299</x:v>
      </x:c>
      <x:c r="D13" s="173"/>
      <x:c r="E13" s="174"/>
      <x:c r="F13" s="181">
        <x:f>SUM('1:20'!$F$12)</x:f>
        <x:v>207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47</x:v>
      </x:c>
      <x:c r="D14" s="194" t="s">
        <x:v>29</x:v>
      </x:c>
      <x:c r="E14" s="195"/>
      <x:c r="F14" s="183">
        <x:v>24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SUM('1:20'!$C$14)</x:f>
        <x:v>777</x:v>
      </x:c>
      <x:c r="D15" s="173"/>
      <x:c r="E15" s="174"/>
      <x:c r="F15" s="181">
        <x:f>SUM('1:20'!$F$14)</x:f>
        <x:v>374</x:v>
      </x:c>
      <x:c r="G15" s="182"/>
      <x:c r="H15" s="54" t="s">
        <x:v>44</x:v>
      </x:c>
      <x:c r="I15" s="58"/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12</x:v>
      </x:c>
      <x:c r="D16" s="194" t="s">
        <x:v>34</x:v>
      </x:c>
      <x:c r="E16" s="195"/>
      <x:c r="F16" s="179">
        <x:v>19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SUM('1:20'!$C$16)</x:f>
        <x:v>118</x:v>
      </x:c>
      <x:c r="D17" s="173"/>
      <x:c r="E17" s="174"/>
      <x:c r="F17" s="180">
        <x:f>SUM('1:20'!$F$16)</x:f>
        <x:v>435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51</x:v>
      </x:c>
      <x:c r="D18" s="194" t="s">
        <x:v>67</x:v>
      </x:c>
      <x:c r="E18" s="195"/>
      <x:c r="F18" s="187">
        <x:v>36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SUM('1:20'!$C$18)</x:f>
        <x:v>761</x:v>
      </x:c>
      <x:c r="D19" s="173"/>
      <x:c r="E19" s="174"/>
      <x:c r="F19" s="180">
        <x:f>SUM('1:20'!$F$18)</x:f>
        <x:v>313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66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SUM('1:20'!$F$20)</x:f>
        <x:v>1290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0</x:v>
      </x:c>
      <x:c r="J23" s="61" t="s">
        <x:v>45</x:v>
      </x:c>
      <x:c r="K23" s="62">
        <x:f>SUM(K4:K22)</x:f>
        <x:v>14666.666666666666</x:v>
      </x:c>
      <x:c r="M23" s="89" t="s">
        <x:v>21</x:v>
      </x:c>
      <x:c r="N23" s="176">
        <x:f>C5+C6</x:f>
        <x:v>915000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</x:v>
      </x:c>
      <x:c r="J24" s="61" t="s">
        <x:v>110</x:v>
      </x:c>
      <x:c r="K24" s="63">
        <x:f>K23/A25</x:f>
        <x:v>0.0025071225071225068</x:v>
      </x:c>
    </x:row>
    <x:row r="25" spans="1:11" ht="34.149999999999999" customHeight="1">
      <x:c r="A25" s="203">
        <x:f>C2</x:f>
        <x:v>5850000</x:v>
      </x:c>
      <x:c r="B25" s="169"/>
      <x:c r="C25" s="169">
        <x:f>E25/I1</x:f>
        <x:v>4778710.5263157897</x:v>
      </x:c>
      <x:c r="D25" s="169"/>
      <x:c r="E25" s="169">
        <x:f>SUM('1:20'!$A$25)</x:f>
        <x:v>90795500</x:v>
      </x:c>
      <x:c r="F25" s="169"/>
      <x:c r="G25" s="169"/>
      <x:c r="H25" s="108" t="s">
        <x:v>129</x:v>
      </x:c>
      <x:c r="I25" s="109">
        <x:f>SUM('1:20'!$I$21)</x:f>
        <x:v>0</x:v>
      </x:c>
      <x:c r="J25" s="61" t="s">
        <x:v>129</x:v>
      </x:c>
      <x:c r="K25" s="62">
        <x:f>SUM('1:20'!$K$21)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741833.33333333337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0.12680911680911683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SUM('1:20'!$I$25)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111.17038328465513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130000</x:v>
      </x:c>
      <x:c r="G31" s="202"/>
    </x:row>
    <x:row r="32" spans="1:4" customHeight="1">
      <x:c r="A32" s="316"/>
      <x:c r="B32" s="148" t="s">
        <x:v>90</x:v>
      </x:c>
      <x:c r="C32" s="199">
        <x:f>14000*5</x:f>
        <x:v>70000</x:v>
      </x:c>
      <x:c r="D32" s="200"/>
    </x:row>
    <x:row r="33" spans="1:4" customHeight="1">
      <x:c r="A33" s="316"/>
      <x:c r="B33" s="148" t="s">
        <x:v>78</x:v>
      </x:c>
      <x:c r="C33" s="199">
        <x:f>11700*5</x:f>
        <x:v>58500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abSelected="1" topLeftCell="A8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21</x:v>
      </x:c>
      <x:c r="G1" s="68" t="s">
        <x:v>136</x:v>
      </x:c>
      <x:c r="H1" s="52" t="s">
        <x:v>55</x:v>
      </x:c>
      <x:c r="I1" s="52">
        <x:f>F1-K1</x:f>
        <x:v>21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4013500</x:v>
      </x:c>
      <x:c r="D2" s="168"/>
      <x:c r="E2" s="171" t="s">
        <x:v>137</x:v>
      </x:c>
      <x:c r="F2" s="172"/>
      <x:c r="G2" s="160">
        <x:v>151350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3759500</x:v>
      </x:c>
      <x:c r="D4" s="155"/>
      <x:c r="E4" s="170" t="s">
        <x:v>2</x:v>
      </x:c>
      <x:c r="F4" s="170"/>
      <x:c r="G4" s="134">
        <x:f>INT(C4*0.0275)</x:f>
        <x:v>103386</x:v>
      </x:c>
      <x:c r="H4" s="54" t="s">
        <x:v>77</x:v>
      </x:c>
      <x:c r="I4" s="125">
        <x:f>477600+452000+178200+380091+269178</x:f>
        <x:v>1757069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254000</x:v>
      </x:c>
      <x:c r="D5" s="155"/>
      <x:c r="E5" s="154" t="s">
        <x:v>94</x:v>
      </x:c>
      <x:c r="F5" s="154"/>
      <x:c r="G5" s="134">
        <x:f>INT(C5*0.01)</x:f>
        <x:v>2540</x:v>
      </x:c>
      <x:c r="H5" s="54" t="s">
        <x:v>111</x:v>
      </x:c>
      <x:c r="I5" s="125">
        <x:f>29656+36080+48300+25600+20130</x:f>
        <x:v>159766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300000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v>215500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105350</x:v>
      </x:c>
      <x:c r="D8" s="155"/>
      <x:c r="E8" s="194" t="s">
        <x:v>41</x:v>
      </x:c>
      <x:c r="F8" s="195"/>
      <x:c r="G8" s="185">
        <x:f>C5+G2-G6-C22</x:f>
        <x:v>105350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>
        <x:v>13000</x:v>
      </x:c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7</x:v>
      </x:c>
      <x:c r="D12" s="194" t="s">
        <x:v>60</x:v>
      </x:c>
      <x:c r="E12" s="195"/>
      <x:c r="F12" s="183">
        <x:v>13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SUM('1:21'!$C$12)</x:f>
        <x:v>306</x:v>
      </x:c>
      <x:c r="D13" s="173"/>
      <x:c r="E13" s="174"/>
      <x:c r="F13" s="181">
        <x:f>SUM('1:21'!$F$12)</x:f>
        <x:v>220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46</x:v>
      </x:c>
      <x:c r="D14" s="194" t="s">
        <x:v>29</x:v>
      </x:c>
      <x:c r="E14" s="195"/>
      <x:c r="F14" s="183">
        <x:v>9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SUM('1:21'!$C$14)</x:f>
        <x:v>823</x:v>
      </x:c>
      <x:c r="D15" s="173"/>
      <x:c r="E15" s="174"/>
      <x:c r="F15" s="181">
        <x:f>SUM('1:21'!$F$14)</x:f>
        <x:v>383</x:v>
      </x:c>
      <x:c r="G15" s="182"/>
      <x:c r="H15" s="54" t="s">
        <x:v>44</x:v>
      </x:c>
      <x:c r="I15" s="58">
        <x:f>13500+6200+26000+11000+19200+28500+78000+3200+8900+4000+9800+17000+4000</x:f>
        <x:v>229300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10</x:v>
      </x:c>
      <x:c r="D16" s="194" t="s">
        <x:v>34</x:v>
      </x:c>
      <x:c r="E16" s="195"/>
      <x:c r="F16" s="179">
        <x:v>1</x:v>
      </x:c>
      <x:c r="G16" s="179"/>
      <x:c r="H16" s="54"/>
      <x:c r="I16" s="58"/>
      <x:c r="J16" s="54" t="s">
        <x:v>19</x:v>
      </x:c>
      <x:c r="K16" s="58">
        <x:f>32900+37900</x:f>
        <x:v>70800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SUM('1:21'!$C$16)</x:f>
        <x:v>128</x:v>
      </x:c>
      <x:c r="D17" s="173"/>
      <x:c r="E17" s="174"/>
      <x:c r="F17" s="180">
        <x:f>SUM('1:21'!$F$16)</x:f>
        <x:v>436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42</x:v>
      </x:c>
      <x:c r="D18" s="194" t="s">
        <x:v>67</x:v>
      </x:c>
      <x:c r="E18" s="195"/>
      <x:c r="F18" s="187">
        <x:v>14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SUM('1:21'!$C$18)</x:f>
        <x:v>803</x:v>
      </x:c>
      <x:c r="D19" s="173"/>
      <x:c r="E19" s="174"/>
      <x:c r="F19" s="180">
        <x:f>SUM('1:21'!$F$18)</x:f>
        <x:v>327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59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SUM('1:21'!$F$20)</x:f>
        <x:v>1349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2361635</x:v>
      </x:c>
      <x:c r="J23" s="61" t="s">
        <x:v>45</x:v>
      </x:c>
      <x:c r="K23" s="62">
        <x:f>SUM(K4:K22)</x:f>
        <x:v>98466.666666666657</x:v>
      </x:c>
      <x:c r="M23" s="89" t="s">
        <x:v>21</x:v>
      </x:c>
      <x:c r="N23" s="176">
        <x:f>C5+C6</x:f>
        <x:v>254000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0.58842282297246795</x:v>
      </x:c>
      <x:c r="J24" s="61" t="s">
        <x:v>110</x:v>
      </x:c>
      <x:c r="K24" s="63">
        <x:f>K23/A25</x:f>
        <x:v>0.024533864872721231</x:v>
      </x:c>
    </x:row>
    <x:row r="25" spans="1:11" ht="34.149999999999999" customHeight="1">
      <x:c r="A25" s="203">
        <x:f>C2</x:f>
        <x:v>4013500</x:v>
      </x:c>
      <x:c r="B25" s="169"/>
      <x:c r="C25" s="169">
        <x:f>E25/I1</x:f>
        <x:v>4514714.2857142854</x:v>
      </x:c>
      <x:c r="D25" s="169"/>
      <x:c r="E25" s="169">
        <x:f>SUM('1:21'!$A$25)</x:f>
        <x:v>94809000</x:v>
      </x:c>
      <x:c r="F25" s="169"/>
      <x:c r="G25" s="169"/>
      <x:c r="H25" s="108" t="s">
        <x:v>129</x:v>
      </x:c>
      <x:c r="I25" s="109">
        <x:f>SUM('1:21'!$I$21)</x:f>
        <x:v>0</x:v>
      </x:c>
      <x:c r="J25" s="61" t="s">
        <x:v>129</x:v>
      </x:c>
      <x:c r="K25" s="62">
        <x:f>SUM('1:21'!$K$21)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650133.66666666674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0.16198671151530253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SUM('1:21'!$I$25)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126.85067737352472</x:v>
      </x:c>
      <x:c r="M30" s="66"/>
    </x:row>
    <x:row r="31" spans="1:7" customHeight="1">
      <x:c r="A31" s="316"/>
      <x:c r="B31" s="54" t="s">
        <x:v>134</x:v>
      </x:c>
      <x:c r="C31" s="169">
        <x:v>116667</x:v>
      </x:c>
      <x:c r="D31" s="169"/>
      <x:c r="E31" s="55" t="s">
        <x:v>105</x:v>
      </x:c>
      <x:c r="F31" s="201">
        <x:v>120000</x:v>
      </x:c>
      <x:c r="G31" s="202"/>
    </x:row>
    <x:row r="32" spans="1:7" customHeight="1">
      <x:c r="A32" s="316"/>
      <x:c r="B32" s="148" t="s">
        <x:v>90</x:v>
      </x:c>
      <x:c r="C32" s="199"/>
      <x:c r="D32" s="200"/>
      <x:c r="E32" s="55" t="s">
        <x:v>81</x:v>
      </x:c>
      <x:c r="F32" s="201">
        <x:v>71000</x:v>
      </x:c>
      <x:c r="G32" s="202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abSelected="1" topLeftCell="A8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22</x:v>
      </x:c>
      <x:c r="G1" s="68" t="s">
        <x:v>150</x:v>
      </x:c>
      <x:c r="H1" s="52" t="s">
        <x:v>55</x:v>
      </x:c>
      <x:c r="I1" s="52">
        <x:f>F1-K1</x:f>
        <x:v>22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4083500</x:v>
      </x:c>
      <x:c r="D2" s="168"/>
      <x:c r="E2" s="171" t="s">
        <x:v>137</x:v>
      </x:c>
      <x:c r="F2" s="172"/>
      <x:c r="G2" s="160">
        <x:v>105350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3270000</x:v>
      </x:c>
      <x:c r="D4" s="155"/>
      <x:c r="E4" s="170" t="s">
        <x:v>2</x:v>
      </x:c>
      <x:c r="F4" s="170"/>
      <x:c r="G4" s="134">
        <x:f>INT(C4*0.0275)</x:f>
        <x:v>89925</x:v>
      </x:c>
      <x:c r="H4" s="54" t="s">
        <x:v>77</x:v>
      </x:c>
      <x:c r="I4" s="125">
        <x:f>56220+452000+180902+289536</x:f>
        <x:v>978658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813500</x:v>
      </x:c>
      <x:c r="D5" s="155"/>
      <x:c r="E5" s="154" t="s">
        <x:v>94</x:v>
      </x:c>
      <x:c r="F5" s="154"/>
      <x:c r="G5" s="134">
        <x:f>INT(C5*0.01)</x:f>
        <x:v>8135</x:v>
      </x:c>
      <x:c r="H5" s="54" t="s">
        <x:v>111</x:v>
      </x:c>
      <x:c r="I5" s="125">
        <x:f>36080+59312+11750+85750</x:f>
        <x:v>192892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840000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>
        <x:v>12500</x:v>
      </x:c>
    </x:row>
    <x:row r="8" spans="1:11" ht="21.949999999999999" customHeight="1">
      <x:c r="A8" s="153" t="s">
        <x:v>64</x:v>
      </x:c>
      <x:c r="B8" s="154"/>
      <x:c r="C8" s="155">
        <x:v>78850</x:v>
      </x:c>
      <x:c r="D8" s="155"/>
      <x:c r="E8" s="194" t="s">
        <x:v>41</x:v>
      </x:c>
      <x:c r="F8" s="195"/>
      <x:c r="G8" s="185">
        <x:f>C5+G2-G6-C22</x:f>
        <x:v>78850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>
        <x:v>50000</x:v>
      </x:c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 t="s">
        <x:v>1</x:v>
      </x:c>
      <x:c r="D11" s="189"/>
      <x:c r="E11" s="189"/>
      <x:c r="F11" s="189"/>
      <x:c r="G11" s="189"/>
      <x:c r="H11" s="54" t="s">
        <x:v>148</x:v>
      </x:c>
      <x:c r="I11" s="58">
        <x:v>100000</x:v>
      </x:c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12</x:v>
      </x:c>
      <x:c r="D12" s="194" t="s">
        <x:v>60</x:v>
      </x:c>
      <x:c r="E12" s="195"/>
      <x:c r="F12" s="183">
        <x:v>8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SUM('1:22'!$C$12)</x:f>
        <x:v>318</x:v>
      </x:c>
      <x:c r="D13" s="173"/>
      <x:c r="E13" s="174"/>
      <x:c r="F13" s="181">
        <x:f>SUM('1:22'!$F$12)</x:f>
        <x:v>228</x:v>
      </x:c>
      <x:c r="G13" s="182"/>
      <x:c r="H13" s="54" t="s">
        <x:v>39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40</x:v>
      </x:c>
      <x:c r="D14" s="194" t="s">
        <x:v>29</x:v>
      </x:c>
      <x:c r="E14" s="195"/>
      <x:c r="F14" s="183">
        <x:v>13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SUM('1:22'!$C$14)</x:f>
        <x:v>863</x:v>
      </x:c>
      <x:c r="D15" s="173"/>
      <x:c r="E15" s="174"/>
      <x:c r="F15" s="181">
        <x:f>SUM('1:22'!$F$14)</x:f>
        <x:v>396</x:v>
      </x:c>
      <x:c r="G15" s="182"/>
      <x:c r="H15" s="54" t="s">
        <x:v>44</x:v>
      </x:c>
      <x:c r="I15" s="58">
        <x:f>3500+52000+4250+11800+4500+2200+4400</x:f>
        <x:v>82650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11</x:v>
      </x:c>
      <x:c r="D16" s="194" t="s">
        <x:v>34</x:v>
      </x:c>
      <x:c r="E16" s="195"/>
      <x:c r="F16" s="179">
        <x:v>20</x:v>
      </x:c>
      <x:c r="G16" s="179"/>
      <x:c r="H16" s="54"/>
      <x:c r="I16" s="58"/>
      <x:c r="J16" s="54" t="s">
        <x:v>19</x:v>
      </x:c>
      <x:c r="K16" s="58">
        <x:v>58202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SUM('1:22'!$C$16)</x:f>
        <x:v>139</x:v>
      </x:c>
      <x:c r="D17" s="173"/>
      <x:c r="E17" s="174"/>
      <x:c r="F17" s="180">
        <x:f>SUM('1:22'!$F$16)</x:f>
        <x:v>456</x:v>
      </x:c>
      <x:c r="G17" s="180"/>
      <x:c r="H17" s="54" t="s">
        <x:v>109</x:v>
      </x:c>
      <x:c r="I17" s="58"/>
      <x:c r="J17" s="54" t="s">
        <x:v>24</x:v>
      </x:c>
      <x:c r="K17" s="58">
        <x:v>35200</x:v>
      </x:c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40</x:v>
      </x:c>
      <x:c r="D18" s="194" t="s">
        <x:v>67</x:v>
      </x:c>
      <x:c r="E18" s="195"/>
      <x:c r="F18" s="187">
        <x:v>9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SUM('1:22'!$C$18)</x:f>
        <x:v>843</x:v>
      </x:c>
      <x:c r="D19" s="173"/>
      <x:c r="E19" s="174"/>
      <x:c r="F19" s="180">
        <x:f>SUM('1:22'!$F$18)</x:f>
        <x:v>336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60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SUM('1:22'!$F$20)</x:f>
        <x:v>1409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1650200</x:v>
      </x:c>
      <x:c r="J23" s="61" t="s">
        <x:v>45</x:v>
      </x:c>
      <x:c r="K23" s="62">
        <x:f>SUM(K4:K22)</x:f>
        <x:v>120568.66666666666</x:v>
      </x:c>
      <x:c r="M23" s="89" t="s">
        <x:v>21</x:v>
      </x:c>
      <x:c r="N23" s="176">
        <x:f>C5+C6</x:f>
        <x:v>813500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0.40411411779111056</x:v>
      </x:c>
      <x:c r="J24" s="61" t="s">
        <x:v>110</x:v>
      </x:c>
      <x:c r="K24" s="63">
        <x:f>K23/A25</x:f>
        <x:v>0.029525815272846001</x:v>
      </x:c>
    </x:row>
    <x:row r="25" spans="1:11" ht="34.149999999999999" customHeight="1">
      <x:c r="A25" s="203">
        <x:f>C2</x:f>
        <x:v>4083500</x:v>
      </x:c>
      <x:c r="B25" s="169"/>
      <x:c r="C25" s="169">
        <x:f>E25/I1</x:f>
        <x:v>4495113.6363636367</x:v>
      </x:c>
      <x:c r="D25" s="169"/>
      <x:c r="E25" s="169">
        <x:f>SUM('1:22'!$A$25)</x:f>
        <x:v>98892500</x:v>
      </x:c>
      <x:c r="F25" s="169"/>
      <x:c r="G25" s="169"/>
      <x:c r="H25" s="108" t="s">
        <x:v>129</x:v>
      </x:c>
      <x:c r="I25" s="109">
        <x:f>SUM('1:22'!$I$21)</x:f>
        <x:v>0</x:v>
      </x:c>
      <x:c r="J25" s="61" t="s">
        <x:v>129</x:v>
      </x:c>
      <x:c r="K25" s="62">
        <x:f>SUM('1:22'!$K$21)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650133.33333333337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0.15920982817027876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SUM('1:22'!$I$25)</x:f>
        <x:v>82469896</x:v>
      </x:c>
      <x:c r="M29" s="66"/>
    </x:row>
    <x:row r="30" spans="1:13" ht="30.949999999999999" customHeight="1">
      <x:c r="A30" s="316"/>
      <x:c r="B30" s="55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126.85074241181296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7" customHeight="1">
      <x:c r="A32" s="316"/>
      <x:c r="B32" s="148" t="s">
        <x:v>90</x:v>
      </x:c>
      <x:c r="C32" s="199"/>
      <x:c r="D32" s="200"/>
      <x:c r="E32" s="55" t="s">
        <x:v>71</x:v>
      </x:c>
      <x:c r="F32" s="201">
        <x:v>132000</x:v>
      </x:c>
      <x:c r="G32" s="202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F15:G15"/>
    <x:mergeCell ref="A23:B23"/>
    <x:mergeCell ref="C23:G23"/>
    <x:mergeCell ref="F16:G16"/>
    <x:mergeCell ref="F17:G17"/>
    <x:mergeCell ref="A6:B7"/>
    <x:mergeCell ref="A11:B11"/>
    <x:mergeCell ref="C11:G11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abSelected="1" topLeftCell="A1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23</x:v>
      </x:c>
      <x:c r="G1" s="68" t="s">
        <x:v>80</x:v>
      </x:c>
      <x:c r="H1" s="52" t="s">
        <x:v>55</x:v>
      </x:c>
      <x:c r="I1" s="52">
        <x:f>F1-K1</x:f>
        <x:v>23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5012500</x:v>
      </x:c>
      <x:c r="D2" s="168"/>
      <x:c r="E2" s="171" t="s">
        <x:v>137</x:v>
      </x:c>
      <x:c r="F2" s="172"/>
      <x:c r="G2" s="160">
        <x:v>78850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4129500</x:v>
      </x:c>
      <x:c r="D4" s="155"/>
      <x:c r="E4" s="170" t="s">
        <x:v>2</x:v>
      </x:c>
      <x:c r="F4" s="170"/>
      <x:c r="G4" s="134">
        <x:f>INT(C4*0.0275)</x:f>
        <x:v>113561</x:v>
      </x:c>
      <x:c r="H4" s="54" t="s">
        <x:v>77</x:v>
      </x:c>
      <x:c r="I4" s="125">
        <x:f>452000+248820+185318+165307+221400</x:f>
        <x:v>1272845</x:v>
      </x:c>
      <x:c r="J4" s="82" t="s">
        <x:v>133</x:v>
      </x:c>
      <x:c r="K4" s="58">
        <x:v>385000</x:v>
      </x:c>
    </x:row>
    <x:row r="5" spans="1:11" ht="30.949999999999999" customHeight="1">
      <x:c r="A5" s="162" t="s">
        <x:v>152</x:v>
      </x:c>
      <x:c r="B5" s="163"/>
      <x:c r="C5" s="155">
        <x:v>883000</x:v>
      </x:c>
      <x:c r="D5" s="155"/>
      <x:c r="E5" s="154" t="s">
        <x:v>94</x:v>
      </x:c>
      <x:c r="F5" s="154"/>
      <x:c r="G5" s="134">
        <x:v>0</x:v>
      </x:c>
      <x:c r="H5" s="54" t="s">
        <x:v>111</x:v>
      </x:c>
      <x:c r="I5" s="125">
        <x:f>82500+16100+48300+25600+23650+36080+20130+12980</x:f>
        <x:v>265340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890000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f>82800-34400</x:f>
        <x:v>48400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71850</x:v>
      </x:c>
      <x:c r="D8" s="155"/>
      <x:c r="E8" s="194" t="s">
        <x:v>41</x:v>
      </x:c>
      <x:c r="F8" s="195"/>
      <x:c r="G8" s="185">
        <x:f>C5+G2-G6-C22</x:f>
        <x:v>71850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23</x:v>
      </x:c>
      <x:c r="D12" s="194" t="s">
        <x:v>60</x:v>
      </x:c>
      <x:c r="E12" s="195"/>
      <x:c r="F12" s="183">
        <x:v>9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SUM('1:23'!$C$12)</x:f>
        <x:v>341</x:v>
      </x:c>
      <x:c r="D13" s="173"/>
      <x:c r="E13" s="174"/>
      <x:c r="F13" s="181">
        <x:f>SUM('1:23'!$F$12)</x:f>
        <x:v>237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32</x:v>
      </x:c>
      <x:c r="D14" s="194" t="s">
        <x:v>29</x:v>
      </x:c>
      <x:c r="E14" s="195"/>
      <x:c r="F14" s="183">
        <x:v>11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SUM('1:23'!$C$14)</x:f>
        <x:v>895</x:v>
      </x:c>
      <x:c r="D15" s="173"/>
      <x:c r="E15" s="174"/>
      <x:c r="F15" s="181">
        <x:f>SUM('1:23'!$F$14)</x:f>
        <x:v>407</x:v>
      </x:c>
      <x:c r="G15" s="182"/>
      <x:c r="H15" s="54" t="s">
        <x:v>44</x:v>
      </x:c>
      <x:c r="I15" s="58">
        <x:f>19200+11800+8250+19500+1200+4900+52000</x:f>
        <x:v>116850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5</x:v>
      </x:c>
      <x:c r="D16" s="194" t="s">
        <x:v>34</x:v>
      </x:c>
      <x:c r="E16" s="195"/>
      <x:c r="F16" s="179">
        <x:v>15</x:v>
      </x:c>
      <x:c r="G16" s="179"/>
      <x:c r="H16" s="54"/>
      <x:c r="I16" s="58"/>
      <x:c r="J16" s="54" t="s">
        <x:v>19</x:v>
      </x:c>
      <x:c r="K16" s="58">
        <x:v>146247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SUM('1:23'!$C$16)</x:f>
        <x:v>144</x:v>
      </x:c>
      <x:c r="D17" s="173"/>
      <x:c r="E17" s="174"/>
      <x:c r="F17" s="180">
        <x:f>SUM('1:23'!$F$16)</x:f>
        <x:v>471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62</x:v>
      </x:c>
      <x:c r="D18" s="194" t="s">
        <x:v>67</x:v>
      </x:c>
      <x:c r="E18" s="195"/>
      <x:c r="F18" s="187">
        <x:v>9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SUM('1:23'!$C$18)</x:f>
        <x:v>905</x:v>
      </x:c>
      <x:c r="D19" s="173"/>
      <x:c r="E19" s="174"/>
      <x:c r="F19" s="180">
        <x:f>SUM('1:23'!$F$18)</x:f>
        <x:v>345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78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SUM('1:23'!$F$20)</x:f>
        <x:v>1487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1759435</x:v>
      </x:c>
      <x:c r="J23" s="61" t="s">
        <x:v>45</x:v>
      </x:c>
      <x:c r="K23" s="62">
        <x:f>SUM(K4:K22)</x:f>
        <x:v>545913.66666666674</x:v>
      </x:c>
      <x:c r="M23" s="89" t="s">
        <x:v>21</x:v>
      </x:c>
      <x:c r="N23" s="176">
        <x:f>C5+C6</x:f>
        <x:v>883000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0.35100947630922691</x:v>
      </x:c>
      <x:c r="J24" s="61" t="s">
        <x:v>110</x:v>
      </x:c>
      <x:c r="K24" s="63">
        <x:f>K23/A25</x:f>
        <x:v>0.10891045719035745</x:v>
      </x:c>
    </x:row>
    <x:row r="25" spans="1:11" ht="34.149999999999999" customHeight="1">
      <x:c r="A25" s="203">
        <x:f>C2</x:f>
        <x:v>5012500</x:v>
      </x:c>
      <x:c r="B25" s="169"/>
      <x:c r="C25" s="169">
        <x:f>E25/I1</x:f>
        <x:v>4517608.6956521738</x:v>
      </x:c>
      <x:c r="D25" s="169"/>
      <x:c r="E25" s="169">
        <x:f>SUM('1:23'!$A$25)</x:f>
        <x:v>103905000</x:v>
      </x:c>
      <x:c r="F25" s="169"/>
      <x:c r="G25" s="169"/>
      <x:c r="H25" s="108" t="s">
        <x:v>129</x:v>
      </x:c>
      <x:c r="I25" s="109">
        <x:f>SUM('1:23'!$I$21)</x:f>
        <x:v>0</x:v>
      </x:c>
      <x:c r="J25" s="61" t="s">
        <x:v>129</x:v>
      </x:c>
      <x:c r="K25" s="62">
        <x:f>SUM('1:23'!$K$21)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603333.33333333337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0.1203657522859518</x:v>
      </x:c>
      <x:c r="M28" s="66" t="s">
        <x:v>151</x:v>
      </x:c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SUM('1:23'!$I$25)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136.69043535911601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7" customHeight="1">
      <x:c r="A32" s="316"/>
      <x:c r="B32" s="148" t="s">
        <x:v>90</x:v>
      </x:c>
      <x:c r="C32" s="199"/>
      <x:c r="D32" s="200"/>
      <x:c r="E32" s="55" t="s">
        <x:v>71</x:v>
      </x:c>
      <x:c r="F32" s="201">
        <x:v>132000</x:v>
      </x:c>
      <x:c r="G32" s="202"/>
    </x:row>
    <x:row r="33" spans="1:4" customHeight="1">
      <x:c r="A33" s="316"/>
      <x:c r="B33" s="148" t="s">
        <x:v>78</x:v>
      </x:c>
      <x:c r="C33" s="199"/>
      <x:c r="D33" s="200"/>
    </x:row>
    <x:row r="34" spans="1:4" customHeight="1">
      <x:c r="A34" s="317"/>
      <x:c r="B34" s="54"/>
      <x:c r="C34" s="201"/>
      <x:c r="D34" s="202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abSelected="1" topLeftCell="A23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24</x:v>
      </x:c>
      <x:c r="G1" s="68" t="s">
        <x:v>147</x:v>
      </x:c>
      <x:c r="H1" s="52" t="s">
        <x:v>55</x:v>
      </x:c>
      <x:c r="I1" s="52">
        <x:f>F1-K1</x:f>
        <x:v>24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5326000</x:v>
      </x:c>
      <x:c r="D2" s="168"/>
      <x:c r="E2" s="171" t="s">
        <x:v>137</x:v>
      </x:c>
      <x:c r="F2" s="172"/>
      <x:c r="G2" s="160">
        <x:v>71850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4695000</x:v>
      </x:c>
      <x:c r="D4" s="155"/>
      <x:c r="E4" s="170" t="s">
        <x:v>2</x:v>
      </x:c>
      <x:c r="F4" s="170"/>
      <x:c r="G4" s="134">
        <x:f>INT(C4*0.0275)</x:f>
        <x:v>129112</x:v>
      </x:c>
      <x:c r="H4" s="54" t="s">
        <x:v>77</x:v>
      </x:c>
      <x:c r="I4" s="125">
        <x:f>477600+167400+183427+278226</x:f>
        <x:v>1106653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631000</x:v>
      </x:c>
      <x:c r="D5" s="155"/>
      <x:c r="E5" s="154" t="s">
        <x:v>94</x:v>
      </x:c>
      <x:c r="F5" s="154"/>
      <x:c r="G5" s="134">
        <x:f>INT(C5*0.01)</x:f>
        <x:v>6310</x:v>
      </x:c>
      <x:c r="H5" s="54" t="s">
        <x:v>111</x:v>
      </x:c>
      <x:c r="I5" s="125">
        <x:f>11750+29656+40700+25600</x:f>
        <x:v>107706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640000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f>279630</x:f>
        <x:v>279630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65850</x:v>
      </x:c>
      <x:c r="D8" s="155"/>
      <x:c r="E8" s="194" t="s">
        <x:v>41</x:v>
      </x:c>
      <x:c r="F8" s="195"/>
      <x:c r="G8" s="185">
        <x:f>C5+G2-G6-C22</x:f>
        <x:v>62850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16</x:v>
      </x:c>
      <x:c r="D12" s="194" t="s">
        <x:v>60</x:v>
      </x:c>
      <x:c r="E12" s="195"/>
      <x:c r="F12" s="183">
        <x:v>7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SUM('1:24'!$C$12)</x:f>
        <x:v>357</x:v>
      </x:c>
      <x:c r="D13" s="173"/>
      <x:c r="E13" s="174"/>
      <x:c r="F13" s="181">
        <x:f>SUM('1:24'!$F$12)</x:f>
        <x:v>244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34</x:v>
      </x:c>
      <x:c r="D14" s="194" t="s">
        <x:v>29</x:v>
      </x:c>
      <x:c r="E14" s="195"/>
      <x:c r="F14" s="183">
        <x:v>19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SUM('1:24'!$C$14)</x:f>
        <x:v>929</x:v>
      </x:c>
      <x:c r="D15" s="173"/>
      <x:c r="E15" s="174"/>
      <x:c r="F15" s="181">
        <x:f>SUM('1:24'!$F$14)</x:f>
        <x:v>426</x:v>
      </x:c>
      <x:c r="G15" s="182"/>
      <x:c r="H15" s="54" t="s">
        <x:v>44</x:v>
      </x:c>
      <x:c r="I15" s="58">
        <x:f>19200+11800+19500+3150+8900+6200+3500+3200</x:f>
        <x:v>75450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8</x:v>
      </x:c>
      <x:c r="D16" s="194" t="s">
        <x:v>34</x:v>
      </x:c>
      <x:c r="E16" s="195"/>
      <x:c r="F16" s="179">
        <x:v>28</x:v>
      </x:c>
      <x:c r="G16" s="179"/>
      <x:c r="H16" s="54"/>
      <x:c r="I16" s="58"/>
      <x:c r="J16" s="54" t="s">
        <x:v>19</x:v>
      </x:c>
      <x:c r="K16" s="58">
        <x:v>108500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SUM('1:24'!$C$16)</x:f>
        <x:v>152</x:v>
      </x:c>
      <x:c r="D17" s="173"/>
      <x:c r="E17" s="174"/>
      <x:c r="F17" s="180">
        <x:f>SUM('1:24'!$F$16)</x:f>
        <x:v>499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33</x:v>
      </x:c>
      <x:c r="D18" s="194" t="s">
        <x:v>67</x:v>
      </x:c>
      <x:c r="E18" s="195"/>
      <x:c r="F18" s="187">
        <x:v>22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SUM('1:24'!$C$18)</x:f>
        <x:v>938</x:v>
      </x:c>
      <x:c r="D19" s="173"/>
      <x:c r="E19" s="174"/>
      <x:c r="F19" s="180">
        <x:f>SUM('1:24'!$F$18)</x:f>
        <x:v>367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64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SUM('1:24'!$F$20)</x:f>
        <x:v>1551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1569439</x:v>
      </x:c>
      <x:c r="J23" s="61" t="s">
        <x:v>45</x:v>
      </x:c>
      <x:c r="K23" s="62">
        <x:f>SUM(K4:K22)</x:f>
        <x:v>123166.66666666667</x:v>
      </x:c>
      <x:c r="M23" s="89" t="s">
        <x:v>21</x:v>
      </x:c>
      <x:c r="N23" s="176">
        <x:f>C5+C6</x:f>
        <x:v>631000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0.29467499061209163</x:v>
      </x:c>
      <x:c r="J24" s="61" t="s">
        <x:v>110</x:v>
      </x:c>
      <x:c r="K24" s="63">
        <x:f>K23/A25</x:f>
        <x:v>0.023125547627988484</x:v>
      </x:c>
    </x:row>
    <x:row r="25" spans="1:11" ht="34.149999999999999" customHeight="1">
      <x:c r="A25" s="203">
        <x:f>C2</x:f>
        <x:v>5326000</x:v>
      </x:c>
      <x:c r="B25" s="169"/>
      <x:c r="C25" s="169">
        <x:f>E25/I1</x:f>
        <x:v>4551291.666666667</x:v>
      </x:c>
      <x:c r="D25" s="169"/>
      <x:c r="E25" s="169">
        <x:f>SUM('1:24'!$A$25)</x:f>
        <x:v>109231000</x:v>
      </x:c>
      <x:c r="F25" s="169"/>
      <x:c r="G25" s="169"/>
      <x:c r="H25" s="108" t="s">
        <x:v>129</x:v>
      </x:c>
      <x:c r="I25" s="109">
        <x:f>SUM('1:24'!$I$21)</x:f>
        <x:v>0</x:v>
      </x:c>
      <x:c r="J25" s="61" t="s">
        <x:v>129</x:v>
      </x:c>
      <x:c r="K25" s="62">
        <x:f>SUM('1:24'!$K$21)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SUM(C27:D34,F27:G32)</x:f>
        <x:v>787983.33333333337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0.14795030667167355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SUM('1:24'!$I$25)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104.65944203557605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7" customHeight="1">
      <x:c r="A32" s="316"/>
      <x:c r="B32" s="148" t="s">
        <x:v>90</x:v>
      </x:c>
      <x:c r="C32" s="199"/>
      <x:c r="D32" s="200"/>
      <x:c r="E32" s="55" t="s">
        <x:v>71</x:v>
      </x:c>
      <x:c r="F32" s="201">
        <x:v>132000</x:v>
      </x:c>
      <x:c r="G32" s="202"/>
    </x:row>
    <x:row r="33" spans="1:4" customHeight="1">
      <x:c r="A33" s="316"/>
      <x:c r="B33" s="148" t="s">
        <x:v>78</x:v>
      </x:c>
      <x:c r="C33" s="199">
        <x:f>11700*4.5</x:f>
        <x:v>52650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abSelected="1" topLeftCell="A3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25</x:v>
      </x:c>
      <x:c r="G1" s="68" t="s">
        <x:v>75</x:v>
      </x:c>
      <x:c r="H1" s="52" t="s">
        <x:v>55</x:v>
      </x:c>
      <x:c r="I1" s="52">
        <x:f>F1-K1</x:f>
        <x:v>25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5511500</x:v>
      </x:c>
      <x:c r="D2" s="168"/>
      <x:c r="E2" s="171" t="s">
        <x:v>137</x:v>
      </x:c>
      <x:c r="F2" s="172"/>
      <x:c r="G2" s="160">
        <x:v>65850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5231500</x:v>
      </x:c>
      <x:c r="D4" s="155"/>
      <x:c r="E4" s="170" t="s">
        <x:v>2</x:v>
      </x:c>
      <x:c r="F4" s="170"/>
      <x:c r="G4" s="134">
        <x:f>INT(C4*0.0275)</x:f>
        <x:v>143866</x:v>
      </x:c>
      <x:c r="H4" s="54" t="s">
        <x:v>77</x:v>
      </x:c>
      <x:c r="I4" s="125">
        <x:f>30650+452000+216000+294060+189100</x:f>
        <x:v>1181810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280000</x:v>
      </x:c>
      <x:c r="D5" s="155"/>
      <x:c r="E5" s="154" t="s">
        <x:v>94</x:v>
      </x:c>
      <x:c r="F5" s="154"/>
      <x:c r="G5" s="134">
        <x:f>INT(C5*0.01)</x:f>
        <x:v>2800</x:v>
      </x:c>
      <x:c r="H5" s="54" t="s">
        <x:v>111</x:v>
      </x:c>
      <x:c r="I5" s="125">
        <x:f>38940+88968+20130+8530</x:f>
        <x:v>156568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240000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v>461000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105850</x:v>
      </x:c>
      <x:c r="D8" s="155"/>
      <x:c r="E8" s="194" t="s">
        <x:v>41</x:v>
      </x:c>
      <x:c r="F8" s="195"/>
      <x:c r="G8" s="185">
        <x:f>C5+G2-G6-C22</x:f>
        <x:v>105850</x:v>
      </x:c>
      <x:c r="H8" s="54" t="s">
        <x:v>135</x:v>
      </x:c>
      <x:c r="I8" s="125">
        <x:f>56000+56000</x:f>
        <x:v>112000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17</x:v>
      </x:c>
      <x:c r="D12" s="194" t="s">
        <x:v>60</x:v>
      </x:c>
      <x:c r="E12" s="195"/>
      <x:c r="F12" s="183">
        <x:v>6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SUM('1:25'!$C$12)</x:f>
        <x:v>374</x:v>
      </x:c>
      <x:c r="D13" s="173"/>
      <x:c r="E13" s="174"/>
      <x:c r="F13" s="181">
        <x:f>SUM('1:25'!$F$12)</x:f>
        <x:v>250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80</x:v>
      </x:c>
      <x:c r="D14" s="194" t="s">
        <x:v>29</x:v>
      </x:c>
      <x:c r="E14" s="195"/>
      <x:c r="F14" s="183">
        <x:v>7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SUM('1:25'!$C$14)</x:f>
        <x:v>1009</x:v>
      </x:c>
      <x:c r="D15" s="173"/>
      <x:c r="E15" s="174"/>
      <x:c r="F15" s="181">
        <x:f>SUM('1:25'!$F$14)</x:f>
        <x:v>433</x:v>
      </x:c>
      <x:c r="G15" s="182"/>
      <x:c r="H15" s="54" t="s">
        <x:v>44</x:v>
      </x:c>
      <x:c r="I15" s="58">
        <x:v>364400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9</x:v>
      </x:c>
      <x:c r="D16" s="194" t="s">
        <x:v>34</x:v>
      </x:c>
      <x:c r="E16" s="195"/>
      <x:c r="F16" s="179">
        <x:v>22</x:v>
      </x:c>
      <x:c r="G16" s="179"/>
      <x:c r="H16" s="54"/>
      <x:c r="I16" s="58"/>
      <x:c r="J16" s="54" t="s">
        <x:v>19</x:v>
      </x:c>
      <x:c r="K16" s="58">
        <x:v>86160</x:v>
      </x:c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SUM('1:25'!$C$16)</x:f>
        <x:v>161</x:v>
      </x:c>
      <x:c r="D17" s="173"/>
      <x:c r="E17" s="174"/>
      <x:c r="F17" s="180">
        <x:f>SUM('1:25'!$F$16)</x:f>
        <x:v>521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24</x:v>
      </x:c>
      <x:c r="D18" s="194" t="s">
        <x:v>67</x:v>
      </x:c>
      <x:c r="E18" s="195"/>
      <x:c r="F18" s="187">
        <x:v>11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SUM('1:25'!$C$18)</x:f>
        <x:v>962</x:v>
      </x:c>
      <x:c r="D19" s="173"/>
      <x:c r="E19" s="174"/>
      <x:c r="F19" s="180">
        <x:f>SUM('1:25'!$F$18)</x:f>
        <x:v>378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65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SUM('1:25'!$F$20)</x:f>
        <x:v>1616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2275778</x:v>
      </x:c>
      <x:c r="J23" s="61" t="s">
        <x:v>45</x:v>
      </x:c>
      <x:c r="K23" s="62">
        <x:f>SUM(K4:K22)</x:f>
        <x:v>100826.66666666667</x:v>
      </x:c>
      <x:c r="M23" s="89" t="s">
        <x:v>21</x:v>
      </x:c>
      <x:c r="N23" s="176">
        <x:f>C5+C6</x:f>
        <x:v>280000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0.4129144516011975</x:v>
      </x:c>
      <x:c r="J24" s="61" t="s">
        <x:v>110</x:v>
      </x:c>
      <x:c r="K24" s="63">
        <x:f>K23/A25</x:f>
        <x:v>0.018293870392210226</x:v>
      </x:c>
    </x:row>
    <x:row r="25" spans="1:11" ht="34.149999999999999" customHeight="1">
      <x:c r="A25" s="203">
        <x:f>C2</x:f>
        <x:v>5511500</x:v>
      </x:c>
      <x:c r="B25" s="169"/>
      <x:c r="C25" s="169">
        <x:f>E25/I1</x:f>
        <x:v>4589700</x:v>
      </x:c>
      <x:c r="D25" s="169"/>
      <x:c r="E25" s="169">
        <x:f>SUM('1:25'!$A$25)</x:f>
        <x:v>114742500</x:v>
      </x:c>
      <x:c r="F25" s="169"/>
      <x:c r="G25" s="169"/>
      <x:c r="H25" s="108" t="s">
        <x:v>129</x:v>
      </x:c>
      <x:c r="I25" s="109">
        <x:f>SUM('1:25'!$I$21)</x:f>
        <x:v>0</x:v>
      </x:c>
      <x:c r="J25" s="61" t="s">
        <x:v>129</x:v>
      </x:c>
      <x:c r="K25" s="62">
        <x:f>SUM('1:25'!$K$21)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782133.33333333337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0.14190934107472256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SUM('1:25'!$I$25)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 t="s">
        <x:v>81</x:v>
      </x:c>
      <x:c r="F30" s="201">
        <x:v>132000</x:v>
      </x:c>
      <x:c r="G30" s="202"/>
      <x:c r="H30" s="112" t="s">
        <x:v>50</x:v>
      </x:c>
      <x:c r="I30" s="114">
        <x:f>I29/$I$27</x:f>
        <x:v>105.44224684623252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abSelected="1" topLeftCell="A23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26</x:v>
      </x:c>
      <x:c r="G1" s="68" t="s">
        <x:v>79</x:v>
      </x:c>
      <x:c r="H1" s="52" t="s">
        <x:v>55</x:v>
      </x:c>
      <x:c r="I1" s="52">
        <x:f>F1-K1</x:f>
        <x:v>26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5011000</x:v>
      </x:c>
      <x:c r="D2" s="168"/>
      <x:c r="E2" s="171" t="s">
        <x:v>137</x:v>
      </x:c>
      <x:c r="F2" s="172"/>
      <x:c r="G2" s="160">
        <x:v>105850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3739000</x:v>
      </x:c>
      <x:c r="D4" s="155"/>
      <x:c r="E4" s="170" t="s">
        <x:v>2</x:v>
      </x:c>
      <x:c r="F4" s="170"/>
      <x:c r="G4" s="134">
        <x:f>INT(C4*0.0275)</x:f>
        <x:v>102822</x:v>
      </x:c>
      <x:c r="H4" s="54" t="s">
        <x:v>77</x:v>
      </x:c>
      <x:c r="I4" s="125">
        <x:f>904000</x:f>
        <x:v>904000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1272000</x:v>
      </x:c>
      <x:c r="D5" s="155"/>
      <x:c r="E5" s="154" t="s">
        <x:v>94</x:v>
      </x:c>
      <x:c r="F5" s="154"/>
      <x:c r="G5" s="134">
        <x:f>INT(C5*0.01)</x:f>
        <x:v>12720</x:v>
      </x:c>
      <x:c r="H5" s="54" t="s">
        <x:v>111</x:v>
      </x:c>
      <x:c r="I5" s="125">
        <x:f>48300+25600+40260+16320+17060+23650+36080+59312</x:f>
        <x:v>266582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1320000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57850</x:v>
      </x:c>
      <x:c r="D8" s="155"/>
      <x:c r="E8" s="194" t="s">
        <x:v>41</x:v>
      </x:c>
      <x:c r="F8" s="195"/>
      <x:c r="G8" s="185">
        <x:f>C5+G2-G6-C22</x:f>
        <x:v>57850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12</x:v>
      </x:c>
      <x:c r="D12" s="194" t="s">
        <x:v>60</x:v>
      </x:c>
      <x:c r="E12" s="195"/>
      <x:c r="F12" s="183">
        <x:v>24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SUM('1:26'!$C$12)</x:f>
        <x:v>386</x:v>
      </x:c>
      <x:c r="D13" s="173"/>
      <x:c r="E13" s="174"/>
      <x:c r="F13" s="181">
        <x:f>SUM('1:26'!$F$12)</x:f>
        <x:v>274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55</x:v>
      </x:c>
      <x:c r="D14" s="194" t="s">
        <x:v>29</x:v>
      </x:c>
      <x:c r="E14" s="195"/>
      <x:c r="F14" s="183">
        <x:v>45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SUM('1:26'!$C$14)</x:f>
        <x:v>1064</x:v>
      </x:c>
      <x:c r="D15" s="173"/>
      <x:c r="E15" s="174"/>
      <x:c r="F15" s="181">
        <x:f>SUM('1:26'!$F$14)</x:f>
        <x:v>478</x:v>
      </x:c>
      <x:c r="G15" s="182"/>
      <x:c r="H15" s="54" t="s">
        <x:v>44</x:v>
      </x:c>
      <x:c r="I15" s="58"/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2</x:v>
      </x:c>
      <x:c r="D16" s="194" t="s">
        <x:v>34</x:v>
      </x:c>
      <x:c r="E16" s="195"/>
      <x:c r="F16" s="179">
        <x:v>3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SUM('1:26'!$C$16)</x:f>
        <x:v>163</x:v>
      </x:c>
      <x:c r="D17" s="173"/>
      <x:c r="E17" s="174"/>
      <x:c r="F17" s="180">
        <x:f>SUM('1:26'!$F$16)</x:f>
        <x:v>524</x:v>
      </x:c>
      <x:c r="G17" s="180"/>
      <x:c r="H17" s="54" t="s">
        <x:v>109</x:v>
      </x:c>
      <x:c r="I17" s="58">
        <x:v>3200</x:v>
      </x:c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62</x:v>
      </x:c>
      <x:c r="D18" s="194" t="s">
        <x:v>67</x:v>
      </x:c>
      <x:c r="E18" s="195"/>
      <x:c r="F18" s="187">
        <x:v>11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SUM('1:26'!$C$18)</x:f>
        <x:v>1024</x:v>
      </x:c>
      <x:c r="D19" s="173"/>
      <x:c r="E19" s="174"/>
      <x:c r="F19" s="180">
        <x:f>SUM('1:26'!$F$18)</x:f>
        <x:v>389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66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SUM('1:26'!$F$20)</x:f>
        <x:v>1682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1173782</x:v>
      </x:c>
      <x:c r="J23" s="61" t="s">
        <x:v>45</x:v>
      </x:c>
      <x:c r="K23" s="62">
        <x:f>SUM(K4:K22)</x:f>
        <x:v>14666.666666666666</x:v>
      </x:c>
      <x:c r="M23" s="89" t="s">
        <x:v>21</x:v>
      </x:c>
      <x:c r="N23" s="176">
        <x:f>C5+C6</x:f>
        <x:v>1272000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0.2342410696467771</x:v>
      </x:c>
      <x:c r="J24" s="61" t="s">
        <x:v>110</x:v>
      </x:c>
      <x:c r="K24" s="63">
        <x:f>K23/A25</x:f>
        <x:v>0.0029268941661677642</x:v>
      </x:c>
    </x:row>
    <x:row r="25" spans="1:11" ht="34.149999999999999" customHeight="1">
      <x:c r="A25" s="203">
        <x:f>C2</x:f>
        <x:v>5011000</x:v>
      </x:c>
      <x:c r="B25" s="169"/>
      <x:c r="C25" s="355">
        <x:f>E25/I1</x:f>
        <x:v>4605903.846153846</x:v>
      </x:c>
      <x:c r="D25" s="169"/>
      <x:c r="E25" s="169">
        <x:f>SUM('1:26'!$A$25)</x:f>
        <x:v>119753500</x:v>
      </x:c>
      <x:c r="F25" s="169"/>
      <x:c r="G25" s="169"/>
      <x:c r="H25" s="108" t="s">
        <x:v>129</x:v>
      </x:c>
      <x:c r="I25" s="109">
        <x:f>SUM('1:26'!$I$21)</x:f>
        <x:v>0</x:v>
      </x:c>
      <x:c r="J25" s="61" t="s">
        <x:v>129</x:v>
      </x:c>
      <x:c r="K25" s="62">
        <x:f>SUM('1:26'!$K$21)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736833.33333333337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0.14704317168895098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SUM('1:26'!$I$25)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111.92476272336575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132000</x:v>
      </x:c>
      <x:c r="G31" s="202"/>
    </x:row>
    <x:row r="32" spans="1:4" customHeight="1">
      <x:c r="A32" s="316"/>
      <x:c r="B32" s="148" t="s">
        <x:v>90</x:v>
      </x:c>
      <x:c r="C32" s="199">
        <x:f>14000*4.5</x:f>
        <x:v>63000</x:v>
      </x:c>
      <x:c r="D32" s="200"/>
    </x:row>
    <x:row r="33" spans="1:4" customHeight="1">
      <x:c r="A33" s="316"/>
      <x:c r="B33" s="148" t="s">
        <x:v>78</x:v>
      </x:c>
      <x:c r="C33" s="199">
        <x:f>11700*5</x:f>
        <x:v>58500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abSelected="1" topLeftCell="A25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27</x:v>
      </x:c>
      <x:c r="G1" s="68" t="s">
        <x:v>76</x:v>
      </x:c>
      <x:c r="H1" s="52" t="s">
        <x:v>55</x:v>
      </x:c>
      <x:c r="I1" s="52">
        <x:f>F1-K1</x:f>
        <x:v>27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3593000</x:v>
      </x:c>
      <x:c r="D2" s="168"/>
      <x:c r="E2" s="171" t="s">
        <x:v>137</x:v>
      </x:c>
      <x:c r="F2" s="172"/>
      <x:c r="G2" s="160">
        <x:v>57850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2732000</x:v>
      </x:c>
      <x:c r="D4" s="155"/>
      <x:c r="E4" s="170" t="s">
        <x:v>2</x:v>
      </x:c>
      <x:c r="F4" s="170"/>
      <x:c r="G4" s="134">
        <x:f>INT(C4*0.0275)</x:f>
        <x:v>75130</x:v>
      </x:c>
      <x:c r="H4" s="54" t="s">
        <x:v>77</x:v>
      </x:c>
      <x:c r="I4" s="125"/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861000</x:v>
      </x:c>
      <x:c r="D5" s="155"/>
      <x:c r="E5" s="154" t="s">
        <x:v>94</x:v>
      </x:c>
      <x:c r="F5" s="154"/>
      <x:c r="G5" s="134">
        <x:f>INT(C5*0.01)</x:f>
        <x:v>8610</x:v>
      </x:c>
      <x:c r="H5" s="54" t="s">
        <x:v>111</x:v>
      </x:c>
      <x:c r="I5" s="125"/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800000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/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118850</x:v>
      </x:c>
      <x:c r="D8" s="155"/>
      <x:c r="E8" s="194" t="s">
        <x:v>41</x:v>
      </x:c>
      <x:c r="F8" s="195"/>
      <x:c r="G8" s="185">
        <x:f>C5+G2-G6-C22</x:f>
        <x:v>118850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>
        <x:v>50000</x:v>
      </x:c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 t="s">
        <x:v>157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19</x:v>
      </x:c>
      <x:c r="D12" s="194" t="s">
        <x:v>60</x:v>
      </x:c>
      <x:c r="E12" s="195"/>
      <x:c r="F12" s="183">
        <x:v>9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SUM('1:27'!$C$12)</x:f>
        <x:v>405</x:v>
      </x:c>
      <x:c r="D13" s="173"/>
      <x:c r="E13" s="174"/>
      <x:c r="F13" s="181">
        <x:f>SUM('1:27'!$F$12)</x:f>
        <x:v>283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37</x:v>
      </x:c>
      <x:c r="D14" s="194" t="s">
        <x:v>29</x:v>
      </x:c>
      <x:c r="E14" s="195"/>
      <x:c r="F14" s="183">
        <x:v>22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SUM('1:27'!$C$14)</x:f>
        <x:v>1101</x:v>
      </x:c>
      <x:c r="D15" s="173"/>
      <x:c r="E15" s="174"/>
      <x:c r="F15" s="181">
        <x:f>SUM('1:27'!$F$14)</x:f>
        <x:v>500</x:v>
      </x:c>
      <x:c r="G15" s="182"/>
      <x:c r="H15" s="54" t="s">
        <x:v>44</x:v>
      </x:c>
      <x:c r="I15" s="58"/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1</x:v>
      </x:c>
      <x:c r="D16" s="194" t="s">
        <x:v>34</x:v>
      </x:c>
      <x:c r="E16" s="195"/>
      <x:c r="F16" s="179">
        <x:v>0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SUM('1:27'!$C$16)</x:f>
        <x:v>164</x:v>
      </x:c>
      <x:c r="D17" s="173"/>
      <x:c r="E17" s="174"/>
      <x:c r="F17" s="180">
        <x:f>SUM('1:27'!$F$16)</x:f>
        <x:v>524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44</x:v>
      </x:c>
      <x:c r="D18" s="194" t="s">
        <x:v>67</x:v>
      </x:c>
      <x:c r="E18" s="195"/>
      <x:c r="F18" s="187">
        <x:v>8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SUM('1:27'!$C$18)</x:f>
        <x:v>1068</x:v>
      </x:c>
      <x:c r="D19" s="173"/>
      <x:c r="E19" s="174"/>
      <x:c r="F19" s="180">
        <x:f>SUM('1:27'!$F$18)</x:f>
        <x:v>397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64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SUM('1:27'!$F$20)</x:f>
        <x:v>1746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0</x:v>
      </x:c>
      <x:c r="J23" s="61" t="s">
        <x:v>45</x:v>
      </x:c>
      <x:c r="K23" s="62">
        <x:f>SUM(K4:K22)</x:f>
        <x:v>14666.666666666666</x:v>
      </x:c>
      <x:c r="M23" s="89" t="s">
        <x:v>21</x:v>
      </x:c>
      <x:c r="N23" s="176">
        <x:f>C5+C6</x:f>
        <x:v>861000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</x:v>
      </x:c>
      <x:c r="J24" s="61" t="s">
        <x:v>110</x:v>
      </x:c>
      <x:c r="K24" s="63">
        <x:f>K23/A25</x:f>
        <x:v>0.0040820113183041096</x:v>
      </x:c>
    </x:row>
    <x:row r="25" spans="1:11" ht="34.149999999999999" customHeight="1">
      <x:c r="A25" s="203">
        <x:f>C2</x:f>
        <x:v>3593000</x:v>
      </x:c>
      <x:c r="B25" s="169"/>
      <x:c r="C25" s="169">
        <x:f>E25/I1</x:f>
        <x:v>4568388.888888889</x:v>
      </x:c>
      <x:c r="D25" s="169"/>
      <x:c r="E25" s="169">
        <x:f>SUM('1:27'!$A$25)</x:f>
        <x:v>123346500</x:v>
      </x:c>
      <x:c r="F25" s="169"/>
      <x:c r="G25" s="169"/>
      <x:c r="H25" s="108" t="s">
        <x:v>129</x:v>
      </x:c>
      <x:c r="I25" s="109">
        <x:f>SUM('1:27'!$I$21)</x:f>
        <x:v>0</x:v>
      </x:c>
      <x:c r="J25" s="61" t="s">
        <x:v>129</x:v>
      </x:c>
      <x:c r="K25" s="62">
        <x:f>SUM('1:27'!$K$21)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793333.33333333337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0.22079970312644959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SUM('1:27'!$I$25)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/>
      <x:c r="F30" s="201"/>
      <x:c r="G30" s="202"/>
      <x:c r="H30" s="112" t="s">
        <x:v>50</x:v>
      </x:c>
      <x:c r="I30" s="114">
        <x:f>I29/$I$27</x:f>
        <x:v>103.95365042016806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130000</x:v>
      </x:c>
      <x:c r="G31" s="202"/>
    </x:row>
    <x:row r="32" spans="1:4" customHeight="1">
      <x:c r="A32" s="316"/>
      <x:c r="B32" s="148" t="s">
        <x:v>90</x:v>
      </x:c>
      <x:c r="C32" s="199">
        <x:f>14000*4.5</x:f>
        <x:v>63000</x:v>
      </x:c>
      <x:c r="D32" s="200"/>
    </x:row>
    <x:row r="33" spans="1:4" customHeight="1">
      <x:c r="A33" s="316"/>
      <x:c r="B33" s="148" t="s">
        <x:v>78</x:v>
      </x:c>
      <x:c r="C33" s="199">
        <x:f>11700*10</x:f>
        <x:v>117000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abSelected="1" topLeftCell="A14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28</x:v>
      </x:c>
      <x:c r="G1" s="68" t="s">
        <x:v>154</x:v>
      </x:c>
      <x:c r="H1" s="52" t="s">
        <x:v>55</x:v>
      </x:c>
      <x:c r="I1" s="52">
        <x:f>F1-K1</x:f>
        <x:v>28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4898000</x:v>
      </x:c>
      <x:c r="D2" s="168"/>
      <x:c r="E2" s="171" t="s">
        <x:v>137</x:v>
      </x:c>
      <x:c r="F2" s="172"/>
      <x:c r="G2" s="160">
        <x:v>118850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3875000</x:v>
      </x:c>
      <x:c r="D4" s="155"/>
      <x:c r="E4" s="170" t="s">
        <x:v>2</x:v>
      </x:c>
      <x:c r="F4" s="170"/>
      <x:c r="G4" s="134">
        <x:f>INT(C4*0.0275)</x:f>
        <x:v>106562</x:v>
      </x:c>
      <x:c r="H4" s="54" t="s">
        <x:v>77</x:v>
      </x:c>
      <x:c r="I4" s="125">
        <x:f>560976+346209+347944+432000+477600</x:f>
        <x:v>2164729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1023000</x:v>
      </x:c>
      <x:c r="D5" s="155"/>
      <x:c r="E5" s="154" t="s">
        <x:v>94</x:v>
      </x:c>
      <x:c r="F5" s="154"/>
      <x:c r="G5" s="134">
        <x:f>INT(C5*0.01)</x:f>
        <x:v>10230</x:v>
      </x:c>
      <x:c r="H5" s="54" t="s">
        <x:v>111</x:v>
      </x:c>
      <x:c r="I5" s="125">
        <x:f>48300+59312+72160+7790+30300+34300</x:f>
        <x:v>252162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1000000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v>256700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144850</x:v>
      </x:c>
      <x:c r="D8" s="155"/>
      <x:c r="E8" s="194" t="s">
        <x:v>41</x:v>
      </x:c>
      <x:c r="F8" s="195"/>
      <x:c r="G8" s="185">
        <x:f>C5+G2-G6-C22</x:f>
        <x:v>141850</x:v>
      </x:c>
      <x:c r="H8" s="54" t="s">
        <x:v>135</x:v>
      </x:c>
      <x:c r="I8" s="125"/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/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>
        <x:v>6000</x:v>
      </x:c>
    </x:row>
    <x:row r="11" spans="1:11" ht="33" customHeight="1">
      <x:c r="A11" s="153" t="s">
        <x:v>35</x:v>
      </x:c>
      <x:c r="B11" s="154"/>
      <x:c r="C11" s="189"/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18</x:v>
      </x:c>
      <x:c r="D12" s="194" t="s">
        <x:v>60</x:v>
      </x:c>
      <x:c r="E12" s="195"/>
      <x:c r="F12" s="183">
        <x:v>11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SUM('1:28'!$C$12)</x:f>
        <x:v>423</x:v>
      </x:c>
      <x:c r="D13" s="173"/>
      <x:c r="E13" s="174"/>
      <x:c r="F13" s="181">
        <x:f>SUM('1:28'!$F$12)</x:f>
        <x:v>294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40</x:v>
      </x:c>
      <x:c r="D14" s="194" t="s">
        <x:v>29</x:v>
      </x:c>
      <x:c r="E14" s="195"/>
      <x:c r="F14" s="183">
        <x:v>9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SUM('1:28'!$C$14)</x:f>
        <x:v>1141</x:v>
      </x:c>
      <x:c r="D15" s="173"/>
      <x:c r="E15" s="174"/>
      <x:c r="F15" s="181">
        <x:f>SUM('1:28'!$F$14)</x:f>
        <x:v>509</x:v>
      </x:c>
      <x:c r="G15" s="182"/>
      <x:c r="H15" s="54" t="s">
        <x:v>44</x:v>
      </x:c>
      <x:c r="I15" s="58">
        <x:f>3200+2200+11800+19500+5500+6200+1200+4500+4500+7800+13500+1700+6600+13000</x:f>
        <x:v>101200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6</x:v>
      </x:c>
      <x:c r="D16" s="194" t="s">
        <x:v>34</x:v>
      </x:c>
      <x:c r="E16" s="195"/>
      <x:c r="F16" s="179">
        <x:v>26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SUM('1:28'!$C$16)</x:f>
        <x:v>170</x:v>
      </x:c>
      <x:c r="D17" s="173"/>
      <x:c r="E17" s="174"/>
      <x:c r="F17" s="180">
        <x:f>SUM('1:28'!$F$16)</x:f>
        <x:v>550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47</x:v>
      </x:c>
      <x:c r="D18" s="194" t="s">
        <x:v>67</x:v>
      </x:c>
      <x:c r="E18" s="195"/>
      <x:c r="F18" s="187">
        <x:v>17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SUM('1:28'!$C$18)</x:f>
        <x:v>1115</x:v>
      </x:c>
      <x:c r="D19" s="173"/>
      <x:c r="E19" s="174"/>
      <x:c r="F19" s="180">
        <x:f>SUM('1:28'!$F$18)</x:f>
        <x:v>414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61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SUM('1:28'!$F$20)</x:f>
        <x:v>1807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2774791</x:v>
      </x:c>
      <x:c r="J23" s="61" t="s">
        <x:v>45</x:v>
      </x:c>
      <x:c r="K23" s="62">
        <x:f>SUM(K4:K22)</x:f>
        <x:v>20666.666666666664</x:v>
      </x:c>
      <x:c r="M23" s="89" t="s">
        <x:v>21</x:v>
      </x:c>
      <x:c r="N23" s="176">
        <x:f>C5+C6</x:f>
        <x:v>1023000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0.56651510820743156</x:v>
      </x:c>
      <x:c r="J24" s="61" t="s">
        <x:v>110</x:v>
      </x:c>
      <x:c r="K24" s="63">
        <x:f>K23/A25</x:f>
        <x:v>0.0042194092827004216</x:v>
      </x:c>
    </x:row>
    <x:row r="25" spans="1:11" ht="34.149999999999999" customHeight="1">
      <x:c r="A25" s="203">
        <x:f>C2</x:f>
        <x:v>4898000</x:v>
      </x:c>
      <x:c r="B25" s="169"/>
      <x:c r="C25" s="169">
        <x:f>E25/I1</x:f>
        <x:v>4580160.7142857146</x:v>
      </x:c>
      <x:c r="D25" s="169"/>
      <x:c r="E25" s="169">
        <x:f>SUM('1:28'!$A$25)</x:f>
        <x:v>128244500</x:v>
      </x:c>
      <x:c r="F25" s="169"/>
      <x:c r="G25" s="169"/>
      <x:c r="H25" s="108" t="s">
        <x:v>129</x:v>
      </x:c>
      <x:c r="I25" s="109">
        <x:f>SUM('1:28'!$I$21)</x:f>
        <x:v>0</x:v>
      </x:c>
      <x:c r="J25" s="61" t="s">
        <x:v>129</x:v>
      </x:c>
      <x:c r="K25" s="62">
        <x:f>SUM('1:28'!$K$21)</x:f>
        <x:v>0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925833.33333333337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0.18902273036613584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 t="s">
        <x:v>81</x:v>
      </x:c>
      <x:c r="F29" s="155">
        <x:v>132000</x:v>
      </x:c>
      <x:c r="G29" s="155"/>
      <x:c r="H29" s="112" t="s">
        <x:v>129</x:v>
      </x:c>
      <x:c r="I29" s="113">
        <x:f>SUM('1:28'!$I$25)</x:f>
        <x:v>82469896</x:v>
      </x:c>
      <x:c r="M29" s="66"/>
    </x:row>
    <x:row r="30" spans="1:13" ht="30.949999999999999" customHeight="1">
      <x:c r="A30" s="316"/>
      <x:c r="B30" s="54"/>
      <x:c r="C30" s="169"/>
      <x:c r="D30" s="169"/>
      <x:c r="E30" s="55" t="s">
        <x:v>81</x:v>
      </x:c>
      <x:c r="F30" s="201">
        <x:v>132000</x:v>
      </x:c>
      <x:c r="G30" s="202"/>
      <x:c r="H30" s="112" t="s">
        <x:v>50</x:v>
      </x:c>
      <x:c r="I30" s="114">
        <x:f>I29/$I$27</x:f>
        <x:v>89.076395319531954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11700*5</x:f>
        <x:v>58500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abSelected="1" topLeftCell="A25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29</x:v>
      </x:c>
      <x:c r="G1" s="68" t="s">
        <x:v>150</x:v>
      </x:c>
      <x:c r="H1" s="52" t="s">
        <x:v>55</x:v>
      </x:c>
      <x:c r="I1" s="52">
        <x:f>F1-K1</x:f>
        <x:v>29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3667000</x:v>
      </x:c>
      <x:c r="D2" s="168"/>
      <x:c r="E2" s="171" t="s">
        <x:v>137</x:v>
      </x:c>
      <x:c r="F2" s="172"/>
      <x:c r="G2" s="160">
        <x:v>144850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3248000</x:v>
      </x:c>
      <x:c r="D4" s="155"/>
      <x:c r="E4" s="170" t="s">
        <x:v>2</x:v>
      </x:c>
      <x:c r="F4" s="170"/>
      <x:c r="G4" s="134">
        <x:f>INT(C4*0.0275)</x:f>
        <x:v>89320</x:v>
      </x:c>
      <x:c r="H4" s="54" t="s">
        <x:v>77</x:v>
      </x:c>
      <x:c r="I4" s="125">
        <x:f>452000+199800+208010+275964+162188</x:f>
        <x:v>1297962</x:v>
      </x:c>
      <x:c r="J4" s="82" t="s">
        <x:v>133</x:v>
      </x:c>
      <x:c r="K4" s="58"/>
    </x:row>
    <x:row r="5" spans="1:11" ht="30.949999999999999" customHeight="1">
      <x:c r="A5" s="162" t="s">
        <x:v>152</x:v>
      </x:c>
      <x:c r="B5" s="163"/>
      <x:c r="C5" s="155">
        <x:v>419000</x:v>
      </x:c>
      <x:c r="D5" s="155"/>
      <x:c r="E5" s="154" t="s">
        <x:v>94</x:v>
      </x:c>
      <x:c r="F5" s="154"/>
      <x:c r="G5" s="134">
        <x:f>INT(C5*0.01)</x:f>
        <x:v>4190</x:v>
      </x:c>
      <x:c r="H5" s="54" t="s">
        <x:v>111</x:v>
      </x:c>
      <x:c r="I5" s="125"/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450000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v>187800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113850</x:v>
      </x:c>
      <x:c r="D8" s="155"/>
      <x:c r="E8" s="194" t="s">
        <x:v>41</x:v>
      </x:c>
      <x:c r="F8" s="195"/>
      <x:c r="G8" s="185">
        <x:f>C5+G2-G6-C22</x:f>
        <x:v>113850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>
        <x:v>335000</x:v>
      </x:c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 t="s">
        <x:v>88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11</x:v>
      </x:c>
      <x:c r="D12" s="194" t="s">
        <x:v>60</x:v>
      </x:c>
      <x:c r="E12" s="195"/>
      <x:c r="F12" s="183">
        <x:v>1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SUM('1:29'!$C$12)</x:f>
        <x:v>434</x:v>
      </x:c>
      <x:c r="D13" s="173"/>
      <x:c r="E13" s="174"/>
      <x:c r="F13" s="181">
        <x:f>SUM('1:29'!$F$12)</x:f>
        <x:v>295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45</x:v>
      </x:c>
      <x:c r="D14" s="194" t="s">
        <x:v>29</x:v>
      </x:c>
      <x:c r="E14" s="195"/>
      <x:c r="F14" s="183">
        <x:v>5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SUM('1:29'!$C$14)</x:f>
        <x:v>1186</x:v>
      </x:c>
      <x:c r="D15" s="173"/>
      <x:c r="E15" s="174"/>
      <x:c r="F15" s="181">
        <x:f>SUM('1:29'!$F$14)</x:f>
        <x:v>514</x:v>
      </x:c>
      <x:c r="G15" s="182"/>
      <x:c r="H15" s="54" t="s">
        <x:v>44</x:v>
      </x:c>
      <x:c r="I15" s="58">
        <x:f>3500+65000+11800+9800+28500+19200+8500</x:f>
        <x:v>146300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9</x:v>
      </x:c>
      <x:c r="D16" s="194" t="s">
        <x:v>34</x:v>
      </x:c>
      <x:c r="E16" s="195"/>
      <x:c r="F16" s="179">
        <x:v>17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SUM('1:29'!$C$16)</x:f>
        <x:v>179</x:v>
      </x:c>
      <x:c r="D17" s="173"/>
      <x:c r="E17" s="174"/>
      <x:c r="F17" s="180">
        <x:f>SUM('1:29'!$F$16)</x:f>
        <x:v>567</x:v>
      </x:c>
      <x:c r="G17" s="180"/>
      <x:c r="H17" s="54" t="s">
        <x:v>109</x:v>
      </x:c>
      <x:c r="I17" s="58"/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27</x:v>
      </x:c>
      <x:c r="D18" s="194" t="s">
        <x:v>67</x:v>
      </x:c>
      <x:c r="E18" s="195"/>
      <x:c r="F18" s="187">
        <x:v>18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SUM('1:29'!$C$18)</x:f>
        <x:v>1142</x:v>
      </x:c>
      <x:c r="D19" s="173"/>
      <x:c r="E19" s="174"/>
      <x:c r="F19" s="180">
        <x:f>SUM('1:29'!$F$18)</x:f>
        <x:v>432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52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SUM('1:29'!$F$20)</x:f>
        <x:v>1859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1688062</x:v>
      </x:c>
      <x:c r="J23" s="61" t="s">
        <x:v>45</x:v>
      </x:c>
      <x:c r="K23" s="62">
        <x:f>SUM(K4:K22)</x:f>
        <x:v>14666.666666666666</x:v>
      </x:c>
      <x:c r="M23" s="89" t="s">
        <x:v>21</x:v>
      </x:c>
      <x:c r="N23" s="176">
        <x:f>C5+C6</x:f>
        <x:v>419000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0.46033869648213799</x:v>
      </x:c>
      <x:c r="J24" s="61" t="s">
        <x:v>110</x:v>
      </x:c>
      <x:c r="K24" s="63">
        <x:f>K23/A25</x:f>
        <x:v>0.0039996363966912094</x:v>
      </x:c>
    </x:row>
    <x:row r="25" spans="1:11" ht="34.149999999999999" customHeight="1">
      <x:c r="A25" s="203">
        <x:f>C2</x:f>
        <x:v>3667000</x:v>
      </x:c>
      <x:c r="B25" s="169"/>
      <x:c r="C25" s="169">
        <x:f>E25/I1</x:f>
        <x:v>4548672.4137931038</x:v>
      </x:c>
      <x:c r="D25" s="169"/>
      <x:c r="E25" s="169">
        <x:f>SUM('1:29'!$A$25)</x:f>
        <x:v>131911500</x:v>
      </x:c>
      <x:c r="F25" s="169"/>
      <x:c r="G25" s="169"/>
      <x:c r="H25" s="108" t="s">
        <x:v>129</x:v>
      </x:c>
      <x:c r="I25" s="109">
        <x:f>SUM('1:29'!$I$21)</x:f>
        <x:v>0</x:v>
      </x:c>
      <x:c r="J25" s="61" t="s">
        <x:v>129</x:v>
      </x:c>
      <x:c r="K25" s="62">
        <x:f>SUM('1:29'!$K$23)</x:f>
        <x:v>3739097.3333333321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</x:v>
      </x:c>
      <x:c r="J26" s="64" t="s">
        <x:v>50</x:v>
      </x:c>
      <x:c r="K26" s="65">
        <x:f>K25/$E$25</x:f>
        <x:v>0.028345499318356112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735333.33333333337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0.20052722479774568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SUM('1:29'!$I$27)</x:f>
        <x:v>20035267</x:v>
      </x:c>
      <x:c r="M29" s="66"/>
    </x:row>
    <x:row r="30" spans="1:13" ht="30.949999999999999" customHeight="1">
      <x:c r="A30" s="316"/>
      <x:c r="B30" s="54"/>
      <x:c r="C30" s="169"/>
      <x:c r="D30" s="169"/>
      <x:c r="E30" s="55" t="s">
        <x:v>81</x:v>
      </x:c>
      <x:c r="F30" s="201">
        <x:v>132000</x:v>
      </x:c>
      <x:c r="G30" s="202"/>
      <x:c r="H30" s="112" t="s">
        <x:v>50</x:v>
      </x:c>
      <x:c r="I30" s="114">
        <x:f>I29/$I$27</x:f>
        <x:v>27.246509972801448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v>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abSelected="1" topLeftCell="A8" zoomScale="85" zoomScaleNormal="85" zoomScaleSheetLayoutView="75" workbookViewId="0">
      <x:selection activeCell="I18" activeCellId="0" sqref="I18:I1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37</x:v>
      </x:c>
      <x:c r="D1" s="68"/>
      <x:c r="E1" s="68">
        <x:v>4</x:v>
      </x:c>
      <x:c r="F1" s="68">
        <x:v>30</x:v>
      </x:c>
      <x:c r="G1" s="68" t="s">
        <x:v>80</x:v>
      </x:c>
      <x:c r="H1" s="52" t="s">
        <x:v>55</x:v>
      </x:c>
      <x:c r="I1" s="52">
        <x:f>F1-K1</x:f>
        <x:v>30</x:v>
      </x:c>
      <x:c r="J1" s="52" t="s">
        <x:v>18</x:v>
      </x:c>
      <x:c r="K1" s="52"/>
    </x:row>
    <x:row r="2" spans="1:11" ht="20.100000000000001" customHeight="1">
      <x:c r="A2" s="164" t="s">
        <x:v>112</x:v>
      </x:c>
      <x:c r="B2" s="165"/>
      <x:c r="C2" s="168">
        <x:f>SUM(C4:D7)</x:f>
        <x:v>4420500</x:v>
      </x:c>
      <x:c r="D2" s="168"/>
      <x:c r="E2" s="171" t="s">
        <x:v>137</x:v>
      </x:c>
      <x:c r="F2" s="172"/>
      <x:c r="G2" s="160">
        <x:v>113850</x:v>
      </x:c>
      <x:c r="H2" s="158" t="s">
        <x:v>111</x:v>
      </x:c>
      <x:c r="I2" s="159"/>
      <x:c r="J2" s="156" t="s">
        <x:v>101</x:v>
      </x:c>
      <x:c r="K2" s="157"/>
    </x:row>
    <x:row r="3" spans="1:11" ht="20.100000000000001" customHeight="1">
      <x:c r="A3" s="166"/>
      <x:c r="B3" s="167"/>
      <x:c r="C3" s="169"/>
      <x:c r="D3" s="169"/>
      <x:c r="E3" s="173"/>
      <x:c r="F3" s="174"/>
      <x:c r="G3" s="161"/>
      <x:c r="H3" s="54" t="s">
        <x:v>89</x:v>
      </x:c>
      <x:c r="I3" s="56" t="s">
        <x:v>131</x:v>
      </x:c>
      <x:c r="J3" s="57" t="s">
        <x:v>89</x:v>
      </x:c>
      <x:c r="K3" s="56" t="s">
        <x:v>131</x:v>
      </x:c>
    </x:row>
    <x:row r="4" spans="1:11" ht="30.949999999999999" customHeight="1">
      <x:c r="A4" s="162" t="s">
        <x:v>87</x:v>
      </x:c>
      <x:c r="B4" s="163"/>
      <x:c r="C4" s="155">
        <x:v>3862500</x:v>
      </x:c>
      <x:c r="D4" s="155"/>
      <x:c r="E4" s="170" t="s">
        <x:v>2</x:v>
      </x:c>
      <x:c r="F4" s="170"/>
      <x:c r="G4" s="134">
        <x:f>INT(C4*0.0275)</x:f>
        <x:v>106218</x:v>
      </x:c>
      <x:c r="H4" s="54" t="s">
        <x:v>77</x:v>
      </x:c>
      <x:c r="I4" s="125"/>
      <x:c r="J4" s="82" t="s">
        <x:v>133</x:v>
      </x:c>
      <x:c r="K4" s="58">
        <x:f>84000+133000</x:f>
        <x:v>217000</x:v>
      </x:c>
    </x:row>
    <x:row r="5" spans="1:11" ht="30.949999999999999" customHeight="1">
      <x:c r="A5" s="162" t="s">
        <x:v>152</x:v>
      </x:c>
      <x:c r="B5" s="163"/>
      <x:c r="C5" s="155">
        <x:v>558000</x:v>
      </x:c>
      <x:c r="D5" s="155"/>
      <x:c r="E5" s="154" t="s">
        <x:v>94</x:v>
      </x:c>
      <x:c r="F5" s="154"/>
      <x:c r="G5" s="134">
        <x:f>INT(C5*0.01)</x:f>
        <x:v>5580</x:v>
      </x:c>
      <x:c r="H5" s="54" t="s">
        <x:v>111</x:v>
      </x:c>
      <x:c r="I5" s="125">
        <x:v>260966</x:v>
      </x:c>
      <x:c r="J5" s="82"/>
      <x:c r="K5" s="58"/>
    </x:row>
    <x:row r="6" spans="1:11" ht="21.949999999999999" customHeight="1">
      <x:c r="A6" s="149" t="s">
        <x:v>16</x:v>
      </x:c>
      <x:c r="B6" s="150"/>
      <x:c r="C6" s="190"/>
      <x:c r="D6" s="191"/>
      <x:c r="E6" s="194" t="s">
        <x:v>68</x:v>
      </x:c>
      <x:c r="F6" s="195"/>
      <x:c r="G6" s="175">
        <x:v>600000</x:v>
      </x:c>
      <x:c r="H6" s="54"/>
      <x:c r="I6" s="125"/>
      <x:c r="J6" s="82" t="s">
        <x:v>46</x:v>
      </x:c>
      <x:c r="K6" s="58"/>
    </x:row>
    <x:row r="7" spans="1:11" ht="21.949999999999999" customHeight="1">
      <x:c r="A7" s="151"/>
      <x:c r="B7" s="152"/>
      <x:c r="C7" s="192"/>
      <x:c r="D7" s="193"/>
      <x:c r="E7" s="173"/>
      <x:c r="F7" s="174"/>
      <x:c r="G7" s="161"/>
      <x:c r="H7" s="54" t="s">
        <x:v>86</x:v>
      </x:c>
      <x:c r="I7" s="125">
        <x:v>1202000</x:v>
      </x:c>
      <x:c r="J7" s="82" t="s">
        <x:v>54</x:v>
      </x:c>
      <x:c r="K7" s="58"/>
    </x:row>
    <x:row r="8" spans="1:11" ht="21.949999999999999" customHeight="1">
      <x:c r="A8" s="153" t="s">
        <x:v>64</x:v>
      </x:c>
      <x:c r="B8" s="154"/>
      <x:c r="C8" s="155">
        <x:v>71850</x:v>
      </x:c>
      <x:c r="D8" s="155"/>
      <x:c r="E8" s="194" t="s">
        <x:v>41</x:v>
      </x:c>
      <x:c r="F8" s="195"/>
      <x:c r="G8" s="185">
        <x:f>C5+G2-G6-C22</x:f>
        <x:v>71850</x:v>
      </x:c>
      <x:c r="H8" s="54" t="s">
        <x:v>135</x:v>
      </x:c>
      <x:c r="I8" s="125">
        <x:v>56000</x:v>
      </x:c>
      <x:c r="J8" s="82"/>
      <x:c r="K8" s="58"/>
    </x:row>
    <x:row r="9" spans="1:11" ht="21.949999999999999" customHeight="1">
      <x:c r="A9" s="153"/>
      <x:c r="B9" s="154"/>
      <x:c r="C9" s="155"/>
      <x:c r="D9" s="155"/>
      <x:c r="E9" s="173"/>
      <x:c r="F9" s="174"/>
      <x:c r="G9" s="186"/>
      <x:c r="H9" s="54"/>
      <x:c r="I9" s="125"/>
      <x:c r="J9" s="54" t="s">
        <x:v>116</x:v>
      </x:c>
      <x:c r="K9" s="58"/>
    </x:row>
    <x:row r="10" spans="1:11" ht="30.949999999999999" customHeight="1">
      <x:c r="A10" s="153" t="s">
        <x:v>4</x:v>
      </x:c>
      <x:c r="B10" s="154"/>
      <x:c r="C10" s="155">
        <x:v>125000</x:v>
      </x:c>
      <x:c r="D10" s="155"/>
      <x:c r="E10" s="154" t="s">
        <x:v>9</x:v>
      </x:c>
      <x:c r="F10" s="154"/>
      <x:c r="G10" s="55"/>
      <x:c r="H10" s="54"/>
      <x:c r="I10" s="125"/>
      <x:c r="J10" s="54" t="s">
        <x:v>143</x:v>
      </x:c>
      <x:c r="K10" s="58"/>
    </x:row>
    <x:row r="11" spans="1:11" ht="33" customHeight="1">
      <x:c r="A11" s="153" t="s">
        <x:v>35</x:v>
      </x:c>
      <x:c r="B11" s="154"/>
      <x:c r="C11" s="189" t="s">
        <x:v>88</x:v>
      </x:c>
      <x:c r="D11" s="189"/>
      <x:c r="E11" s="189"/>
      <x:c r="F11" s="189"/>
      <x:c r="G11" s="189"/>
      <x:c r="H11" s="54" t="s">
        <x:v>148</x:v>
      </x:c>
      <x:c r="I11" s="58"/>
      <x:c r="J11" s="54" t="s">
        <x:v>10</x:v>
      </x:c>
      <x:c r="K11" s="136">
        <x:f>440000/30</x:f>
        <x:v>14666.666666666666</x:v>
      </x:c>
    </x:row>
    <x:row r="12" spans="1:13" ht="21.949999999999999" customHeight="1">
      <x:c r="A12" s="59" t="s">
        <x:v>125</x:v>
      </x:c>
      <x:c r="B12" s="207" t="s">
        <x:v>144</x:v>
      </x:c>
      <x:c r="C12" s="80">
        <x:v>17</x:v>
      </x:c>
      <x:c r="D12" s="194" t="s">
        <x:v>60</x:v>
      </x:c>
      <x:c r="E12" s="195"/>
      <x:c r="F12" s="183">
        <x:v>7</x:v>
      </x:c>
      <x:c r="G12" s="184"/>
      <x:c r="H12" s="54" t="s">
        <x:v>42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30</x:v>
      </x:c>
      <x:c r="B13" s="208"/>
      <x:c r="C13" s="135">
        <x:f>SUM('1:30'!$C$12)</x:f>
        <x:v>451</x:v>
      </x:c>
      <x:c r="D13" s="173"/>
      <x:c r="E13" s="174"/>
      <x:c r="F13" s="181">
        <x:f>SUM('1:30'!$F$12)</x:f>
        <x:v>302</x:v>
      </x:c>
      <x:c r="G13" s="182"/>
      <x:c r="H13" s="54" t="s">
        <x:v>39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125</x:v>
      </x:c>
      <x:c r="B14" s="207" t="s">
        <x:v>83</x:v>
      </x:c>
      <x:c r="C14" s="80">
        <x:v>21</x:v>
      </x:c>
      <x:c r="D14" s="194" t="s">
        <x:v>29</x:v>
      </x:c>
      <x:c r="E14" s="195"/>
      <x:c r="F14" s="183">
        <x:v>19</x:v>
      </x:c>
      <x:c r="G14" s="184"/>
      <x:c r="H14" s="54" t="s">
        <x:v>47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30</x:v>
      </x:c>
      <x:c r="B15" s="208"/>
      <x:c r="C15" s="135">
        <x:f>SUM('1:30'!$C$14)</x:f>
        <x:v>1207</x:v>
      </x:c>
      <x:c r="D15" s="173"/>
      <x:c r="E15" s="174"/>
      <x:c r="F15" s="181">
        <x:f>SUM('1:30'!$F$14)</x:f>
        <x:v>533</x:v>
      </x:c>
      <x:c r="G15" s="182"/>
      <x:c r="H15" s="54" t="s">
        <x:v>44</x:v>
      </x:c>
      <x:c r="I15" s="58">
        <x:v>179000</x:v>
      </x:c>
      <x:c r="J15" s="54" t="s">
        <x:v>101</x:v>
      </x:c>
      <x:c r="K15" s="58"/>
      <x:c r="L15" s="60"/>
      <x:c r="M15" s="11"/>
    </x:row>
    <x:row r="16" spans="1:13" ht="21.949999999999999" customHeight="1">
      <x:c r="A16" s="59" t="s">
        <x:v>125</x:v>
      </x:c>
      <x:c r="B16" s="207" t="s">
        <x:v>123</x:v>
      </x:c>
      <x:c r="C16" s="80">
        <x:v>10</x:v>
      </x:c>
      <x:c r="D16" s="194" t="s">
        <x:v>34</x:v>
      </x:c>
      <x:c r="E16" s="195"/>
      <x:c r="F16" s="179">
        <x:v>22</x:v>
      </x:c>
      <x:c r="G16" s="179"/>
      <x:c r="H16" s="54"/>
      <x:c r="I16" s="58"/>
      <x:c r="J16" s="54" t="s">
        <x:v>19</x:v>
      </x:c>
      <x:c r="K16" s="58"/>
      <x:c r="L16" s="60"/>
      <x:c r="M16" s="11"/>
    </x:row>
    <x:row r="17" spans="1:13" ht="21.949999999999999" customHeight="1">
      <x:c r="A17" s="59" t="s">
        <x:v>30</x:v>
      </x:c>
      <x:c r="B17" s="208"/>
      <x:c r="C17" s="135">
        <x:f>SUM('1:30'!$C$16)</x:f>
        <x:v>189</x:v>
      </x:c>
      <x:c r="D17" s="173"/>
      <x:c r="E17" s="174"/>
      <x:c r="F17" s="180">
        <x:f>SUM('1:30'!$F$16)</x:f>
        <x:v>589</x:v>
      </x:c>
      <x:c r="G17" s="180"/>
      <x:c r="H17" s="54" t="s">
        <x:v>109</x:v>
      </x:c>
      <x:c r="I17" s="58">
        <x:v>3200</x:v>
      </x:c>
      <x:c r="J17" s="54" t="s">
        <x:v>24</x:v>
      </x:c>
      <x:c r="K17" s="58"/>
      <x:c r="L17" s="60"/>
      <x:c r="M17" s="11"/>
    </x:row>
    <x:row r="18" spans="1:13" ht="21.949999999999999" customHeight="1">
      <x:c r="A18" s="59" t="s">
        <x:v>125</x:v>
      </x:c>
      <x:c r="B18" s="207" t="s">
        <x:v>28</x:v>
      </x:c>
      <x:c r="C18" s="80">
        <x:v>31</x:v>
      </x:c>
      <x:c r="D18" s="194" t="s">
        <x:v>67</x:v>
      </x:c>
      <x:c r="E18" s="195"/>
      <x:c r="F18" s="187">
        <x:v>6</x:v>
      </x:c>
      <x:c r="G18" s="18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30</x:v>
      </x:c>
      <x:c r="B19" s="208"/>
      <x:c r="C19" s="135">
        <x:f>SUM('1:30'!$C$18)</x:f>
        <x:v>1173</x:v>
      </x:c>
      <x:c r="D19" s="173"/>
      <x:c r="E19" s="174"/>
      <x:c r="F19" s="180">
        <x:f>SUM('1:30'!$F$18)</x:f>
        <x:v>438</x:v>
      </x:c>
      <x:c r="G19" s="180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4" t="s">
        <x:v>49</x:v>
      </x:c>
      <x:c r="E20" s="154"/>
      <x:c r="F20" s="179">
        <x:v>70</x:v>
      </x:c>
      <x:c r="G20" s="17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4" t="s">
        <x:v>58</x:v>
      </x:c>
      <x:c r="E21" s="154"/>
      <x:c r="F21" s="180">
        <x:f>SUM('1:30'!$F$20)</x:f>
        <x:v>1929</x:v>
      </x:c>
      <x:c r="G21" s="180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3" t="s">
        <x:v>11</x:v>
      </x:c>
      <x:c r="B22" s="154"/>
      <x:c r="C22" s="178"/>
      <x:c r="D22" s="178"/>
      <x:c r="E22" s="178"/>
      <x:c r="F22" s="178"/>
      <x:c r="G22" s="17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3" t="s">
        <x:v>57</x:v>
      </x:c>
      <x:c r="B23" s="154"/>
      <x:c r="C23" s="313"/>
      <x:c r="D23" s="314"/>
      <x:c r="E23" s="314"/>
      <x:c r="F23" s="314"/>
      <x:c r="G23" s="314"/>
      <x:c r="H23" s="108" t="s">
        <x:v>26</x:v>
      </x:c>
      <x:c r="I23" s="109">
        <x:f>SUM(I4:I22)</x:f>
        <x:v>1701166</x:v>
      </x:c>
      <x:c r="J23" s="61" t="s">
        <x:v>45</x:v>
      </x:c>
      <x:c r="K23" s="62">
        <x:f>SUM(K4:K22)</x:f>
        <x:v>231666.66666666666</x:v>
      </x:c>
      <x:c r="M23" s="89" t="s">
        <x:v>21</x:v>
      </x:c>
      <x:c r="N23" s="176">
        <x:f>C5+C6</x:f>
        <x:v>558000</x:v>
      </x:c>
      <x:c r="O23" s="177"/>
    </x:row>
    <x:row r="24" spans="1:11" ht="34.149999999999999" customHeight="1">
      <x:c r="A24" s="153" t="s">
        <x:v>110</x:v>
      </x:c>
      <x:c r="B24" s="154"/>
      <x:c r="C24" s="154" t="s">
        <x:v>7</x:v>
      </x:c>
      <x:c r="D24" s="154"/>
      <x:c r="E24" s="154" t="s">
        <x:v>23</x:v>
      </x:c>
      <x:c r="F24" s="154"/>
      <x:c r="G24" s="154"/>
      <x:c r="H24" s="108" t="s">
        <x:v>110</x:v>
      </x:c>
      <x:c r="I24" s="110">
        <x:f>I23/A25</x:f>
        <x:v>0.38483565207555709</x:v>
      </x:c>
      <x:c r="J24" s="61" t="s">
        <x:v>110</x:v>
      </x:c>
      <x:c r="K24" s="63">
        <x:f>K23/A25</x:f>
        <x:v>0.052407344568864755</x:v>
      </x:c>
    </x:row>
    <x:row r="25" spans="1:11" ht="34.149999999999999" customHeight="1">
      <x:c r="A25" s="203">
        <x:f>C2</x:f>
        <x:v>4420500</x:v>
      </x:c>
      <x:c r="B25" s="169"/>
      <x:c r="C25" s="169">
        <x:f>E25/I1</x:f>
        <x:v>4544400</x:v>
      </x:c>
      <x:c r="D25" s="169"/>
      <x:c r="E25" s="169">
        <x:f>SUM('1:30'!$A$25)</x:f>
        <x:v>136332000</x:v>
      </x:c>
      <x:c r="F25" s="169"/>
      <x:c r="G25" s="169"/>
      <x:c r="H25" s="108" t="s">
        <x:v>129</x:v>
      </x:c>
      <x:c r="I25" s="109">
        <x:f>SUM('1:30'!$I$23)</x:f>
        <x:v>51519943</x:v>
      </x:c>
      <x:c r="J25" s="61" t="s">
        <x:v>129</x:v>
      </x:c>
      <x:c r="K25" s="62">
        <x:f>SUM('1:30'!$K$23)</x:f>
        <x:v>3970763.9999999986</x:v>
      </x:c>
    </x:row>
    <x:row r="26" spans="1:11" ht="34.149999999999999" customHeight="1">
      <x:c r="A26" s="153" t="s">
        <x:v>31</x:v>
      </x:c>
      <x:c r="B26" s="154"/>
      <x:c r="C26" s="154"/>
      <x:c r="D26" s="154"/>
      <x:c r="E26" s="155"/>
      <x:c r="F26" s="155"/>
      <x:c r="G26" s="155"/>
      <x:c r="H26" s="108" t="s">
        <x:v>50</x:v>
      </x:c>
      <x:c r="I26" s="111">
        <x:f>I25/$E$25</x:f>
        <x:v>0.37790058826981193</x:v>
      </x:c>
      <x:c r="J26" s="64" t="s">
        <x:v>50</x:v>
      </x:c>
      <x:c r="K26" s="65">
        <x:f>K25/$E$25</x:f>
        <x:v>0.029125693160813298</x:v>
      </x:c>
    </x:row>
    <x:row r="27" spans="1:13" ht="30.949999999999999" customHeight="1">
      <x:c r="A27" s="315" t="s">
        <x:v>66</x:v>
      </x:c>
      <x:c r="B27" s="54" t="s">
        <x:v>138</x:v>
      </x:c>
      <x:c r="C27" s="169">
        <x:f>4000000/30</x:f>
        <x:v>133333.33333333334</x:v>
      </x:c>
      <x:c r="D27" s="169"/>
      <x:c r="E27" s="55"/>
      <x:c r="F27" s="155"/>
      <x:c r="G27" s="155"/>
      <x:c r="H27" s="112" t="s">
        <x:v>40</x:v>
      </x:c>
      <x:c r="I27" s="113">
        <x:f>SUM(C27:D34,F27:G31)</x:f>
        <x:v>782133.33333333337</x:v>
      </x:c>
      <x:c r="M27" s="66"/>
    </x:row>
    <x:row r="28" spans="1:13" ht="30.949999999999999" customHeight="1">
      <x:c r="A28" s="316"/>
      <x:c r="B28" s="54" t="s">
        <x:v>84</x:v>
      </x:c>
      <x:c r="C28" s="169">
        <x:f>3800000/30</x:f>
        <x:v>126666.66666666667</x:v>
      </x:c>
      <x:c r="D28" s="169"/>
      <x:c r="E28" s="55"/>
      <x:c r="F28" s="206"/>
      <x:c r="G28" s="206"/>
      <x:c r="H28" s="112" t="s">
        <x:v>110</x:v>
      </x:c>
      <x:c r="I28" s="114">
        <x:f>I27/$A$25</x:f>
        <x:v>0.1769332277645817</x:v>
      </x:c>
      <x:c r="M28" s="66"/>
    </x:row>
    <x:row r="29" spans="1:13" ht="30.949999999999999" customHeight="1">
      <x:c r="A29" s="316"/>
      <x:c r="B29" s="54" t="s">
        <x:v>140</x:v>
      </x:c>
      <x:c r="C29" s="169">
        <x:f>3200000/30</x:f>
        <x:v>106666.66666666667</x:v>
      </x:c>
      <x:c r="D29" s="169"/>
      <x:c r="E29" s="55"/>
      <x:c r="F29" s="155"/>
      <x:c r="G29" s="155"/>
      <x:c r="H29" s="112" t="s">
        <x:v>129</x:v>
      </x:c>
      <x:c r="I29" s="113">
        <x:f>SUM('1:30'!$I$27)</x:f>
        <x:v>20817400.333333332</x:v>
      </x:c>
      <x:c r="M29" s="66"/>
    </x:row>
    <x:row r="30" spans="1:13" ht="30.949999999999999" customHeight="1">
      <x:c r="A30" s="316"/>
      <x:c r="B30" s="54"/>
      <x:c r="C30" s="169"/>
      <x:c r="D30" s="169"/>
      <x:c r="E30" s="55" t="s">
        <x:v>71</x:v>
      </x:c>
      <x:c r="F30" s="201">
        <x:v>132000</x:v>
      </x:c>
      <x:c r="G30" s="202"/>
      <x:c r="H30" s="112" t="s">
        <x:v>50</x:v>
      </x:c>
      <x:c r="I30" s="114">
        <x:f>I29/$I$27</x:f>
        <x:v>26.616178400954652</x:v>
      </x:c>
      <x:c r="M30" s="66"/>
    </x:row>
    <x:row r="31" spans="1:7" customHeight="1">
      <x:c r="A31" s="316"/>
      <x:c r="B31" s="54" t="s">
        <x:v>134</x:v>
      </x:c>
      <x:c r="C31" s="204">
        <x:f>3500000/30</x:f>
        <x:v>116666.66666666667</x:v>
      </x:c>
      <x:c r="D31" s="205"/>
      <x:c r="E31" s="55" t="s">
        <x:v>105</x:v>
      </x:c>
      <x:c r="F31" s="201">
        <x:v>120000</x:v>
      </x:c>
      <x:c r="G31" s="202"/>
    </x:row>
    <x:row r="32" spans="1:4" customHeight="1">
      <x:c r="A32" s="316"/>
      <x:c r="B32" s="148" t="s">
        <x:v>90</x:v>
      </x:c>
      <x:c r="C32" s="199"/>
      <x:c r="D32" s="200"/>
    </x:row>
    <x:row r="33" spans="1:4" customHeight="1">
      <x:c r="A33" s="316"/>
      <x:c r="B33" s="148" t="s">
        <x:v>78</x:v>
      </x:c>
      <x:c r="C33" s="199">
        <x:f>11700*4</x:f>
        <x:v>46800</x:v>
      </x:c>
      <x:c r="D33" s="200"/>
    </x:row>
    <x:row r="34" spans="1:4" customHeight="1">
      <x:c r="A34" s="317"/>
      <x:c r="B34" s="54"/>
      <x:c r="C34" s="201"/>
      <x:c r="D34" s="202"/>
    </x:row>
  </x:sheetData>
  <x:mergeCells count="73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8:E19"/>
    <x:mergeCell ref="D16:E17"/>
    <x:mergeCell ref="D12:E13"/>
    <x:mergeCell ref="D14:E15"/>
    <x:mergeCell ref="B16:B17"/>
    <x:mergeCell ref="B18:B19"/>
    <x:mergeCell ref="B14:B15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3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Chart1</vt:lpstr>
    </vt:vector>
  </ep:TitlesOfParts>
  <ep:TotalTime>403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33</cp:revision>
  <cp:lastPrinted>2020-08-02T09:11:11.000</cp:lastPrinted>
  <dcterms:created xsi:type="dcterms:W3CDTF">2017-10-12T05:43:00.000</dcterms:created>
  <dcterms:modified xsi:type="dcterms:W3CDTF">2026-04-27T16:56:32.707</dcterms:modified>
  <cp:version>1000.0100.01</cp:version>
</cp:coreProperties>
</file>