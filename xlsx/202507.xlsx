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3.xml" ContentType="application/vnd.openxmlformats-officedocument.drawingml.chart+xml"/>
  <Override PartName="/xl/drawings/drawing1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mand_prediction_MLproject\xlxs\"/>
    </mc:Choice>
  </mc:AlternateContent>
  <x:bookViews>
    <x:workbookView xWindow="0" yWindow="0" windowWidth="13965" windowHeight="11715" firstSheet="26" activeTab="26"/>
  </x:bookViews>
  <x:sheets>
    <x:sheet name="월합산" sheetId="1" state="hidden" r:id="rId4"/>
    <x:sheet name="결산" sheetId="2" r:id="rId5"/>
    <x:sheet name="1" sheetId="3" r:id="rId6"/>
    <x:sheet name="2" sheetId="4" r:id="rId7"/>
    <x:sheet name="3" sheetId="5" r:id="rId8"/>
    <x:sheet name="4" sheetId="6" r:id="rId9"/>
    <x:sheet name="5" sheetId="7" r:id="rId10"/>
    <x:sheet name="6" sheetId="8" r:id="rId11"/>
    <x:sheet name="7" sheetId="9" r:id="rId12"/>
    <x:sheet name="8" sheetId="10" r:id="rId13"/>
    <x:sheet name="9" sheetId="11" r:id="rId14"/>
    <x:sheet name="10" sheetId="12" r:id="rId15"/>
    <x:sheet name="11" sheetId="13" r:id="rId16"/>
    <x:sheet name="12" sheetId="14" r:id="rId17"/>
    <x:sheet name="13" sheetId="15" r:id="rId18"/>
    <x:sheet name="14" sheetId="16" r:id="rId19"/>
    <x:sheet name="15" sheetId="17" r:id="rId20"/>
    <x:sheet name="16" sheetId="18" r:id="rId21"/>
    <x:sheet name="17" sheetId="19" r:id="rId22"/>
    <x:sheet name="18" sheetId="20" r:id="rId23"/>
    <x:sheet name="19" sheetId="21" r:id="rId24"/>
    <x:sheet name="20" sheetId="22" r:id="rId25"/>
    <x:sheet name="21" sheetId="23" r:id="rId26"/>
    <x:sheet name="22" sheetId="24" r:id="rId27"/>
    <x:sheet name="23" sheetId="25" r:id="rId28"/>
    <x:sheet name="24" sheetId="26" r:id="rId29"/>
    <x:sheet name="25" sheetId="27" r:id="rId30"/>
    <x:sheet name="26" sheetId="28" r:id="rId31"/>
    <x:sheet name="27" sheetId="29" r:id="rId32"/>
    <x:sheet name="28" sheetId="30" r:id="rId33"/>
    <x:sheet name="29" sheetId="31" r:id="rId34"/>
    <x:sheet name="30" sheetId="32" r:id="rId35"/>
    <x:sheet name="31" sheetId="33" r:id="rId36"/>
    <x:sheet name="Chart1" sheetId="34" state="hidden" r:id="rId37"/>
  </x:sheets>
  <x:definedNames>
    <x:definedName name="_xlnm.Print_Area" localSheetId="18">'17'!$A$1:$O$34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<x:sst xmlns:r="http://schemas.openxmlformats.org/officeDocument/2006/relationships" xmlns:c="http://schemas.openxmlformats.org/drawingml/2006/chart" xmlns:x="http://schemas.openxmlformats.org/spreadsheetml/2006/main" count="2997" uniqueCount="154">
  <x:si>
    <x:t>V</x:t>
  </x:si>
  <x:si>
    <x:t>변동비</x:t>
  </x:si>
  <x:si>
    <x:t>항목</x:t>
  </x:si>
  <x:si>
    <x:t>만</x:t>
  </x:si>
  <x:si>
    <x:t>파출</x:t>
  </x:si>
  <x:si>
    <x:t>포스</x:t>
  </x:si>
  <x:si>
    <x:t>식자재</x:t>
  </x:si>
  <x:si>
    <x:t>막걸리</x:t>
  </x:si>
  <x:si>
    <x:t>일매출</x:t>
  </x:si>
  <x:si>
    <x:t>매출</x:t>
  </x:si>
  <x:si>
    <x:t>수도</x:t>
  </x:si>
  <x:si>
    <x:t>총매출</x:t>
  </x:si>
  <x:si>
    <x:t>시제</x:t>
  </x:si>
  <x:si>
    <x:t>오백</x:t>
  </x:si>
  <x:si>
    <x:t>입금</x:t>
  </x:si>
  <x:si>
    <x:t>F</x:t>
  </x:si>
  <x:si>
    <x:t>뚝배기</x:t>
  </x:si>
  <x:si>
    <x:t>잔금</x:t>
  </x:si>
  <x:si>
    <x:t>토</x:t>
  </x:si>
  <x:si>
    <x:t>일</x:t>
  </x:si>
  <x:si>
    <x:t>고기</x:t>
  </x:si>
  <x:si>
    <x:t>알바B</x:t>
  </x:si>
  <x:si>
    <x:t>카드</x:t>
  </x:si>
  <x:si>
    <x:t>직원B</x:t>
  </x:si>
  <x:si>
    <x:t>주류</x:t>
  </x:si>
  <x:si>
    <x:t>총비용</x:t>
  </x:si>
  <x:si>
    <x:t>업체</x:t>
  </x:si>
  <x:si>
    <x:t>수</x:t>
  </x:si>
  <x:si>
    <x:t>생갈비</x:t>
  </x:si>
  <x:si>
    <x:t>금</x:t>
  </x:si>
  <x:si>
    <x:t>알바A</x:t>
  </x:si>
  <x:si>
    <x:t>고정비</x:t>
  </x:si>
  <x:si>
    <x:t>가스비</x:t>
  </x:si>
  <x:si>
    <x:t>배달</x:t>
  </x:si>
  <x:si>
    <x:t>누계</x:t>
  </x:si>
  <x:si>
    <x:t>S</x:t>
  </x:si>
  <x:si>
    <x:t>월세</x:t>
  </x:si>
  <x:si>
    <x:t>숯</x:t>
  </x:si>
  <x:si>
    <x:t>인터넷</x:t>
  </x:si>
  <x:si>
    <x:t>마케팅</x:t>
  </x:si>
  <x:si>
    <x:t>금액</x:t>
  </x:si>
  <x:si>
    <x:t>시재</x:t>
  </x:si>
  <x:si>
    <x:t>직원C</x:t>
  </x:si>
  <x:si>
    <x:t>목살</x:t>
  </x:si>
  <x:si>
    <x:t>백이하</x:t>
  </x:si>
  <x:si>
    <x:t>직원A</x:t>
  </x:si>
  <x:si>
    <x:t>쌀</x:t>
  </x:si>
  <x:si>
    <x:t>세무사</x:t>
  </x:si>
  <x:si>
    <x:t>직원D</x:t>
  </x:si>
  <x:si>
    <x:t>개수</x:t>
  </x:si>
  <x:si>
    <x:t>월</x:t>
  </x:si>
  <x:si>
    <x:t>목</x:t>
  </x:si>
  <x:si>
    <x:t>육회</x:t>
  </x:si>
  <x:si>
    <x:t>천</x:t>
  </x:si>
  <x:si>
    <x:t>발매트</x:t>
  </x:si>
  <x:si>
    <x:t>합계</x:t>
  </x:si>
  <x:si>
    <x:t>V/S</x:t>
  </x:si>
  <x:si>
    <x:t>급여</x:t>
  </x:si>
  <x:si>
    <x:t>알바X</x:t>
  </x:si>
  <x:si>
    <x:t>참기름</x:t>
  </x:si>
  <x:si>
    <x:t>전기세</x:t>
  </x:si>
  <x:si>
    <x:t>매출액</x:t>
  </x:si>
  <x:si>
    <x:t>현금</x:t>
  </x:si>
  <x:si>
    <x:t>화</x:t>
  </x:si>
  <x:si>
    <x:t>`</x:t>
  </x:si>
  <x:si>
    <x:t>김은희</x:t>
  </x:si>
  <x:si>
    <x:t>삼겹살</x:t>
  </x:si>
  <x:si>
    <x:t>7월</x:t>
  </x:si>
  <x:si>
    <x:t>손익분기점 매출액 X</x:t>
  </x:si>
  <x:si>
    <x:t>take
out</x:t>
  </x:si>
  <x:si>
    <x:t>손익분기점 매출액</x:t>
  </x:si>
  <x:si>
    <x:t>퇴직금(10%)</x:t>
  </x:si>
  <x:si>
    <x:t>현금수수료 (1%)</x:t>
  </x:si>
  <x:si>
    <x:t>현금수수료(1%)</x:t>
  </x:si>
  <x:si>
    <x:t>월   합  산</x:t>
  </x:si>
  <x:si>
    <x:t>마  감  잔  금</x:t>
  </x:si>
  <x:si>
    <x:t>비       고</x:t>
  </x:si>
  <x:si>
    <x:t>비품 및 기타경비</x:t>
  </x:si>
  <x:si>
    <x:t>비품 및 
기타경비</x:t>
  </x:si>
  <x:si>
    <x:t>종량재봉투</x:t>
  </x:si>
  <x:si>
    <x:t>목표일매출</x:t>
  </x:si>
  <x:si>
    <x:t>4대보험료</x:t>
  </x:si>
  <x:si>
    <x:t>소     계</x:t>
  </x:si>
  <x:si>
    <x:t>변동비용</x:t>
  </x:si>
  <x:si>
    <x:t>화재보험</x:t>
  </x:si>
  <x:si>
    <x:t>불판세척</x:t>
  </x:si>
  <x:si>
    <x:t>중간출금</x:t>
  </x:si>
  <x:si>
    <x:t>페이결제</x:t>
  </x:si>
  <x:si>
    <x:t>목표월매출</x:t>
  </x:si>
  <x:si>
    <x:t>일평균매출</x:t>
  </x:si>
  <x:si>
    <x:t>카드할인</x:t>
  </x:si>
  <x:si>
    <x:t>영업일수</x:t>
  </x:si>
  <x:si>
    <x:t>세전이익</x:t>
  </x:si>
  <x:si>
    <x:t>다이소 구매</x:t>
  </x:si>
  <x:si>
    <x:t>소갈비살</x:t>
  </x:si>
  <x:si>
    <x:t>고정비용</x:t>
  </x:si>
  <x:si>
    <x:t>현금합계</x:t>
  </x:si>
  <x:si>
    <x:t>식자재합계</x:t>
  </x:si>
  <x:si>
    <x:t>돼지양념갈비</x:t>
  </x:si>
  <x:si>
    <x:t>매출누계</x:t>
  </x:si>
  <x:si>
    <x:t>인터넷 주문</x:t>
  </x:si>
  <x:si>
    <x:t>휴무일수</x:t>
  </x:si>
  <x:si>
    <x:t>종합소득세</x:t>
  </x:si>
  <x:si>
    <x:t>쿠쿠(블루문)</x:t>
  </x:si>
  <x:si>
    <x:t>누적총매출</x:t>
  </x:si>
  <x:si>
    <x:t>부탄가스</x:t>
  </x:si>
  <x:si>
    <x:t>할인내역</x:t>
  </x:si>
  <x:si>
    <x:t>할인금액</x:t>
  </x:si>
  <x:si>
    <x:t>손익분기점</x:t>
  </x:si>
  <x:si>
    <x:t>식자재2</x:t>
  </x:si>
  <x:si>
    <x:t>세후이익</x:t>
  </x:si>
  <x:si>
    <x:t>세금부가세</x:t>
  </x:si>
  <x:si>
    <x:t>항목별 소계</x:t>
  </x:si>
  <x:si>
    <x:t>마감잔금</x:t>
  </x:si>
  <x:si>
    <x:t>깍두기,계란</x:t>
  </x:si>
  <x:si>
    <x:t>합    계</x:t>
  </x:si>
  <x:si>
    <x:t>테이블수</x:t>
  </x:si>
  <x:si>
    <x:t>누적테이블</x:t>
  </x:si>
  <x:si>
    <x:t>매출 비율</x:t>
  </x:si>
  <x:si>
    <x:t>종량제봉투</x:t>
  </x:si>
  <x:si>
    <x:t>한우업진살</x:t>
  </x:si>
  <x:si>
    <x:t>인건비합계</x:t>
  </x:si>
  <x:si>
    <x:t>기타경비합계</x:t>
  </x:si>
  <x:si>
    <x:t>금고잔액</x:t>
  </x:si>
  <x:si>
    <x:t>코카콜라</x:t>
  </x:si>
  <x:si>
    <x:t>카드매출</x:t>
  </x:si>
  <x:si>
    <x:t>실영업일수</x:t>
  </x:si>
  <x:si>
    <x:t>출금내역</x:t>
  </x:si>
  <x:si>
    <x:t>2025년</x:t>
  </x:si>
  <x:si>
    <x:t>코카콜라음료</x:t>
  </x:si>
  <x:si>
    <x:t>음식물스티커</x:t>
  </x:si>
  <x:si>
    <x:t>누적매출</x:t>
  </x:si>
  <x:si>
    <x:t>현금매출</x:t>
  </x:si>
  <x:si>
    <x:t>LA양념갈비</x:t>
  </x:si>
  <x:si>
    <x:t>통장입금</x:t>
  </x:si>
  <x:si>
    <x:t>중간입금</x:t>
  </x:si>
  <x:si>
    <x:t>LA갈비</x:t>
  </x:si>
  <x:si>
    <x:t>금고 실잔액</x:t>
  </x:si>
  <x:si>
    <x:t>페이매출</x:t>
  </x:si>
  <x:si>
    <x:t>항목 비율</x:t>
  </x:si>
  <x:si>
    <x:t>입금내역</x:t>
  </x:si>
  <x:si>
    <x:t>홀 파출</x:t>
  </x:si>
  <x:si>
    <x:t>배달료누계</x:t>
  </x:si>
  <x:si>
    <x:t>변동비율</x:t>
  </x:si>
  <x:si>
    <x:t>인
건
비</x:t>
  </x:si>
  <x:si>
    <x:t>전   월</x:t>
  </x:si>
  <x:si>
    <x:t>현금할인</x:t>
  </x:si>
  <x:si>
    <x:t>매출대비 비율</x:t>
  </x:si>
  <x:si>
    <x:t>X=F/(1-(V/S))</x:t>
  </x:si>
  <x:si>
    <x:t>카드수수료(2.75%)</x:t>
  </x:si>
  <x:si>
    <x:t>알바C</x:t>
  </x:si>
  <x:si>
    <x:t>ㄴ</x:t>
  </x:si>
  <x:si>
    <x:t>직원F</x:t>
  </x:si>
  <x:si>
    <x:t>7월 테이블수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</x:si>
</x:sst>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%"/>
    <x:numFmt numFmtId="165" formatCode="#,##0_ "/>
    <x:numFmt numFmtId="166" formatCode="#,##0.00_ "/>
    <x:numFmt numFmtId="167" formatCode="_-* #,##0_-;\-* #,##0_-;_-* &quot;-&quot;???_-;_-@_-"/>
    <x:numFmt numFmtId="168" formatCode="&quot;₩&quot;#,##0_);[Red]\(&quot;₩&quot;#,##0\)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0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x:font>
      <x:name val="맑은 고딕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24"/>
          <x:color rgb="ff000000"/>
        </x:font>
      </mc:Fallback>
    </mc:AlternateContent>
  </x:fonts>
  <x:fills count="10">
    <x:fill>
      <x:patternFill patternType="none"/>
    </x:fill>
    <x:fill>
      <x:patternFill patternType="gray125"/>
    </x:fill>
    <x:fill>
      <x:patternFill patternType="solid">
        <x:fgColor rgb="ffe6b8b7"/>
        <x:bgColor indexed="64"/>
      </x:patternFill>
    </x:fill>
    <x:fill>
      <x:patternFill patternType="solid">
        <x:fgColor rgb="ff8cb3e4"/>
        <x:bgColor indexed="64"/>
      </x:patternFill>
    </x:fill>
    <x:fill>
      <x:patternFill patternType="solid">
        <x:fgColor rgb="fffadb8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f2f2f2"/>
        <x:bgColor indexed="64"/>
      </x:patternFill>
    </x:fill>
  </x:fills>
  <x:borders count="7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1" fontId="0" fillId="0" borderId="0">
      <x:alignment horizontal="general" vertical="center"/>
    </x:xf>
  </x:cellStyleXfs>
  <x:cellXfs count="364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2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41" fontId="0" fillId="0" borderId="1" xfId="2" applyNumberFormat="1" applyBorder="1">
      <x:alignment horizontal="general" vertical="center"/>
    </x:xf>
    <x:xf numFmtId="164" fontId="0" fillId="0" borderId="8" xfId="1" applyNumberFormat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165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1" applyNumberFormat="1" applyBorder="1" applyAlignment="1">
          <x:alignment horizontal="center" vertical="center"/>
        </x:xf>
      </mc:Fallback>
    </mc:AlternateContent>
    <x:xf numFmtId="164" fontId="8" fillId="0" borderId="9" xfId="1" applyNumberFormat="1" applyFont="1" applyBorder="1">
      <x:alignment horizontal="general" vertical="center"/>
    </x:xf>
    <x:xf numFmtId="164" fontId="9" fillId="0" borderId="10" xfId="1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x:xf numFmtId="41" fontId="12" fillId="0" borderId="14" xfId="2" applyNumberFormat="1" applyFont="1" applyBorder="1">
      <x:alignment horizontal="general" vertical="center"/>
    </x:xf>
    <x:xf numFmtId="41" fontId="12" fillId="0" borderId="15" xfId="2" applyNumberFormat="1" applyFont="1" applyBorder="1">
      <x:alignment horizontal="general" vertical="center"/>
    </x:xf>
    <x:xf numFmtId="41" fontId="10" fillId="0" borderId="16" xfId="2" applyNumberFormat="1" applyFont="1" applyBorder="1">
      <x:alignment horizontal="general" vertical="center"/>
    </x:xf>
    <x:xf numFmtId="165" fontId="13" fillId="0" borderId="17" xfId="0" applyNumberFormat="1" applyFont="1" applyBorder="1">
      <x:alignment horizontal="general" vertical="center"/>
    </x:xf>
    <x:xf numFmtId="164" fontId="13" fillId="0" borderId="18" xfId="1" applyNumberFormat="1" applyFont="1" applyBorder="1">
      <x:alignment horizontal="general" vertical="center"/>
    </x:xf>
    <x:xf numFmtId="164" fontId="13" fillId="0" borderId="19" xfId="1" applyNumberFormat="1" applyFont="1" applyBorder="1">
      <x:alignment horizontal="general" vertical="center"/>
    </x:xf>
    <x:xf numFmtId="41" fontId="12" fillId="0" borderId="7" xfId="2" applyNumberFormat="1" applyFont="1" applyBorder="1">
      <x:alignment horizontal="general" vertical="center"/>
    </x:xf>
    <x:xf numFmtId="41" fontId="12" fillId="0" borderId="1" xfId="2" applyNumberFormat="1" applyFont="1" applyBorder="1">
      <x:alignment horizontal="general" vertical="center"/>
    </x:xf>
    <x:xf numFmtId="165" fontId="13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8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" xfId="2" applyNumberFormat="1" applyFont="1" applyBorder="1" applyAlignment="1">
          <x:alignment horizontal="right" vertical="center"/>
        </x:xf>
      </mc:Fallback>
    </mc:AlternateContent>
    <x:xf numFmtId="165" fontId="13" fillId="0" borderId="2" xfId="0" applyNumberFormat="1" applyFont="1" applyBorder="1">
      <x:alignment horizontal="general" vertical="center"/>
    </x:xf>
    <x:xf numFmtId="164" fontId="13" fillId="0" borderId="20" xfId="1" applyNumberFormat="1" applyFont="1" applyBorder="1">
      <x:alignment horizontal="general" vertical="center"/>
    </x:xf>
    <x:xf numFmtId="41" fontId="12" fillId="0" borderId="8" xfId="2" applyNumberFormat="1" applyFont="1" applyBorder="1">
      <x:alignment horizontal="general" vertical="center"/>
    </x:xf>
    <x:xf numFmtId="164" fontId="13" fillId="0" borderId="21" xfId="1" applyNumberFormat="1" applyFont="1" applyBorder="1">
      <x:alignment horizontal="general" vertical="center"/>
    </x:xf>
    <x:xf numFmtId="164" fontId="13" fillId="0" borderId="8" xfId="1" applyNumberFormat="1" applyFont="1" applyBorder="1">
      <x:alignment horizontal="general" vertical="center"/>
    </x:xf>
    <x:xf numFmtId="10" fontId="12" fillId="0" borderId="8" xfId="2" applyNumberFormat="1" applyFont="1" applyBorder="1">
      <x:alignment horizontal="general" vertical="center"/>
    </x:xf>
    <x:xf numFmtId="41" fontId="14" fillId="0" borderId="22" xfId="2" applyNumberFormat="1" applyFont="1" applyBorder="1">
      <x:alignment horizontal="general" vertical="center"/>
    </x:xf>
    <x:xf numFmtId="41" fontId="14" fillId="0" borderId="2" xfId="2" applyNumberFormat="1" applyFont="1" applyBorder="1">
      <x:alignment horizontal="general" vertical="center"/>
    </x:xf>
    <x:xf numFmtId="41" fontId="14" fillId="0" borderId="20" xfId="2" applyNumberFormat="1" applyFont="1" applyBorder="1">
      <x:alignment horizontal="general" vertical="center"/>
    </x:xf>
    <x:xf numFmtId="165" fontId="13" fillId="0" borderId="23" xfId="0" applyNumberFormat="1" applyFont="1" applyBorder="1">
      <x:alignment horizontal="general" vertical="center"/>
    </x:xf>
    <x:xf numFmtId="164" fontId="13" fillId="0" borderId="24" xfId="1" applyNumberFormat="1" applyFont="1" applyBorder="1">
      <x:alignment horizontal="general" vertical="center"/>
    </x:xf>
    <x:xf numFmtId="165" fontId="13" fillId="0" borderId="25" xfId="0" applyNumberFormat="1" applyFont="1" applyBorder="1">
      <x:alignment horizontal="general" vertical="center"/>
    </x:xf>
    <x:xf numFmtId="164" fontId="13" fillId="0" borderId="25" xfId="1" applyNumberFormat="1" applyFont="1" applyBorder="1">
      <x:alignment horizontal="general" vertical="center"/>
    </x:xf>
    <x:xf numFmtId="164" fontId="13" fillId="0" borderId="2" xfId="1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41" fontId="15" fillId="0" borderId="8" xfId="2" applyNumberFormat="1" applyFont="1" applyBorder="1">
      <x:alignment horizontal="general" vertical="center"/>
    </x:xf>
    <x:xf numFmtId="0" fontId="15" fillId="0" borderId="1" xfId="0" applyNumberFormat="1" applyFont="1" applyBorder="1" applyAlignment="1">
      <x:alignment horizontal="left" vertical="center"/>
    </x:xf>
    <x:xf numFmtId="41" fontId="7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NumberFormat="1" applyFont="1" applyFill="1" applyBorder="1" applyAlignment="1">
          <x:alignment horizontal="center" vertical="center"/>
        </x:xf>
      </mc:Fallback>
    </mc:AlternateContent>
    <x:xf numFmtId="41" fontId="15" fillId="2" borderId="8" xfId="2" applyNumberFormat="1" applyFont="1" applyFill="1" applyBorder="1">
      <x:alignment horizontal="general" vertical="center"/>
    </x:xf>
    <x:xf numFmtId="9" fontId="15" fillId="2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5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2" borderId="20" xfId="0" applyNumberFormat="1" applyFont="1" applyFill="1" applyBorder="1" applyAlignment="1">
          <x:alignment horizontal="right" vertical="center"/>
        </x:xf>
      </mc:Fallback>
    </mc:AlternateContent>
    <x:xf numFmtId="41" fontId="15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x:xf numFmtId="164" fontId="0" fillId="0" borderId="27" xfId="1" applyNumberFormat="1" applyBorder="1">
      <x:alignment horizontal="general" vertical="center"/>
    </x:xf>
    <x:xf numFmtId="164" fontId="0" fillId="0" borderId="23" xfId="1" applyNumberFormat="1" applyBorder="1">
      <x:alignment horizontal="general" vertical="center"/>
    </x:xf>
    <x:xf numFmtId="164" fontId="0" fillId="0" borderId="2" xfId="1" applyNumberFormat="1" applyBorder="1">
      <x:alignment horizontal="general" vertical="center"/>
    </x:xf>
    <x:xf numFmtId="164" fontId="13" fillId="0" borderId="28" xfId="1" applyNumberFormat="1" applyFont="1" applyBorder="1">
      <x:alignment horizontal="general" vertical="center"/>
    </x:xf>
    <x:xf numFmtId="0" fontId="10" fillId="0" borderId="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top" wrapText="1"/>
        </x:xf>
      </mc:Fallback>
    </mc:AlternateContent>
    <x:xf numFmtId="164" fontId="13" fillId="0" borderId="2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x:xf numFmtId="41" fontId="0" fillId="0" borderId="0" xfId="0" applyNumberFormat="1" applyAlignment="1">
      <x:alignment horizontal="general" vertical="top" wrapText="1"/>
    </x:xf>
    <x:xf numFmtId="165" fontId="0" fillId="0" borderId="27" xfId="0" applyNumberFormat="1" applyBorder="1">
      <x:alignment horizontal="general" vertical="center"/>
    </x:xf>
    <x:xf numFmtId="165" fontId="0" fillId="0" borderId="25" xfId="0" applyNumberFormat="1" applyBorder="1">
      <x:alignment horizontal="general" vertical="center"/>
    </x:xf>
    <x:xf numFmtId="164" fontId="0" fillId="0" borderId="21" xfId="1" applyNumberFormat="1" applyBorder="1">
      <x:alignment horizontal="general" vertical="center"/>
    </x:xf>
    <x:xf numFmtId="165" fontId="0" fillId="0" borderId="2" xfId="0" applyNumberFormat="1" applyBorder="1">
      <x:alignment horizontal="general" vertical="center"/>
    </x:xf>
    <x:xf numFmtId="164" fontId="0" fillId="0" borderId="20" xfId="1" applyNumberFormat="1" applyBorder="1">
      <x:alignment horizontal="general" vertical="center"/>
    </x:xf>
    <x:xf numFmtId="0" fontId="15" fillId="0" borderId="3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x:xf numFmtId="164" fontId="0" fillId="0" borderId="9" xfId="1" applyNumberFormat="1" applyBorder="1">
      <x:alignment horizontal="general" vertical="center"/>
    </x:xf>
    <x:xf numFmtId="41" fontId="0" fillId="0" borderId="2" xfId="2" applyNumberFormat="1" applyBorder="1">
      <x:alignment horizontal="general" vertical="center"/>
    </x:xf>
    <x:xf numFmtId="41" fontId="0" fillId="0" borderId="0" xfId="2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5" fontId="10" fillId="0" borderId="0" xfId="0" applyNumberFormat="1" applyFont="1">
      <x:alignment horizontal="general" vertical="center"/>
    </x:xf>
    <x:xf numFmtId="0" fontId="15" fillId="0" borderId="0" xfId="0" applyNumberFormat="1" applyFont="1" applyAlignment="1">
      <x:alignment horizontal="left" vertical="center"/>
    </x:xf>
    <x:xf numFmtId="0" fontId="0" fillId="0" borderId="17" xfId="0" applyNumberFormat="1" applyBorder="1">
      <x:alignment horizontal="general" vertical="center"/>
    </x:xf>
    <x:xf numFmtId="0" fontId="15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Border="1" applyAlignment="1">
          <x:alignment horizontal="center" vertical="center"/>
        </x:xf>
      </mc:Fallback>
    </mc:AlternateContent>
    <x:xf numFmtId="166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18" fillId="0" borderId="27" xfId="0" applyNumberFormat="1" applyFont="1" applyBorder="1">
      <x:alignment horizontal="general" vertical="center"/>
    </x:xf>
    <x:xf numFmtId="41" fontId="0" fillId="0" borderId="0" xfId="0" applyNumberFormat="1">
      <x:alignment horizontal="general" vertical="center"/>
    </x:xf>
    <x:xf numFmtId="167" fontId="0" fillId="0" borderId="0" xfId="0" applyNumberFormat="1">
      <x:alignment horizontal="general" vertical="center"/>
    </x:xf>
    <x:xf numFmtId="41" fontId="0" fillId="0" borderId="17" xfId="2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3" borderId="8" xfId="2" applyNumberFormat="1" applyFont="1" applyFill="1" applyBorder="1">
      <x:alignment horizontal="general" vertical="center"/>
    </x:xf>
    <x:xf numFmtId="9" fontId="15" fillId="3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5" fillId="3" borderId="8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3" borderId="8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x:xf numFmtId="41" fontId="15" fillId="4" borderId="8" xfId="0" applyNumberFormat="1" applyFont="1" applyFill="1" applyBorder="1">
      <x:alignment horizontal="general" vertical="center"/>
    </x:xf>
    <x:xf numFmtId="9" fontId="15" fillId="4" borderId="8" xfId="0" applyNumberFormat="1" applyFont="1" applyFill="1" applyBorder="1">
      <x:alignment horizontal="general" vertical="center"/>
    </x:xf>
    <x:xf numFmtId="168" fontId="15" fillId="4" borderId="8" xfId="0" applyNumberFormat="1" applyFont="1" applyFill="1" applyBorder="1">
      <x:alignment horizontal="general" vertical="center"/>
    </x:xf>
    <x:xf numFmtId="165" fontId="13" fillId="0" borderId="27" xfId="0" applyNumberFormat="1" applyFont="1" applyBorder="1">
      <x:alignment horizontal="general" vertical="center"/>
    </x:xf>
    <x:xf numFmtId="164" fontId="13" fillId="0" borderId="32" xfId="1" applyNumberFormat="1" applyFont="1" applyBorder="1">
      <x:alignment horizontal="general" vertical="center"/>
    </x:xf>
    <x:xf numFmtId="164" fontId="13" fillId="0" borderId="3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9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2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2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1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1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8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8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0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0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5" borderId="8" xfId="2" applyNumberFormat="1" applyFont="1" applyFill="1" applyBorder="1">
      <x:alignment horizontal="general" vertical="center"/>
    </x:xf>
    <x:xf numFmtId="41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5" fillId="0" borderId="8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top" wrapText="1"/>
        </x:xf>
      </mc:Fallback>
    </mc:AlternateContent>
    <x:xf numFmtId="165" fontId="0" fillId="6" borderId="2" xfId="0" applyNumberFormat="1" applyFill="1" applyBorder="1">
      <x:alignment horizontal="general" vertical="center"/>
    </x:xf>
    <x:xf numFmtId="41" fontId="0" fillId="6" borderId="2" xfId="2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0" applyNumberFormat="1" applyFont="1" applyBorder="1" applyAlignment="1">
          <x:alignment horizontal="center" vertical="top" wrapText="1"/>
        </x:xf>
      </mc:Fallback>
    </mc:AlternateContent>
    <x:xf numFmtId="0" fontId="0" fillId="0" borderId="1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0" applyNumberFormat="1" applyFont="1" applyBorder="1" applyAlignment="1">
          <x:alignment horizontal="center" vertical="center"/>
        </x:xf>
      </mc:Fallback>
    </mc:AlternateContent>
    <x:xf numFmtId="9" fontId="0" fillId="0" borderId="8" xfId="1" applyNumberFormat="1" applyBorder="1">
      <x:alignment horizontal="general" vertical="center"/>
    </x:xf>
    <x:xf numFmtId="9" fontId="0" fillId="0" borderId="27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5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5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6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6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3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3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3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3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x:xf numFmtId="0" fontId="6" fillId="0" borderId="32" xfId="0" applyNumberFormat="1" applyFont="1" applyBorder="1" applyAlignment="1">
      <x:alignment horizontal="left" vertical="top"/>
    </x:xf>
    <x:xf numFmtId="0" fontId="6" fillId="0" borderId="57" xfId="0" applyNumberFormat="1" applyFont="1" applyBorder="1" applyAlignment="1">
      <x:alignment horizontal="left" vertical="top"/>
    </x:xf>
    <x:xf numFmtId="0" fontId="6" fillId="0" borderId="58" xfId="0" applyNumberFormat="1" applyFont="1" applyBorder="1" applyAlignment="1">
      <x:alignment horizontal="left" vertical="top"/>
    </x:xf>
    <x:xf numFmtId="0" fontId="6" fillId="0" borderId="24" xfId="0" applyNumberFormat="1" applyFont="1" applyBorder="1" applyAlignment="1">
      <x:alignment horizontal="left" vertical="top"/>
    </x:xf>
    <x:xf numFmtId="0" fontId="6" fillId="0" borderId="0" xfId="0" applyNumberFormat="1" applyFont="1" applyAlignment="1">
      <x:alignment horizontal="left" vertical="top"/>
    </x:xf>
    <x:xf numFmtId="0" fontId="6" fillId="0" borderId="59" xfId="0" applyNumberFormat="1" applyFont="1" applyBorder="1" applyAlignment="1">
      <x:alignment horizontal="left" vertical="top"/>
    </x:xf>
    <x:xf numFmtId="0" fontId="6" fillId="0" borderId="18" xfId="0" applyNumberFormat="1" applyFont="1" applyBorder="1" applyAlignment="1">
      <x:alignment horizontal="left" vertical="top"/>
    </x:xf>
    <x:xf numFmtId="0" fontId="6" fillId="0" borderId="60" xfId="0" applyNumberFormat="1" applyFont="1" applyBorder="1" applyAlignment="1">
      <x:alignment horizontal="left" vertical="top"/>
    </x:xf>
    <x:xf numFmtId="0" fontId="6" fillId="0" borderId="6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3" xfId="2" applyNumberFormat="1" applyFont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 applyAlignment="1">
      <x:alignment horizontal="left" vertical="top"/>
    </x:xf>
    <x:xf numFmtId="0" fontId="6" fillId="0" borderId="64" xfId="0" applyNumberFormat="1" applyFont="1" applyBorder="1" applyAlignment="1">
      <x:alignment horizontal="left" vertical="center"/>
    </x:xf>
    <x:xf numFmtId="0" fontId="6" fillId="0" borderId="65" xfId="0" applyNumberFormat="1" applyFont="1" applyBorder="1" applyAlignment="1">
      <x:alignment horizontal="left" vertical="center"/>
    </x:xf>
    <x:xf numFmtId="0" fontId="20" fillId="0" borderId="66" xfId="0" applyNumberFormat="1" applyFont="1" applyBorder="1" applyAlignment="1">
      <x:alignment horizontal="left" vertical="center"/>
    </x:xf>
    <x:xf numFmtId="0" fontId="20" fillId="0" borderId="67" xfId="0" applyNumberFormat="1" applyFont="1" applyBorder="1" applyAlignment="1">
      <x:alignment horizontal="left" vertical="center"/>
    </x:xf>
    <x:xf numFmtId="41" fontId="6" fillId="0" borderId="62" xfId="2" applyNumberFormat="1" applyFont="1" applyBorder="1" applyAlignment="1">
      <x:alignment horizontal="left" vertical="top"/>
    </x:xf>
    <x:xf numFmtId="41" fontId="6" fillId="0" borderId="68" xfId="2" applyNumberFormat="1" applyFont="1" applyBorder="1" applyAlignment="1">
      <x:alignment horizontal="left" vertical="top"/>
    </x:xf>
    <x:xf numFmtId="41" fontId="6" fillId="0" borderId="29" xfId="2" applyNumberFormat="1" applyFont="1" applyBorder="1" applyAlignment="1">
      <x:alignment horizontal="left" vertical="top"/>
    </x:xf>
    <x:xf numFmtId="41" fontId="6" fillId="0" borderId="69" xfId="2" applyNumberFormat="1" applyFont="1" applyBorder="1" applyAlignment="1">
      <x:alignment horizontal="left" vertical="top"/>
    </x:xf>
    <x:xf numFmtId="0" fontId="6" fillId="0" borderId="62" xfId="0" applyNumberFormat="1" applyFont="1" applyBorder="1" applyAlignment="1">
      <x:alignment horizontal="left" vertical="top"/>
    </x:xf>
    <x:xf numFmtId="0" fontId="6" fillId="0" borderId="68" xfId="0" applyNumberFormat="1" applyFont="1" applyBorder="1" applyAlignment="1">
      <x:alignment horizontal="left" vertical="top"/>
    </x:xf>
    <x:xf numFmtId="0" fontId="6" fillId="0" borderId="29" xfId="0" applyNumberFormat="1" applyFont="1" applyBorder="1" applyAlignment="1">
      <x:alignment horizontal="left" vertical="top"/>
    </x:xf>
    <x:xf numFmtId="0" fontId="6" fillId="0" borderId="69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6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6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3" xfId="0" applyNumberFormat="1" applyFont="1" applyFill="1" applyBorder="1" applyAlignment="1">
          <x:alignment horizontal="center" vertical="center"/>
        </x:xf>
      </mc:Fallback>
    </mc:AlternateContent>
    <x:xf numFmtId="0" fontId="7" fillId="2" borderId="74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25" xfId="0" applyNumberFormat="1" applyFont="1" applyFill="1" applyBorder="1" applyAlignment="1">
          <x:alignment horizontal="center" vertical="center"/>
        </x:xf>
      </mc:Fallback>
    </mc:AlternateContent>
    <x:xf numFmtId="0" fontId="7" fillId="3" borderId="2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4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NumberFormat="1" applyFont="1" applyBorder="1" applyAlignment="1">
          <x:alignment horizontal="center" vertical="center"/>
        </x:xf>
      </mc:Fallback>
    </mc:AlternateContent>
    <x:xf numFmtId="41" fontId="15" fillId="0" borderId="1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NumberFormat="1" applyFon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9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9" borderId="1" xfId="2" applyNumberFormat="1" applyFont="1" applyFill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top" wrapText="1"/>
    </x:xf>
    <x:xf numFmtId="0" fontId="15" fillId="0" borderId="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8" xfId="0" applyNumberFormat="1" applyFont="1" applyBorder="1" applyAlignment="1">
          <x:alignment horizontal="center" vertical="center"/>
        </x:xf>
      </mc:Fallback>
    </mc:AlternateContent>
    <x:xf numFmtId="0" fontId="15" fillId="0" borderId="62" xfId="0" applyNumberFormat="1" applyFont="1" applyBorder="1" applyAlignment="1">
      <x:alignment horizontal="left" vertical="top" wrapText="1"/>
    </x:xf>
    <x:xf numFmtId="0" fontId="15" fillId="0" borderId="68" xfId="0" applyNumberFormat="1" applyFont="1" applyBorder="1" applyAlignment="1">
      <x:alignment horizontal="left" vertical="top" wrapText="1"/>
    </x:xf>
    <x:xf numFmtId="0" fontId="15" fillId="0" borderId="29" xfId="0" applyNumberFormat="1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3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3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shrinkToFit="1"/>
        </x:xf>
      </mc:Fallback>
    </mc:AlternateContent>
    <x:xf numFmtId="0" fontId="15" fillId="0" borderId="62" xfId="0" applyNumberFormat="1" applyFont="1" applyBorder="1" applyAlignment="1">
      <x:alignment horizontal="left" vertical="center" wrapText="1"/>
    </x:xf>
    <x:xf numFmtId="0" fontId="15" fillId="0" borderId="68" xfId="0" applyNumberFormat="1" applyFont="1" applyBorder="1" applyAlignment="1">
      <x:alignment horizontal="left" vertical="center" wrapText="1"/>
    </x:xf>
    <x:xf numFmtId="0" fontId="15" fillId="0" borderId="29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7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3" xfId="0" applyNumberFormat="1" applyFont="1" applyBorder="1" applyAlignment="1">
          <x:alignment horizontal="center" vertical="center"/>
        </x:xf>
      </mc:Fallback>
    </mc:AlternateContent>
    <x:xf numFmtId="41" fontId="16" fillId="0" borderId="62" xfId="2" applyNumberFormat="1" applyFont="1" applyBorder="1" applyAlignment="1">
      <x:alignment horizontal="left" vertical="center"/>
    </x:xf>
    <x:xf numFmtId="41" fontId="16" fillId="0" borderId="68" xfId="2" applyNumberFormat="1" applyFont="1" applyBorder="1" applyAlignment="1">
      <x:alignment horizontal="left" vertical="center"/>
    </x:xf>
    <x:xf numFmtId="41" fontId="16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9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9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9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9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right" vertical="center"/>
        </x:xf>
      </mc:Fallback>
    </mc:AlternateContent>
    <x:xf numFmtId="3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right" vertical="center"/>
        </x:xf>
      </mc:Fallback>
    </mc:AlternateContent>
    <x:xf numFmtId="41" fontId="15" fillId="0" borderId="62" xfId="2" applyNumberFormat="1" applyFont="1" applyBorder="1" applyAlignment="1">
      <x:alignment horizontal="left" vertical="center"/>
    </x:xf>
    <x:xf numFmtId="41" fontId="15" fillId="0" borderId="68" xfId="2" applyNumberFormat="1" applyFont="1" applyBorder="1" applyAlignment="1">
      <x:alignment horizontal="left" vertical="center"/>
    </x:xf>
    <x:xf numFmtId="41" fontId="15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3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3" fontId="15" fillId="5" borderId="1" xfId="2" applyNumberFormat="1" applyFont="1" applyFill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백분율" xfId="1" builtinId="5"/>
    <x:cellStyle name="쉼표 [0]" xfId="2" builtinId="6"/>
    <x:cellStyle name="쉼표 [0] 3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35" Type="http://schemas.openxmlformats.org/officeDocument/2006/relationships/worksheet" Target="worksheets/sheet32.xml"  /><Relationship Id="rId36" Type="http://schemas.openxmlformats.org/officeDocument/2006/relationships/worksheet" Target="worksheets/sheet33.xml"  /><Relationship Id="rId37" Type="http://schemas.openxmlformats.org/officeDocument/2006/relationships/worksheet" Target="worksheets/sheet34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13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'10'!$C$1:$C$11</c:f>
              <c:strCache>
                <c:ptCount val="1"/>
                <c:pt idx="0">
                  <c:v>2025년4,740,5003,901,500839,00085,800140,000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4740500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'10'!$C$12:$C$34</c:f>
              <c:numCache>
                <c:formatCode>General</c:formatCode>
                <c:ptCount val="23"/>
                <c:pt idx="0">
                  <c:v>9</c:v>
                </c:pt>
                <c:pt idx="1">
                  <c:v>109</c:v>
                </c:pt>
                <c:pt idx="2">
                  <c:v>0</c:v>
                </c:pt>
                <c:pt idx="3">
                  <c:v>155</c:v>
                </c:pt>
                <c:pt idx="4">
                  <c:v>4</c:v>
                </c:pt>
                <c:pt idx="5">
                  <c:v>20</c:v>
                </c:pt>
                <c:pt idx="6">
                  <c:v>21</c:v>
                </c:pt>
                <c:pt idx="7">
                  <c:v>280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4632550</c:v>
                </c:pt>
                <c:pt idx="14">
                  <c:v/>
                </c:pt>
                <c:pt idx="15">
                  <c:v>129032.258064516</c:v>
                </c:pt>
                <c:pt idx="16">
                  <c:v>122580.64516129</c:v>
                </c:pt>
                <c:pt idx="17">
                  <c:v>103225.806451613</c:v>
                </c:pt>
                <c:pt idx="18">
                  <c:v/>
                </c:pt>
                <c:pt idx="19">
                  <c:v>112903.225806452</c:v>
                </c:pt>
                <c:pt idx="20">
                  <c:v>70000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'10'!$D$1:$D$11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4740500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'10'!$D$12:$D$34</c:f>
              <c:numCache>
                <c:formatCode>General</c:formatCode>
                <c:ptCount val="23"/>
                <c:pt idx="0">
                  <c:v>0</c:v>
                </c:pt>
                <c:pt idx="1">
                  <c:v/>
                </c:pt>
                <c:pt idx="2">
                  <c:v>0</c:v>
                </c:pt>
                <c:pt idx="3">
                  <c:v/>
                </c:pt>
                <c:pt idx="4">
                  <c:v>0</c:v>
                </c:pt>
                <c:pt idx="5">
                  <c:v/>
                </c:pt>
                <c:pt idx="6">
                  <c:v>0</c:v>
                </c:pt>
                <c:pt idx="7">
                  <c:v/>
                </c:pt>
                <c:pt idx="8">
                  <c:v>0</c:v>
                </c:pt>
                <c:pt idx="9">
                  <c:v>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2"/>
          <c:order val="2"/>
          <c:tx>
            <c:strRef>
              <c:f>'10'!$E$1:$E$11</c:f>
              <c:strCache>
                <c:ptCount val="1"/>
                <c:pt idx="0">
                  <c:v>7월시재카드수수료(2.75%)현금수수료(1%)통장입금마감잔금카드할인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4740500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'10'!$E$12:$E$34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46325500</c:v>
                </c:pt>
                <c:pt idx="14">
                  <c:v/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/>
                </c:pt>
                <c:pt idx="19">
                  <c:v>0</c:v>
                </c:pt>
                <c:pt idx="20">
                  <c:v>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3"/>
          <c:order val="3"/>
          <c:tx>
            <c:strRef>
              <c:f>'10'!$F$1:$F$11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4740500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'10'!$F$12:$F$34</c:f>
              <c:numCache>
                <c:formatCode>General</c:formatCode>
                <c:ptCount val="23"/>
                <c:pt idx="0">
                  <c:v>0</c:v>
                </c:pt>
                <c:pt idx="1">
                  <c:v>34</c:v>
                </c:pt>
                <c:pt idx="2">
                  <c:v>14</c:v>
                </c:pt>
                <c:pt idx="3">
                  <c:v>174</c:v>
                </c:pt>
                <c:pt idx="4">
                  <c:v>17</c:v>
                </c:pt>
                <c:pt idx="5">
                  <c:v>51</c:v>
                </c:pt>
                <c:pt idx="6">
                  <c:v>0</c:v>
                </c:pt>
                <c:pt idx="7">
                  <c:v>51</c:v>
                </c:pt>
                <c:pt idx="8">
                  <c:v>63</c:v>
                </c:pt>
                <c:pt idx="9">
                  <c:v>561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>52650</c:v>
                </c:pt>
                <c:pt idx="16">
                  <c:v>48387.0967741935</c:v>
                </c:pt>
                <c:pt idx="17">
                  <c:v/>
                </c:pt>
                <c:pt idx="18">
                  <c:v/>
                </c:pt>
                <c:pt idx="19">
                  <c:v>132000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4"/>
          <c:order val="4"/>
          <c:tx>
            <c:strRef>
              <c:f>'10'!$G$1:$G$11</c:f>
              <c:strCache>
                <c:ptCount val="1"/>
                <c:pt idx="0">
                  <c:v>목86,800107,2918,390860,00065,800</c:v>
                </c:pt>
              </c:strCache>
            </c:strRef>
          </c:tx>
          <c:spPr>
            <a:solidFill>
              <a:schemeClr val="accent5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4740500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'10'!$G$12:$G$34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5"/>
          <c:order val="5"/>
          <c:tx>
            <c:strRef>
              <c:f>'10'!$H$1:$H$11</c:f>
              <c:strCache>
                <c:ptCount val="1"/>
                <c:pt idx="0">
                  <c:v>실영업일수식자재업체고기식자재주류쌀참기름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4740500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'10'!$H$12:$H$34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/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6"/>
          <c:order val="6"/>
          <c:tx>
            <c:strRef>
              <c:f>'10'!$I$1:$I$11</c:f>
              <c:strCache>
                <c:ptCount val="1"/>
                <c:pt idx="0">
                  <c:v>10금액1,480,794260,10258,000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4740500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'10'!$I$13:$I$34</c:f>
              <c:numCache>
                <c:formatCode>General</c:formatCode>
                <c:ptCount val="22"/>
                <c:pt idx="0">
                  <c:v/>
                </c:pt>
                <c:pt idx="1">
                  <c:v/>
                </c:pt>
                <c:pt idx="2">
                  <c:v>104750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1903646</c:v>
                </c:pt>
                <c:pt idx="11">
                  <c:v>0.401570720388145</c:v>
                </c:pt>
                <c:pt idx="12">
                  <c:v>2264967</c:v>
                </c:pt>
                <c:pt idx="13">
                  <c:v>0.0488924458451609</c:v>
                </c:pt>
                <c:pt idx="14">
                  <c:v>770779.032258065</c:v>
                </c:pt>
                <c:pt idx="15">
                  <c:v>0.1625944588668</c:v>
                </c:pt>
                <c:pt idx="16">
                  <c:v>22649670</c:v>
                </c:pt>
                <c:pt idx="17">
                  <c:v>29.3854257213586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</c:numCache>
            </c:numRef>
          </c:val>
        </c:ser>
        <c:ser>
          <c:idx val="7"/>
          <c:order val="7"/>
          <c:tx>
            <c:strRef>
              <c:f>'10'!$J$1:$J$11</c:f>
              <c:strCache>
                <c:ptCount val="1"/>
                <c:pt idx="0">
                  <c:v>휴무일수비품 및 기타경비업체숯음식물스티커종량제봉투뚝배기발매트불판세척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4740500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'10'!$J$12:$J$34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8"/>
          <c:order val="8"/>
          <c:tx>
            <c:strRef>
              <c:f>'10'!$K$1:$K$11</c:f>
              <c:strCache>
                <c:ptCount val="1"/>
                <c:pt idx="0">
                  <c:v>금액12,50014,194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4740500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'10'!$K$12:$K$34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26694</c:v>
                </c:pt>
                <c:pt idx="12">
                  <c:v>0.00563105157683789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367527704"/>
        <c:axId val="367533104"/>
      </c:barChart>
      <c:catAx>
        <c:axId val="367527704"/>
        <c:scaling>
          <c:orientation val="minMax"/>
        </c:scaling>
        <c:axPos val="b"/>
        <c:crossAx val="367533104"/>
        <c:delete val="0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367533104"/>
        <c:scaling>
          <c:orientation val="minMax"/>
        </c:scaling>
        <c:axPos val="l"/>
        <c:crossAx val="367527704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legend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13.xml.rels><?xml version="1.0" encoding="UTF-8" standalone="yes" ?><Relationships xmlns="http://schemas.openxmlformats.org/package/2006/relationships"><Relationship Id="rId1" Type="http://schemas.openxmlformats.org/officeDocument/2006/relationships/chart" Target="../charts/chart13.xml"  /></Relationships>
</file>

<file path=xl/drawings/drawing1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0</xdr:col>
      <xdr:colOff>0</xdr:colOff>
      <xdr:row>0</xdr:row>
      <xdr:rowOff>0</xdr:rowOff>
    </xdr:from>
    <xdr:to>
      <xdr:col>12</xdr:col>
      <xdr:colOff>447675</xdr:colOff>
      <xdr:row>30</xdr:row>
      <xdr:rowOff>19050</xdr:rowOff>
    </xdr:to>
    <xdr:graphicFrame fPublished="0">
      <xdr:nvGraphicFramePr>
        <xdr:cNvPr id="2" name="차트 1"/>
        <xdr:cNvGraphicFramePr/>
      </xdr:nvGraphicFramePr>
      <xdr:xfrm>
        <a:off x="0" y="0"/>
        <a:ext cx="8760113" cy="6508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1"/>
  <x:sheetViews>
    <x:sheetView topLeftCell="A1" zoomScaleNormal="100" zoomScaleSheetLayoutView="75" workbookViewId="0">
      <x:selection activeCell="N10" activeCellId="0" sqref="N10:N10"/>
    </x:sheetView>
  </x:sheetViews>
  <x:sheetFormatPr defaultColWidth="8.625" defaultRowHeight="30" customHeight="1"/>
  <x:cols>
    <x:col min="1" max="1" width="8.625" style="2" customWidth="1"/>
    <x:col min="2" max="2" width="4.625" style="2" customWidth="1"/>
    <x:col min="3" max="3" width="10.625" style="2" customWidth="1"/>
    <x:col min="4" max="4" width="3.625" style="2" customWidth="1"/>
    <x:col min="5" max="5" width="8.625" style="2" customWidth="1"/>
    <x:col min="6" max="6" width="4.625" style="2" customWidth="1"/>
    <x:col min="7" max="7" width="12.625" style="2" customWidth="1"/>
    <x:col min="8" max="8" width="8.625" style="2" customWidth="1"/>
    <x:col min="9" max="10" width="4.625" style="2" customWidth="1"/>
    <x:col min="11" max="11" width="12.625" style="2" customWidth="1"/>
    <x:col min="12" max="16384" width="8.625" style="2"/>
  </x:cols>
  <x:sheetData>
    <x:row r="1" spans="1:11" customHeight="1">
      <x:c r="A1" s="246" t="s">
        <x:v>74</x:v>
      </x:c>
      <x:c r="B1" s="246"/>
      <x:c r="C1" s="246"/>
      <x:c r="D1" s="246"/>
      <x:c r="E1" s="246"/>
      <x:c r="F1" s="246"/>
      <x:c r="G1" s="246"/>
      <x:c r="H1" s="246"/>
      <x:c r="I1" s="246"/>
      <x:c r="J1" s="246"/>
      <x:c r="K1" s="246"/>
    </x:row>
    <x:row r="2" spans="1:11" ht="30.949999999999999" customHeight="1">
      <x:c r="A2" s="200" t="s">
        <x:v>9</x:v>
      </x:c>
      <x:c r="B2" s="201"/>
      <x:c r="C2" s="202">
        <x:f>C3+G3+C5</x:f>
        <x:v>0</x:v>
      </x:c>
      <x:c r="D2" s="203"/>
      <x:c r="E2" s="204" t="s">
        <x:v>12</x:v>
      </x:c>
      <x:c r="F2" s="205"/>
      <x:c r="G2" s="6"/>
      <x:c r="H2" s="206" t="s">
        <x:v>76</x:v>
      </x:c>
      <x:c r="I2" s="207"/>
      <x:c r="J2" s="207"/>
      <x:c r="K2" s="208"/>
    </x:row>
    <x:row r="3" spans="1:11" ht="30.949999999999999" customHeight="1">
      <x:c r="A3" s="209" t="s">
        <x:v>125</x:v>
      </x:c>
      <x:c r="B3" s="210"/>
      <x:c r="C3" s="211">
        <x:f>SUM('1'!C3)</x:f>
        <x:v>0</x:v>
      </x:c>
      <x:c r="D3" s="211"/>
      <x:c r="E3" s="210" t="s">
        <x:v>132</x:v>
      </x:c>
      <x:c r="F3" s="210"/>
      <x:c r="G3" s="7">
        <x:f>SUM('1'!G3)</x:f>
        <x:v>0</x:v>
      </x:c>
      <x:c r="H3" s="212"/>
      <x:c r="I3" s="213"/>
      <x:c r="J3" s="213"/>
      <x:c r="K3" s="214"/>
    </x:row>
    <x:row r="4" spans="1:11" ht="30.949999999999999" customHeight="1">
      <x:c r="A4" s="221" t="s">
        <x:v>123</x:v>
      </x:c>
      <x:c r="B4" s="222"/>
      <x:c r="C4" s="223">
        <x:f>C21</x:f>
        <x:v>0</x:v>
      </x:c>
      <x:c r="D4" s="223"/>
      <x:c r="E4" s="224" t="s">
        <x:v>14</x:v>
      </x:c>
      <x:c r="F4" s="222"/>
      <x:c r="G4" s="8">
        <x:f>C17</x:f>
        <x:v>0</x:v>
      </x:c>
      <x:c r="H4" s="215"/>
      <x:c r="I4" s="216"/>
      <x:c r="J4" s="216"/>
      <x:c r="K4" s="217"/>
    </x:row>
    <x:row r="5" spans="1:11" ht="30.949999999999999" customHeight="1">
      <x:c r="A5" s="209" t="s">
        <x:v>107</x:v>
      </x:c>
      <x:c r="B5" s="210"/>
      <x:c r="C5" s="225">
        <x:f>C6+G6</x:f>
        <x:v>0</x:v>
      </x:c>
      <x:c r="D5" s="226"/>
      <x:c r="E5" s="224" t="s">
        <x:v>17</x:v>
      </x:c>
      <x:c r="F5" s="222"/>
      <x:c r="G5" s="8">
        <x:f>C4-G4</x:f>
        <x:v>0</x:v>
      </x:c>
      <x:c r="H5" s="215"/>
      <x:c r="I5" s="216"/>
      <x:c r="J5" s="216"/>
      <x:c r="K5" s="217"/>
    </x:row>
    <x:row r="6" spans="1:11" ht="30.949999999999999" customHeight="1">
      <x:c r="A6" s="209" t="s">
        <x:v>146</x:v>
      </x:c>
      <x:c r="B6" s="210"/>
      <x:c r="C6" s="211">
        <x:f>SUM('1'!C7)</x:f>
        <x:v>0</x:v>
      </x:c>
      <x:c r="D6" s="211"/>
      <x:c r="E6" s="210" t="s">
        <x:v>90</x:v>
      </x:c>
      <x:c r="F6" s="210"/>
      <x:c r="G6" s="7">
        <x:f>SUM('1'!G7)</x:f>
        <x:v>0</x:v>
      </x:c>
      <x:c r="H6" s="215"/>
      <x:c r="I6" s="216"/>
      <x:c r="J6" s="216"/>
      <x:c r="K6" s="217"/>
    </x:row>
    <x:row r="7" spans="1:11" ht="30.949999999999999" customHeight="1">
      <x:c r="A7" s="209" t="s">
        <x:v>106</x:v>
      </x:c>
      <x:c r="B7" s="210"/>
      <x:c r="C7" s="227"/>
      <x:c r="D7" s="227"/>
      <x:c r="E7" s="227"/>
      <x:c r="F7" s="227"/>
      <x:c r="G7" s="227"/>
      <x:c r="H7" s="218"/>
      <x:c r="I7" s="219"/>
      <x:c r="J7" s="219"/>
      <x:c r="K7" s="220"/>
    </x:row>
    <x:row r="8" spans="1:11" ht="30.949999999999999" customHeight="1">
      <x:c r="A8" s="209"/>
      <x:c r="B8" s="210"/>
      <x:c r="C8" s="227"/>
      <x:c r="D8" s="227"/>
      <x:c r="E8" s="227"/>
      <x:c r="F8" s="227"/>
      <x:c r="G8" s="227"/>
      <x:c r="H8" s="5" t="s">
        <x:v>69</x:v>
      </x:c>
      <x:c r="I8" s="228" t="s">
        <x:v>99</x:v>
      </x:c>
      <x:c r="J8" s="229"/>
      <x:c r="K8" s="9">
        <x:f>SUM('1'!K9)</x:f>
        <x:v>0</x:v>
      </x:c>
    </x:row>
    <x:row r="9" spans="1:11" ht="30.949999999999999" customHeight="1">
      <x:c r="A9" s="209"/>
      <x:c r="B9" s="210"/>
      <x:c r="C9" s="227"/>
      <x:c r="D9" s="227"/>
      <x:c r="E9" s="227"/>
      <x:c r="F9" s="227"/>
      <x:c r="G9" s="227"/>
      <x:c r="H9" s="210" t="s">
        <x:v>33</x:v>
      </x:c>
      <x:c r="I9" s="228" t="s">
        <x:v>99</x:v>
      </x:c>
      <x:c r="J9" s="229"/>
      <x:c r="K9" s="9">
        <x:f>SUM('1'!K10)</x:f>
        <x:v>0</x:v>
      </x:c>
    </x:row>
    <x:row r="10" spans="1:11" ht="30.949999999999999" customHeight="1">
      <x:c r="A10" s="209"/>
      <x:c r="B10" s="210"/>
      <x:c r="C10" s="227"/>
      <x:c r="D10" s="227"/>
      <x:c r="E10" s="227"/>
      <x:c r="F10" s="227"/>
      <x:c r="G10" s="227"/>
      <x:c r="H10" s="210"/>
      <x:c r="I10" s="230" t="s">
        <x:v>142</x:v>
      </x:c>
      <x:c r="J10" s="231"/>
      <x:c r="K10" s="10">
        <x:f>SUM('1'!K11)</x:f>
        <x:v>14194</x:v>
      </x:c>
    </x:row>
    <x:row r="11" spans="1:11" ht="32.100000000000001" customHeight="1">
      <x:c r="A11" s="221" t="s">
        <x:v>86</x:v>
      </x:c>
      <x:c r="B11" s="222"/>
      <x:c r="C11" s="232"/>
      <x:c r="D11" s="233"/>
      <x:c r="E11" s="233"/>
      <x:c r="F11" s="233"/>
      <x:c r="G11" s="234"/>
      <x:c r="H11" s="3" t="s">
        <x:v>135</x:v>
      </x:c>
      <x:c r="I11" s="232"/>
      <x:c r="J11" s="233"/>
      <x:c r="K11" s="235"/>
    </x:row>
    <x:row r="12" spans="1:11" ht="69.950000000000003" customHeight="1">
      <x:c r="A12" s="221" t="s">
        <x:v>127</x:v>
      </x:c>
      <x:c r="B12" s="222"/>
      <x:c r="C12" s="236"/>
      <x:c r="D12" s="237"/>
      <x:c r="E12" s="237"/>
      <x:c r="F12" s="237"/>
      <x:c r="G12" s="238"/>
      <x:c r="H12" s="3" t="s">
        <x:v>140</x:v>
      </x:c>
      <x:c r="I12" s="236"/>
      <x:c r="J12" s="237"/>
      <x:c r="K12" s="239"/>
    </x:row>
    <x:row r="13" spans="1:11" ht="30.949999999999999" customHeight="1">
      <x:c r="A13" s="209" t="s">
        <x:v>91</x:v>
      </x:c>
      <x:c r="B13" s="210"/>
      <x:c r="C13" s="224" t="s">
        <x:v>89</x:v>
      </x:c>
      <x:c r="D13" s="222"/>
      <x:c r="E13" s="224" t="s">
        <x:v>104</x:v>
      </x:c>
      <x:c r="F13" s="240"/>
      <x:c r="G13" s="222"/>
      <x:c r="H13" s="210" t="s">
        <x:v>80</x:v>
      </x:c>
      <x:c r="I13" s="210"/>
      <x:c r="J13" s="210" t="s">
        <x:v>88</x:v>
      </x:c>
      <x:c r="K13" s="241"/>
    </x:row>
    <x:row r="14" spans="1:11" ht="30.949999999999999" customHeight="1">
      <x:c r="A14" s="242">
        <x:f>C2</x:f>
        <x:v>0</x:v>
      </x:c>
      <x:c r="B14" s="243"/>
      <x:c r="C14" s="244" t="e">
        <x:f>ROUNDDOWN((E14/A14),-4)</x:f>
        <x:v>#DIV/0!</x:v>
      </x:c>
      <x:c r="D14" s="243"/>
      <x:c r="E14" s="244">
        <x:f>C2</x:f>
        <x:v>0</x:v>
      </x:c>
      <x:c r="F14" s="245"/>
      <x:c r="G14" s="243"/>
      <x:c r="H14" s="236"/>
      <x:c r="I14" s="238"/>
      <x:c r="J14" s="236"/>
      <x:c r="K14" s="239"/>
    </x:row>
    <x:row r="15" spans="1:11" ht="30.949999999999999" customHeight="1">
      <x:c r="A15" s="209" t="s">
        <x:v>145</x:v>
      </x:c>
      <x:c r="B15" s="210"/>
      <x:c r="C15" s="224"/>
      <x:c r="D15" s="222"/>
      <x:c r="E15" s="224"/>
      <x:c r="F15" s="240"/>
      <x:c r="G15" s="222"/>
      <x:c r="H15" s="236"/>
      <x:c r="I15" s="238"/>
      <x:c r="J15" s="236"/>
      <x:c r="K15" s="239"/>
    </x:row>
    <x:row r="16" spans="1:11" ht="30.949999999999999" customHeight="1">
      <x:c r="A16" s="221" t="s">
        <x:v>75</x:v>
      </x:c>
      <x:c r="B16" s="240"/>
      <x:c r="C16" s="240"/>
      <x:c r="D16" s="240"/>
      <x:c r="E16" s="240"/>
      <x:c r="F16" s="222"/>
      <x:c r="G16" s="210" t="s">
        <x:v>75</x:v>
      </x:c>
      <x:c r="H16" s="210"/>
      <x:c r="I16" s="210"/>
      <x:c r="J16" s="210"/>
      <x:c r="K16" s="241"/>
    </x:row>
    <x:row r="17" spans="1:11" ht="30.949999999999999" customHeight="1">
      <x:c r="A17" s="209" t="s">
        <x:v>3</x:v>
      </x:c>
      <x:c r="B17" s="210"/>
      <x:c r="C17" s="211"/>
      <x:c r="D17" s="211"/>
      <x:c r="E17" s="211"/>
      <x:c r="F17" s="211"/>
      <x:c r="G17" s="3" t="s">
        <x:v>3</x:v>
      </x:c>
      <x:c r="H17" s="211"/>
      <x:c r="I17" s="211"/>
      <x:c r="J17" s="211"/>
      <x:c r="K17" s="247"/>
    </x:row>
    <x:row r="18" spans="1:11" ht="30.949999999999999" customHeight="1">
      <x:c r="A18" s="209" t="s">
        <x:v>53</x:v>
      </x:c>
      <x:c r="B18" s="210"/>
      <x:c r="C18" s="211"/>
      <x:c r="D18" s="211"/>
      <x:c r="E18" s="211"/>
      <x:c r="F18" s="211"/>
      <x:c r="G18" s="3" t="s">
        <x:v>53</x:v>
      </x:c>
      <x:c r="H18" s="211"/>
      <x:c r="I18" s="211"/>
      <x:c r="J18" s="211"/>
      <x:c r="K18" s="247"/>
    </x:row>
    <x:row r="19" spans="1:11" ht="30.949999999999999" customHeight="1">
      <x:c r="A19" s="209" t="s">
        <x:v>13</x:v>
      </x:c>
      <x:c r="B19" s="210"/>
      <x:c r="C19" s="211"/>
      <x:c r="D19" s="211"/>
      <x:c r="E19" s="211"/>
      <x:c r="F19" s="211"/>
      <x:c r="G19" s="3" t="s">
        <x:v>13</x:v>
      </x:c>
      <x:c r="H19" s="211"/>
      <x:c r="I19" s="211"/>
      <x:c r="J19" s="211"/>
      <x:c r="K19" s="247"/>
    </x:row>
    <x:row r="20" spans="1:11" ht="30.949999999999999" customHeight="1">
      <x:c r="A20" s="209" t="s">
        <x:v>44</x:v>
      </x:c>
      <x:c r="B20" s="210"/>
      <x:c r="C20" s="211"/>
      <x:c r="D20" s="211"/>
      <x:c r="E20" s="211"/>
      <x:c r="F20" s="211"/>
      <x:c r="G20" s="3" t="s">
        <x:v>44</x:v>
      </x:c>
      <x:c r="H20" s="211"/>
      <x:c r="I20" s="211"/>
      <x:c r="J20" s="211"/>
      <x:c r="K20" s="247"/>
    </x:row>
    <x:row r="21" spans="1:11" ht="30.949999999999999" customHeight="1">
      <x:c r="A21" s="248" t="s">
        <x:v>55</x:v>
      </x:c>
      <x:c r="B21" s="249"/>
      <x:c r="C21" s="250">
        <x:f>SUM(C17:E20)</x:f>
        <x:v>0</x:v>
      </x:c>
      <x:c r="D21" s="251"/>
      <x:c r="E21" s="251"/>
      <x:c r="F21" s="252"/>
      <x:c r="G21" s="4" t="s">
        <x:v>55</x:v>
      </x:c>
      <x:c r="H21" s="253">
        <x:f>SUM(H17:K20)</x:f>
        <x:v>0</x:v>
      </x:c>
      <x:c r="I21" s="253"/>
      <x:c r="J21" s="253"/>
      <x:c r="K21" s="254"/>
    </x:row>
  </x:sheetData>
  <x:mergeCells count="62">
    <x:mergeCell ref="A2:B2"/>
    <x:mergeCell ref="C2:D2"/>
    <x:mergeCell ref="E2:F2"/>
    <x:mergeCell ref="H2:K2"/>
    <x:mergeCell ref="A3:B3"/>
    <x:mergeCell ref="C3:D3"/>
    <x:mergeCell ref="E3:F3"/>
    <x:mergeCell ref="H3:K7"/>
    <x:mergeCell ref="A4:B4"/>
    <x:mergeCell ref="C4:D4"/>
    <x:mergeCell ref="E4:F4"/>
    <x:mergeCell ref="A5:B5"/>
    <x:mergeCell ref="C5:D5"/>
    <x:mergeCell ref="E5:F5"/>
    <x:mergeCell ref="A6:B6"/>
    <x:mergeCell ref="C6:D6"/>
    <x:mergeCell ref="E6:F6"/>
    <x:mergeCell ref="A7:B10"/>
    <x:mergeCell ref="C7:G10"/>
    <x:mergeCell ref="I8:J8"/>
    <x:mergeCell ref="H9:H10"/>
    <x:mergeCell ref="I9:J9"/>
    <x:mergeCell ref="I10:J10"/>
    <x:mergeCell ref="A11:B11"/>
    <x:mergeCell ref="C11:G11"/>
    <x:mergeCell ref="I11:K11"/>
    <x:mergeCell ref="A12:B12"/>
    <x:mergeCell ref="C12:G12"/>
    <x:mergeCell ref="I12:K12"/>
    <x:mergeCell ref="E13:G13"/>
    <x:mergeCell ref="H13:I13"/>
    <x:mergeCell ref="J13:K13"/>
    <x:mergeCell ref="A14:B14"/>
    <x:mergeCell ref="C14:D14"/>
    <x:mergeCell ref="E14:G14"/>
    <x:mergeCell ref="H14:I14"/>
    <x:mergeCell ref="J14:K14"/>
    <x:mergeCell ref="A1:K1"/>
    <x:mergeCell ref="A19:B19"/>
    <x:mergeCell ref="C19:F19"/>
    <x:mergeCell ref="H19:K19"/>
    <x:mergeCell ref="A20:B20"/>
    <x:mergeCell ref="C20:F20"/>
    <x:mergeCell ref="H20:K20"/>
    <x:mergeCell ref="A17:B17"/>
    <x:mergeCell ref="C17:F17"/>
    <x:mergeCell ref="H17:K17"/>
    <x:mergeCell ref="A18:B18"/>
    <x:mergeCell ref="C18:F18"/>
    <x:mergeCell ref="A16:F16"/>
    <x:mergeCell ref="G16:K16"/>
    <x:mergeCell ref="A13:B13"/>
    <x:mergeCell ref="C13:D13"/>
    <x:mergeCell ref="H18:K18"/>
    <x:mergeCell ref="J15:K15"/>
    <x:mergeCell ref="A21:B21"/>
    <x:mergeCell ref="C21:F21"/>
    <x:mergeCell ref="H21:K21"/>
    <x:mergeCell ref="A15:B15"/>
    <x:mergeCell ref="C15:D15"/>
    <x:mergeCell ref="E15:G15"/>
    <x:mergeCell ref="H15:I15"/>
  </x:mergeCells>
  <x:pageMargins left="0.52958333492279053" right="0.47972223162651062" top="0.97000002861022949" bottom="0.49000000953674316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U58"/>
  <x:sheetViews>
    <x:sheetView topLeftCell="A1" zoomScaleNormal="100" zoomScaleSheetLayoutView="75" workbookViewId="0">
      <x:selection activeCell="D19" activeCellId="0" sqref="D19:D31"/>
    </x:sheetView>
  </x:sheetViews>
  <x:sheetFormatPr defaultColWidth="9" defaultRowHeight="16.5" customHeight="1"/>
  <x:cols>
    <x:col min="1" max="1" width="13.75" style="1" customWidth="1"/>
    <x:col min="2" max="2" width="13.875" style="1" customWidth="1"/>
    <x:col min="3" max="3" width="13.375" style="1" customWidth="1"/>
    <x:col min="4" max="4" width="20.625" style="1" customWidth="1"/>
    <x:col min="5" max="5" width="16" style="1" customWidth="1"/>
    <x:col min="6" max="6" width="11.375" style="1" customWidth="1"/>
    <x:col min="7" max="7" width="20.625" style="1" customWidth="1"/>
    <x:col min="8" max="8" width="15.25" style="1" customWidth="1"/>
    <x:col min="9" max="9" width="14.875" style="1" customWidth="1"/>
    <x:col min="10" max="10" width="14" style="1" customWidth="1"/>
    <x:col min="11" max="11" width="14.25" style="1" customWidth="1"/>
    <x:col min="12" max="12" width="4.25" style="1" customWidth="1"/>
    <x:col min="13" max="13" width="13.125" style="1" customWidth="1"/>
    <x:col min="14" max="14" width="13" style="1" customWidth="1"/>
    <x:col min="16" max="16" width="12.125" style="1" bestFit="1" customWidth="1"/>
    <x:col min="20" max="20" width="13" style="1" bestFit="1" customWidth="1"/>
    <x:col min="21" max="21" width="10.875" style="1" bestFit="1" customWidth="1"/>
  </x:cols>
  <x:sheetData>
    <x:row r="1" spans="5:5" customHeight="1">
      <x:c r="E1" s="139" t="s">
        <x:v>67</x:v>
      </x:c>
    </x:row>
    <x:row r="2" spans="1:2" ht="16.399999999999999">
      <x:c r="A2" s="11"/>
      <x:c r="B2" s="11"/>
    </x:row>
    <x:row r="3" ht="16.399999999999999"/>
    <x:row r="4" spans="1:16" customHeight="1">
      <x:c r="A4" s="177" t="s">
        <x:v>95</x:v>
      </x:c>
      <x:c r="B4" s="178"/>
      <x:c r="C4" s="178"/>
      <x:c r="D4" s="178"/>
      <x:c r="E4" s="179"/>
      <x:c r="F4" s="177" t="s">
        <x:v>83</x:v>
      </x:c>
      <x:c r="G4" s="178"/>
      <x:c r="H4" s="178"/>
      <x:c r="I4" s="178"/>
      <x:c r="J4" s="178"/>
      <x:c r="K4" s="179"/>
      <x:c r="M4" s="69"/>
      <x:c r="N4" s="69"/>
      <x:c r="O4" s="69"/>
      <x:c r="P4" s="69"/>
    </x:row>
    <x:row r="5" spans="1:16" s="15" customFormat="1" ht="17.149999999999999">
      <x:c r="A5" s="180" t="s">
        <x:v>2</x:v>
      </x:c>
      <x:c r="B5" s="181"/>
      <x:c r="C5" s="13"/>
      <x:c r="D5" s="13" t="s">
        <x:v>112</x:v>
      </x:c>
      <x:c r="E5" s="14" t="s">
        <x:v>147</x:v>
      </x:c>
      <x:c r="F5" s="12" t="s">
        <x:v>2</x:v>
      </x:c>
      <x:c r="G5" s="13" t="s">
        <x:v>26</x:v>
      </x:c>
      <x:c r="H5" s="13" t="s">
        <x:v>40</x:v>
      </x:c>
      <x:c r="I5" s="14"/>
      <x:c r="J5" s="13" t="s">
        <x:v>112</x:v>
      </x:c>
      <x:c r="K5" s="14"/>
      <x:c r="M5" s="76" t="s">
        <x:v>134</x:v>
      </x:c>
      <x:c r="N5" s="126">
        <x:f>SUM('1:31'!G6)</x:f>
        <x:v>20560000</x:v>
      </x:c>
      <x:c r="O5" s="69"/>
      <x:c r="P5" s="69"/>
    </x:row>
    <x:row r="6" spans="1:16" ht="16.399999999999999">
      <x:c r="A6" s="156" t="s">
        <x:v>36</x:v>
      </x:c>
      <x:c r="B6" s="157"/>
      <x:c r="C6" s="16">
        <x:v>6985000</x:v>
      </x:c>
      <x:c r="D6" s="16">
        <x:f>C6</x:f>
        <x:v>6985000</x:v>
      </x:c>
      <x:c r="E6" s="149">
        <x:f>D6/$B$45</x:f>
        <x:v>0.053035594970540001</x:v>
      </x:c>
      <x:c r="F6" s="172" t="s">
        <x:v>6</x:v>
      </x:c>
      <x:c r="G6" s="67" t="s">
        <x:v>20</x:v>
      </x:c>
      <x:c r="H6" s="16">
        <x:f>SUM('1:31'!I4)</x:f>
        <x:v>35244787</x:v>
      </x:c>
      <x:c r="I6" s="70">
        <x:f>H6/$B$45</x:f>
        <x:v>0.26760604841158964</x:v>
      </x:c>
      <x:c r="J6" s="175">
        <x:f>SUM(H6:H18)</x:f>
        <x:v>50478704</x:v>
      </x:c>
      <x:c r="K6" s="182">
        <x:f>J6/$B$45</x:f>
        <x:v>0.38327388689789227</x:v>
      </x:c>
      <x:c r="M6" s="75"/>
      <x:c r="N6" s="127"/>
      <x:c r="O6" s="69"/>
      <x:c r="P6" s="69"/>
    </x:row>
    <x:row r="7" spans="1:16" ht="16.75">
      <x:c r="A7" s="156" t="s">
        <x:v>39</x:v>
      </x:c>
      <x:c r="B7" s="157"/>
      <x:c r="C7" s="16">
        <x:v>2600000</x:v>
      </x:c>
      <x:c r="D7" s="16">
        <x:f>C7</x:f>
        <x:v>2600000</x:v>
      </x:c>
      <x:c r="E7" s="17">
        <x:f t="shared" ref="E7:E17" si="0">D7/$B$45</x:f>
        <x:v>0.019741237927473728</x:v>
      </x:c>
      <x:c r="F7" s="173"/>
      <x:c r="G7" s="67" t="s">
        <x:v>6</x:v>
      </x:c>
      <x:c r="H7" s="16">
        <x:f>SUM('1:31'!I5)</x:f>
        <x:v>6589767</x:v>
      </x:c>
      <x:c r="I7" s="70">
        <x:f>H7/$B$45</x:f>
        <x:v>0.050034676243697995</x:v>
      </x:c>
      <x:c r="J7" s="162"/>
      <x:c r="K7" s="171"/>
      <x:c r="M7" s="144" t="s">
        <x:v>66</x:v>
      </x:c>
      <x:c r="N7" s="128">
        <x:f>SUM('31'!C15)</x:f>
        <x:v>432</x:v>
      </x:c>
      <x:c r="O7" s="69"/>
      <x:c r="P7" s="69"/>
    </x:row>
    <x:row r="8" spans="1:16" ht="16.399999999999999">
      <x:c r="A8" s="156" t="s">
        <x:v>5</x:v>
      </x:c>
      <x:c r="B8" s="157"/>
      <x:c r="C8" s="16">
        <x:v>154000</x:v>
      </x:c>
      <x:c r="D8" s="16">
        <x:f t="shared" ref="D8:D17" si="1">C8</x:f>
        <x:v>154000</x:v>
      </x:c>
      <x:c r="E8" s="17">
        <x:f>D8/$B$45</x:f>
        <x:v>0.0011692887080119055</x:v>
      </x:c>
      <x:c r="F8" s="173"/>
      <x:c r="G8" s="67" t="s">
        <x:v>24</x:v>
      </x:c>
      <x:c r="H8" s="16">
        <x:f>SUM('1:31'!I7)</x:f>
        <x:v>3743800</x:v>
      </x:c>
      <x:c r="I8" s="150">
        <x:f>H8/$B$45</x:f>
        <x:v>0.028425864058798517</x:v>
      </x:c>
      <x:c r="J8" s="162"/>
      <x:c r="K8" s="171"/>
      <x:c r="M8" s="77" t="s">
        <x:v>43</x:v>
      </x:c>
      <x:c r="N8" s="129">
        <x:f>SUM('31'!C13)</x:f>
        <x:v>303</x:v>
      </x:c>
      <x:c r="O8" s="69"/>
      <x:c r="P8" s="69"/>
    </x:row>
    <x:row r="9" spans="1:16" ht="16.399999999999999">
      <x:c r="A9" s="158" t="s">
        <x:v>10</x:v>
      </x:c>
      <x:c r="B9" s="157"/>
      <x:c r="C9" s="16">
        <x:v>670000</x:v>
      </x:c>
      <x:c r="D9" s="16">
        <x:f t="shared" si="1"/>
        <x:v>670000</x:v>
      </x:c>
      <x:c r="E9" s="17">
        <x:f t="shared" si="0"/>
        <x:v>0.0050871651582336148</x:v>
      </x:c>
      <x:c r="F9" s="173"/>
      <x:c r="G9" s="67" t="s">
        <x:v>46</x:v>
      </x:c>
      <x:c r="H9" s="16">
        <x:f>SUM('1:31'!I8)</x:f>
        <x:v>704000</x:v>
      </x:c>
      <x:c r="I9" s="150">
        <x:f>H9/$B$45</x:f>
        <x:v>0.0053453198080544249</x:v>
      </x:c>
      <x:c r="J9" s="162"/>
      <x:c r="K9" s="171"/>
      <x:c r="M9" s="77" t="s">
        <x:v>52</x:v>
      </x:c>
      <x:c r="N9" s="129">
        <x:f>SUM('31'!C17)</x:f>
        <x:v>127</x:v>
      </x:c>
      <x:c r="O9" s="69"/>
      <x:c r="P9" s="69"/>
    </x:row>
    <x:row r="10" spans="1:16" ht="16.399999999999999">
      <x:c r="A10" s="156" t="s">
        <x:v>84</x:v>
      </x:c>
      <x:c r="B10" s="157"/>
      <x:c r="C10" s="16">
        <x:v>66000</x:v>
      </x:c>
      <x:c r="D10" s="16">
        <x:f t="shared" si="1"/>
        <x:v>66000</x:v>
      </x:c>
      <x:c r="E10" s="17">
        <x:f t="shared" si="0"/>
        <x:v>0.00050112373200510239</x:v>
      </x:c>
      <x:c r="F10" s="173"/>
      <x:c r="G10" s="67" t="s">
        <x:v>59</x:v>
      </x:c>
      <x:c r="H10" s="16">
        <x:f>SUM('1:31'!I11)</x:f>
        <x:v>200000</x:v>
      </x:c>
      <x:c r="I10" s="70">
        <x:f>H10/$B$45</x:f>
        <x:v>0.0015185567636518253</x:v>
      </x:c>
      <x:c r="J10" s="162"/>
      <x:c r="K10" s="171"/>
      <x:c r="M10" s="77" t="s">
        <x:v>136</x:v>
      </x:c>
      <x:c r="N10" s="129">
        <x:f>SUM('31'!F13)</x:f>
        <x:v>103</x:v>
      </x:c>
      <x:c r="O10" s="69"/>
      <x:c r="P10" s="69"/>
    </x:row>
    <x:row r="11" spans="1:16" ht="16.399999999999999">
      <x:c r="A11" s="156" t="s">
        <x:v>47</x:v>
      </x:c>
      <x:c r="B11" s="157"/>
      <x:c r="C11" s="16">
        <x:v>330000</x:v>
      </x:c>
      <x:c r="D11" s="16">
        <x:f t="shared" si="1"/>
        <x:v>330000</x:v>
      </x:c>
      <x:c r="E11" s="17">
        <x:f t="shared" si="0"/>
        <x:v>0.0025056186600255119</x:v>
      </x:c>
      <x:c r="F11" s="173"/>
      <x:c r="G11" s="67" t="s">
        <x:v>105</x:v>
      </x:c>
      <x:c r="H11" s="16">
        <x:f>SUM('1:31'!I12)</x:f>
        <x:v>53400</x:v>
      </x:c>
      <x:c r="I11" s="70">
        <x:f>H11/$B$45</x:f>
        <x:v>0.00040545465589503736</x:v>
      </x:c>
      <x:c r="J11" s="162"/>
      <x:c r="K11" s="171"/>
      <x:c r="M11" s="77" t="s">
        <x:v>98</x:v>
      </x:c>
      <x:c r="N11" s="129">
        <x:f>SUM('31'!F15)</x:f>
        <x:v>376</x:v>
      </x:c>
      <x:c r="O11" s="69"/>
      <x:c r="P11" s="69"/>
    </x:row>
    <x:row r="12" spans="1:16" ht="16.399999999999999">
      <x:c r="A12" s="156" t="s">
        <x:v>38</x:v>
      </x:c>
      <x:c r="B12" s="157"/>
      <x:c r="C12" s="16">
        <x:v>48000</x:v>
      </x:c>
      <x:c r="D12" s="16">
        <x:f t="shared" si="1"/>
        <x:v>48000</x:v>
      </x:c>
      <x:c r="E12" s="17">
        <x:f t="shared" si="0"/>
        <x:v>0.0003644536232764381</x:v>
      </x:c>
      <x:c r="F12" s="173"/>
      <x:c r="G12" s="67" t="s">
        <x:v>124</x:v>
      </x:c>
      <x:c r="H12" s="16">
        <x:f>SUM('1:31'!I13)</x:f>
        <x:v>480000</x:v>
      </x:c>
      <x:c r="I12" s="70">
        <x:f>H12/$B$45</x:f>
        <x:v>0.0036445362327643806</x:v>
      </x:c>
      <x:c r="J12" s="162"/>
      <x:c r="K12" s="171"/>
      <x:c r="M12" s="77" t="s">
        <x:v>120</x:v>
      </x:c>
      <x:c r="N12" s="129">
        <x:f>SUM('31'!F17)</x:f>
        <x:v>396</x:v>
      </x:c>
      <x:c r="O12" s="69"/>
      <x:c r="P12" s="69"/>
    </x:row>
    <x:row r="13" spans="1:16" ht="16.399999999999999">
      <x:c r="A13" s="158" t="s">
        <x:v>103</x:v>
      </x:c>
      <x:c r="B13" s="157"/>
      <x:c r="C13" s="16">
        <x:v>66000</x:v>
      </x:c>
      <x:c r="D13" s="16">
        <x:f t="shared" si="1"/>
        <x:v>66000</x:v>
      </x:c>
      <x:c r="E13" s="17">
        <x:f t="shared" si="0"/>
        <x:v>0.00050112373200510239</x:v>
      </x:c>
      <x:c r="F13" s="173"/>
      <x:c r="G13" s="67" t="s">
        <x:v>114</x:v>
      </x:c>
      <x:c r="H13" s="16">
        <x:f>SUM('1:31'!I14)</x:f>
        <x:v>0</x:v>
      </x:c>
      <x:c r="I13" s="70">
        <x:f>H13/$B$45</x:f>
        <x:v>0</x:v>
      </x:c>
      <x:c r="J13" s="162"/>
      <x:c r="K13" s="171"/>
      <x:c r="M13" s="143" t="s">
        <x:v>94</x:v>
      </x:c>
      <x:c r="N13" s="129">
        <x:f>SUM('31'!C19)</x:f>
        <x:v>551</x:v>
      </x:c>
      <x:c r="O13" s="69"/>
      <x:c r="P13" s="69"/>
    </x:row>
    <x:row r="14" spans="1:16" ht="16.399999999999999">
      <x:c r="A14" s="156"/>
      <x:c r="B14" s="157"/>
      <x:c r="C14" s="16"/>
      <x:c r="D14" s="16">
        <x:f t="shared" si="1"/>
        <x:v>0</x:v>
      </x:c>
      <x:c r="E14" s="17">
        <x:f t="shared" si="0"/>
        <x:v>0</x:v>
      </x:c>
      <x:c r="F14" s="173"/>
      <x:c r="G14" s="67" t="s">
        <x:v>7</x:v>
      </x:c>
      <x:c r="H14" s="16">
        <x:f>SUM('1:31'!I17)</x:f>
        <x:v>17600</x:v>
      </x:c>
      <x:c r="I14" s="70">
        <x:f>H14/$B$45</x:f>
        <x:v>0.00013363299520136062</x:v>
      </x:c>
      <x:c r="J14" s="162"/>
      <x:c r="K14" s="171"/>
      <x:c r="M14" s="131" t="s">
        <x:v>133</x:v>
      </x:c>
      <x:c r="N14" s="129">
        <x:f>SUM('31'!F19)</x:f>
        <x:v>127</x:v>
      </x:c>
      <x:c r="O14" s="69"/>
      <x:c r="P14" s="69"/>
    </x:row>
    <x:row r="15" spans="1:16" ht="16.75">
      <x:c r="A15" s="156"/>
      <x:c r="B15" s="157"/>
      <x:c r="C15" s="16"/>
      <x:c r="D15" s="16">
        <x:f t="shared" si="1"/>
        <x:v>0</x:v>
      </x:c>
      <x:c r="E15" s="17">
        <x:f t="shared" si="0"/>
        <x:v>0</x:v>
      </x:c>
      <x:c r="F15" s="173"/>
      <x:c r="G15" s="148" t="s">
        <x:v>109</x:v>
      </x:c>
      <x:c r="H15" s="91">
        <x:f>SUM('1:31'!I15)</x:f>
        <x:v>3445350</x:v>
      </x:c>
      <x:c r="I15" s="72">
        <x:f>H15/$B$45</x:f>
        <x:v>0.026159797728239082</x:v>
      </x:c>
      <x:c r="J15" s="162"/>
      <x:c r="K15" s="171"/>
      <x:c r="M15" s="140" t="s">
        <x:v>153</x:v>
      </x:c>
      <x:c r="N15" s="130">
        <x:f>SUM('31'!F21)</x:f>
        <x:v>1680</x:v>
      </x:c>
      <x:c r="O15" s="69"/>
      <x:c r="P15" s="69"/>
    </x:row>
    <x:row r="16" spans="1:16" ht="16.399999999999999">
      <x:c r="A16" s="159" t="s">
        <x:v>60</x:v>
      </x:c>
      <x:c r="B16" s="160"/>
      <x:c r="C16" s="16"/>
      <x:c r="D16" s="16">
        <x:f t="shared" si="1"/>
        <x:v>0</x:v>
      </x:c>
      <x:c r="E16" s="17">
        <x:f t="shared" si="0"/>
        <x:v>0</x:v>
      </x:c>
      <x:c r="F16" s="173"/>
      <x:c r="J16" s="162"/>
      <x:c r="K16" s="171"/>
      <x:c r="M16" s="75"/>
      <x:c r="N16" s="127"/>
      <x:c r="O16" s="69"/>
      <x:c r="P16" s="69"/>
    </x:row>
    <x:row r="17" spans="1:16" ht="16.399999999999999">
      <x:c r="A17" s="159" t="s">
        <x:v>32</x:v>
      </x:c>
      <x:c r="B17" s="160"/>
      <x:c r="C17" s="16">
        <x:v>1177000</x:v>
      </x:c>
      <x:c r="D17" s="16">
        <x:f t="shared" si="1"/>
        <x:v>1177000</x:v>
      </x:c>
      <x:c r="E17" s="17">
        <x:f t="shared" si="0"/>
        <x:v>0.0089367065540909927</x:v>
      </x:c>
      <x:c r="F17" s="173"/>
      <x:c r="J17" s="162"/>
      <x:c r="K17" s="171"/>
      <x:c r="M17" s="69"/>
      <x:c r="N17" s="69"/>
      <x:c r="O17" s="69"/>
      <x:c r="P17" s="69"/>
    </x:row>
    <x:row r="18" spans="1:14" ht="17.149999999999999">
      <x:c r="A18" s="188" t="s">
        <x:v>82</x:v>
      </x:c>
      <x:c r="B18" s="189"/>
      <x:c r="C18" s="190">
        <x:f>SUM(D6:D17)</x:f>
        <x:v>12096000</x:v>
      </x:c>
      <x:c r="D18" s="191"/>
      <x:c r="E18" s="90">
        <x:f>SUM(E6:E17)</x:f>
        <x:v>0.091842313065662401</x:v>
      </x:c>
      <x:c r="F18" s="174"/>
      <x:c r="J18" s="176"/>
      <x:c r="K18" s="183"/>
      <x:c r="M18" s="82"/>
      <x:c r="N18" s="69"/>
    </x:row>
    <x:row r="19" spans="1:14" ht="17.449999999999999" customHeight="1">
      <x:c r="A19" s="192" t="s">
        <x:v>57</x:v>
      </x:c>
      <x:c r="B19" s="96" t="s">
        <x:v>45</x:v>
      </x:c>
      <x:c r="C19" s="106">
        <x:v>4000000</x:v>
      </x:c>
      <x:c r="D19" s="162">
        <x:f>SUM(C19:C30)</x:f>
        <x:v>24261800</x:v>
      </x:c>
      <x:c r="E19" s="165">
        <x:f>D19/$B$45</x:f>
        <x:v>0.18421460244183926</x:v>
      </x:c>
      <x:c r="F19" s="198" t="s">
        <x:v>78</x:v>
      </x:c>
      <x:c r="G19" s="146" t="s">
        <x:v>37</x:v>
      </x:c>
      <x:c r="H19" s="16">
        <x:f>SUM('1:31'!K4)</x:f>
        <x:v>1281000</x:v>
      </x:c>
      <x:c r="I19" s="71">
        <x:f t="shared" ref="I19:I22" si="2">H19/$B$45</x:f>
        <x:v>0.0097263560711899413</x:v>
      </x:c>
      <x:c r="J19" s="161">
        <x:f>SUM(H19:H32)</x:f>
        <x:v>3879178</x:v>
      </x:c>
      <x:c r="K19" s="170">
        <x:f>J19/$B$45</x:f>
        <x:v>0.029453759946546802</x:v>
      </x:c>
      <x:c r="M19" s="69"/>
      <x:c r="N19" s="69"/>
    </x:row>
    <x:row r="20" spans="1:16" ht="16.399999999999999">
      <x:c r="A20" s="192"/>
      <x:c r="B20" s="138" t="s">
        <x:v>23</x:v>
      </x:c>
      <x:c r="C20" s="16">
        <x:v>3800000</x:v>
      </x:c>
      <x:c r="D20" s="162"/>
      <x:c r="E20" s="166"/>
      <x:c r="F20" s="199"/>
      <x:c r="G20" s="147" t="s">
        <x:v>130</x:v>
      </x:c>
      <x:c r="H20" s="16">
        <x:f>SUM('1:31'!K6)</x:f>
        <x:v>168000</x:v>
      </x:c>
      <x:c r="I20" s="70">
        <x:f t="shared" si="2"/>
        <x:v>0.0012755876814675333</x:v>
      </x:c>
      <x:c r="J20" s="162"/>
      <x:c r="K20" s="171"/>
      <x:c r="M20" s="69"/>
      <x:c r="N20" s="69"/>
      <x:c r="P20" s="92"/>
    </x:row>
    <x:row r="21" spans="1:16" ht="16.399999999999999">
      <x:c r="A21" s="192"/>
      <x:c r="B21" s="145" t="s">
        <x:v>42</x:v>
      </x:c>
      <x:c r="C21" s="16">
        <x:v>3500000</x:v>
      </x:c>
      <x:c r="D21" s="162"/>
      <x:c r="E21" s="166"/>
      <x:c r="F21" s="199"/>
      <x:c r="G21" s="147" t="s">
        <x:v>79</x:v>
      </x:c>
      <x:c r="H21" s="16">
        <x:f>SUM('1:31'!K7)</x:f>
        <x:v>37500</x:v>
      </x:c>
      <x:c r="I21" s="70">
        <x:f t="shared" si="2"/>
        <x:v>0.00028472939318471726</x:v>
      </x:c>
      <x:c r="J21" s="162"/>
      <x:c r="K21" s="171"/>
      <x:c r="M21" s="69"/>
      <x:c r="N21" s="69"/>
      <x:c r="P21" s="92"/>
    </x:row>
    <x:row r="22" spans="1:16" ht="16.399999999999999">
      <x:c r="A22" s="192"/>
      <x:c r="B22" s="138" t="s">
        <x:v>48</x:v>
      </x:c>
      <x:c r="C22" s="16">
        <x:v>3200000</x:v>
      </x:c>
      <x:c r="D22" s="162"/>
      <x:c r="E22" s="166"/>
      <x:c r="F22" s="199"/>
      <x:c r="G22" s="67" t="s">
        <x:v>16</x:v>
      </x:c>
      <x:c r="H22" s="16">
        <x:f>SUM('1:31'!K9)</x:f>
        <x:v>0</x:v>
      </x:c>
      <x:c r="I22" s="70">
        <x:f t="shared" si="2"/>
        <x:v>0</x:v>
      </x:c>
      <x:c r="J22" s="162"/>
      <x:c r="K22" s="171"/>
      <x:c r="M22" s="69"/>
      <x:c r="N22" s="69"/>
      <x:c r="P22" s="92"/>
    </x:row>
    <x:row r="23" spans="1:16" ht="16.399999999999999">
      <x:c r="A23" s="192"/>
      <x:c r="D23" s="162"/>
      <x:c r="E23" s="166"/>
      <x:c r="F23" s="199"/>
      <x:c r="G23" s="67" t="s">
        <x:v>54</x:v>
      </x:c>
      <x:c r="H23" s="16">
        <x:f>SUM('1:31'!K10)</x:f>
        <x:v>53300</x:v>
      </x:c>
      <x:c r="I23" s="70">
        <x:f>H23/$B$45</x:f>
        <x:v>0.00040469537751321145</x:v>
      </x:c>
      <x:c r="J23" s="162"/>
      <x:c r="K23" s="171"/>
      <x:c r="M23" s="69"/>
      <x:c r="N23" s="69"/>
      <x:c r="P23" s="92"/>
    </x:row>
    <x:row r="24" spans="1:16" ht="16.399999999999999">
      <x:c r="A24" s="192"/>
      <x:c r="B24" s="138" t="s">
        <x:v>152</x:v>
      </x:c>
      <x:c r="C24" s="16">
        <x:v>1500000</x:v>
      </x:c>
      <x:c r="D24" s="162"/>
      <x:c r="E24" s="166"/>
      <x:c r="F24" s="199"/>
      <x:c r="G24" s="67" t="s">
        <x:v>85</x:v>
      </x:c>
      <x:c r="H24" s="16">
        <x:f>SUM('1:31'!K11)</x:f>
        <x:v>383238</x:v>
      </x:c>
      <x:c r="I24" s="70">
        <x:f>H24/$B$45</x:f>
        <x:v>0.0029098432849419911</x:v>
      </x:c>
      <x:c r="J24" s="162"/>
      <x:c r="K24" s="171"/>
      <x:c r="M24" s="69"/>
      <x:c r="N24" s="69"/>
      <x:c r="P24" s="15"/>
    </x:row>
    <x:row r="25" spans="1:14" ht="16.399999999999999">
      <x:c r="A25" s="192"/>
      <x:c r="B25" s="138" t="s">
        <x:v>30</x:v>
      </x:c>
      <x:c r="C25" s="16">
        <x:f>SUM('1:31'!C32)</x:f>
        <x:v>1169000</x:v>
      </x:c>
      <x:c r="D25" s="162"/>
      <x:c r="E25" s="166"/>
      <x:c r="F25" s="199"/>
      <x:c r="G25" s="67" t="s">
        <x:v>77</x:v>
      </x:c>
      <x:c r="H25" s="16">
        <x:f>SUM('1:31'!K15)</x:f>
        <x:v>0</x:v>
      </x:c>
      <x:c r="I25" s="70">
        <x:f>H25/$B$45</x:f>
        <x:v>0</x:v>
      </x:c>
      <x:c r="J25" s="162"/>
      <x:c r="K25" s="171"/>
      <x:c r="M25" s="69"/>
      <x:c r="N25" s="69"/>
    </x:row>
    <x:row r="26" spans="1:21" ht="16.399999999999999">
      <x:c r="A26" s="192"/>
      <x:c r="B26" s="138" t="s">
        <x:v>21</x:v>
      </x:c>
      <x:c r="C26" s="16">
        <x:f>SUM('1:31'!C33)</x:f>
        <x:v>1778500</x:v>
      </x:c>
      <x:c r="D26" s="162"/>
      <x:c r="E26" s="166"/>
      <x:c r="F26" s="199"/>
      <x:c r="G26" s="67" t="s">
        <x:v>100</x:v>
      </x:c>
      <x:c r="H26" s="16">
        <x:f>SUM('1:31'!K16)</x:f>
        <x:v>1925940</x:v>
      </x:c>
      <x:c r="I26" s="70">
        <x:f>H26/$B$45</x:f>
        <x:v>0.014623246066937984</x:v>
      </x:c>
      <x:c r="J26" s="162"/>
      <x:c r="K26" s="171"/>
      <x:c r="M26" s="69"/>
      <x:c r="N26" s="69"/>
      <x:c r="P26" s="92"/>
      <x:c r="T26" s="105"/>
      <x:c r="U26" s="104"/>
    </x:row>
    <x:row r="27" spans="1:21" ht="16.399999999999999">
      <x:c r="A27" s="192"/>
      <x:c r="B27" s="138" t="s">
        <x:v>150</x:v>
      </x:c>
      <x:c r="C27" s="16">
        <x:f>SUM('1:30'!F27)</x:f>
        <x:v>1158300</x:v>
      </x:c>
      <x:c r="D27" s="162"/>
      <x:c r="E27" s="166"/>
      <x:c r="F27" s="199"/>
      <x:c r="G27" s="67" t="s">
        <x:v>93</x:v>
      </x:c>
      <x:c r="H27" s="16">
        <x:f>SUM('1:31'!K17)</x:f>
        <x:v>30200</x:v>
      </x:c>
      <x:c r="I27" s="70">
        <x:f>H27/$B$45</x:f>
        <x:v>0.00022930207131142562</x:v>
      </x:c>
      <x:c r="J27" s="162"/>
      <x:c r="K27" s="171"/>
      <x:c r="M27" s="69"/>
      <x:c r="N27" s="69"/>
      <x:c r="P27" s="92"/>
      <x:c r="T27" s="105"/>
      <x:c r="U27" s="104"/>
    </x:row>
    <x:row r="28" spans="1:21" ht="16.399999999999999">
      <x:c r="A28" s="192"/>
      <x:c r="D28" s="162"/>
      <x:c r="E28" s="166"/>
      <x:c r="F28" s="199"/>
      <x:c r="G28" s="67"/>
      <x:c r="H28" s="16"/>
      <x:c r="I28" s="70"/>
      <x:c r="J28" s="162"/>
      <x:c r="K28" s="171"/>
      <x:c r="P28" s="92"/>
      <x:c r="T28" s="105"/>
      <x:c r="U28" s="104"/>
    </x:row>
    <x:row r="29" spans="1:21" ht="16.399999999999999">
      <x:c r="A29" s="192"/>
      <x:c r="B29" s="138" t="s">
        <x:v>141</x:v>
      </x:c>
      <x:c r="C29" s="16">
        <x:f>SUM('1:31'!F32)</x:f>
        <x:v>152000</x:v>
      </x:c>
      <x:c r="D29" s="162"/>
      <x:c r="E29" s="166"/>
      <x:c r="F29" s="199"/>
      <x:c r="J29" s="162"/>
      <x:c r="K29" s="171"/>
      <x:c r="P29" s="92"/>
      <x:c r="T29" s="105"/>
      <x:c r="U29" s="104"/>
    </x:row>
    <x:row r="30" spans="1:21" ht="16.399999999999999">
      <x:c r="A30" s="192"/>
      <x:c r="B30" s="138" t="s">
        <x:v>4</x:v>
      </x:c>
      <x:c r="C30" s="16">
        <x:f>SUM('1:31'!F31)</x:f>
        <x:v>4004000</x:v>
      </x:c>
      <x:c r="D30" s="162"/>
      <x:c r="E30" s="166"/>
      <x:c r="F30" s="199"/>
      <x:c r="J30" s="162"/>
      <x:c r="K30" s="171"/>
      <x:c r="P30" s="92"/>
      <x:c r="T30" s="105"/>
      <x:c r="U30" s="104"/>
    </x:row>
    <x:row r="31" spans="1:11" ht="16.399999999999999">
      <x:c r="A31" s="193"/>
      <x:c r="B31" s="138" t="s">
        <x:v>55</x:v>
      </x:c>
      <x:c r="C31" s="16">
        <x:f>SUM(C19:C30)</x:f>
        <x:v>24261800</x:v>
      </x:c>
      <x:c r="D31" s="167"/>
      <x:c r="E31" s="166"/>
      <x:c r="F31" s="199"/>
      <x:c r="J31" s="162"/>
      <x:c r="K31" s="171"/>
    </x:row>
    <x:row r="32" spans="1:11" ht="16.399999999999999">
      <x:c r="A32" s="168" t="s">
        <x:v>71</x:v>
      </x:c>
      <x:c r="B32" s="169"/>
      <x:c r="C32" s="19">
        <x:f>SUM(C19:C22)*0.1</x:f>
        <x:v>1450000</x:v>
      </x:c>
      <x:c r="D32" s="16">
        <x:f>C32</x:f>
        <x:v>1450000</x:v>
      </x:c>
      <x:c r="E32" s="171">
        <x:f>(D32:D33)/$B$45</x:f>
        <x:v>0.011009536536475734</x:v>
      </x:c>
      <x:c r="F32" s="199"/>
      <x:c r="G32" s="103"/>
      <x:c r="H32" s="83"/>
      <x:c r="I32" s="70"/>
      <x:c r="J32" s="162"/>
      <x:c r="K32" s="171"/>
    </x:row>
    <x:row r="33" spans="1:11" ht="16.75">
      <x:c r="A33" s="186" t="s">
        <x:v>81</x:v>
      </x:c>
      <x:c r="B33" s="187"/>
      <x:c r="C33" s="141"/>
      <x:c r="D33" s="142">
        <x:f>C33</x:f>
        <x:v>0</x:v>
      </x:c>
      <x:c r="E33" s="183"/>
      <x:c r="F33" s="194" t="s">
        <x:v>72</x:v>
      </x:c>
      <x:c r="G33" s="195"/>
      <x:c r="H33" s="84">
        <x:f>SUM('1:31'!$G$5)</x:f>
        <x:v>191316</x:v>
      </x:c>
      <x:c r="I33" s="84"/>
      <x:c r="J33" s="84">
        <x:f>H33</x:f>
        <x:v>191316</x:v>
      </x:c>
      <x:c r="K33" s="85">
        <x:f>J33/$B$45</x:f>
        <x:v>0.001452621028974063</x:v>
      </x:c>
    </x:row>
    <x:row r="34" spans="1:11" ht="21.399999999999999">
      <x:c r="A34" s="163" t="s">
        <x:v>82</x:v>
      </x:c>
      <x:c r="B34" s="164"/>
      <x:c r="C34" s="151">
        <x:f>SUM(C6:D17,C19:C24,C32:C33)</x:f>
        <x:v>41642000</x:v>
      </x:c>
      <x:c r="D34" s="152"/>
      <x:c r="E34" s="20">
        <x:f>SUM(E19:E33)</x:f>
        <x:v>0.195224138978315</x:v>
      </x:c>
      <x:c r="F34" s="196" t="s">
        <x:v>149</x:v>
      </x:c>
      <x:c r="G34" s="197"/>
      <x:c r="H34" s="86">
        <x:f>SUM('1:31'!$G$4)</x:f>
        <x:v>3073290.5</x:v>
      </x:c>
      <x:c r="I34" s="86"/>
      <x:c r="J34" s="86">
        <x:f>H34</x:f>
        <x:v>3073290.5</x:v>
      </x:c>
      <x:c r="K34" s="87">
        <x:f>J34/$B$45</x:f>
        <x:v>0.023334830377209501</x:v>
      </x:c>
    </x:row>
    <x:row r="35" spans="1:11" ht="21.399999999999999">
      <x:c r="A35" s="154" t="s">
        <x:v>115</x:v>
      </x:c>
      <x:c r="B35" s="155"/>
      <x:c r="E35" s="21">
        <x:f>E18+E34</x:f>
        <x:v>0.2870664520439774</x:v>
      </x:c>
      <x:c r="F35" s="154"/>
      <x:c r="G35" s="155"/>
      <x:c r="H35" s="151">
        <x:f>SUM(J6:J34)</x:f>
        <x:v>57622488.5</x:v>
      </x:c>
      <x:c r="I35" s="152"/>
      <x:c r="J35" s="153"/>
      <x:c r="K35" s="22">
        <x:f>SUM(K6:K34)</x:f>
        <x:v>0.43751509825062268</x:v>
      </x:c>
    </x:row>
    <x:row r="36" spans="6:11" ht="20.649999999999999">
      <x:c r="F36" s="102"/>
      <x:c r="G36" s="102"/>
      <x:c r="H36" s="101"/>
      <x:c r="I36" s="101"/>
      <x:c r="J36" s="101"/>
      <x:c r="K36" s="100"/>
    </x:row>
    <x:row r="37" spans="1:4" ht="17.800000000000001">
      <x:c r="A37" s="23"/>
      <x:c r="B37" s="23"/>
      <x:c r="C37" s="23"/>
      <x:c r="D37" s="23"/>
    </x:row>
    <x:row r="38" spans="1:11" ht="18.199999999999999">
      <x:c r="A38" s="24" t="s">
        <x:v>2</x:v>
      </x:c>
      <x:c r="B38" s="25" t="s">
        <x:v>40</x:v>
      </x:c>
      <x:c r="C38" s="26" t="s">
        <x:v>139</x:v>
      </x:c>
      <x:c r="D38" s="99" t="s">
        <x:v>118</x:v>
      </x:c>
      <x:c r="F38" s="27" t="s">
        <x:v>108</x:v>
      </x:c>
      <x:c r="G38" s="28"/>
      <x:c r="H38" s="28"/>
      <x:c r="I38" s="28"/>
      <x:c r="J38" s="28"/>
      <x:c r="K38" s="29"/>
    </x:row>
    <x:row r="39" spans="1:11" ht="17.800000000000001">
      <x:c r="A39" s="118" t="s">
        <x:v>95</x:v>
      </x:c>
      <x:c r="B39" s="30">
        <x:f>$C$34</x:f>
        <x:v>41642000</x:v>
      </x:c>
      <x:c r="C39" s="31">
        <x:f>B39/$B$41</x:f>
        <x:v>0.41950551127858782</x:v>
      </x:c>
      <x:c r="D39" s="32">
        <x:f>B39/$B$45</x:f>
        <x:v>0.31617870375994656</x:v>
      </x:c>
      <x:c r="F39" s="33" t="s">
        <x:v>68</x:v>
      </x:c>
      <x:c r="G39" s="34"/>
      <x:c r="H39" s="34"/>
      <x:c r="I39" s="34"/>
      <x:c r="J39" s="34"/>
      <x:c r="K39" s="74"/>
    </x:row>
    <x:row r="40" spans="1:11" ht="17.800000000000001">
      <x:c r="A40" s="119" t="s">
        <x:v>83</x:v>
      </x:c>
      <x:c r="B40" s="35">
        <x:f>$H$35</x:f>
        <x:v>57622488.5</x:v>
      </x:c>
      <x:c r="C40" s="31">
        <x:f>B40/$B$41</x:f>
        <x:v>0.58049448872141218</x:v>
      </x:c>
      <x:c r="D40" s="32">
        <x:f>B40/$B$45</x:f>
        <x:v>0.43751509825062262</x:v>
      </x:c>
      <x:c r="F40" s="184" t="s">
        <x:v>31</x:v>
      </x:c>
      <x:c r="G40" s="185"/>
      <x:c r="H40" s="34" t="s">
        <x:v>15</x:v>
      </x:c>
      <x:c r="I40" s="34"/>
      <x:c r="J40" s="34"/>
      <x:c r="K40" s="36">
        <x:f>$C$34</x:f>
        <x:v>41642000</x:v>
      </x:c>
    </x:row>
    <x:row r="41" spans="1:11" ht="17.800000000000001">
      <x:c r="A41" s="120" t="s">
        <x:v>25</x:v>
      </x:c>
      <x:c r="B41" s="115">
        <x:f>SUM(B39:B40)</x:f>
        <x:v>99264488.5</x:v>
      </x:c>
      <x:c r="C41" s="116">
        <x:f>SUM(C39:C40)</x:f>
        <x:v>1</x:v>
      </x:c>
      <x:c r="D41" s="117">
        <x:f>SUM(D39:D40)</x:f>
        <x:v>0.75369380201056924</x:v>
      </x:c>
      <x:c r="F41" s="184" t="s">
        <x:v>1</x:v>
      </x:c>
      <x:c r="G41" s="185"/>
      <x:c r="H41" s="34" t="s">
        <x:v>0</x:v>
      </x:c>
      <x:c r="I41" s="34"/>
      <x:c r="J41" s="34"/>
      <x:c r="K41" s="39">
        <x:f>$H$35</x:f>
        <x:v>57622488.5</x:v>
      </x:c>
    </x:row>
    <x:row r="42" spans="1:11" customHeight="1">
      <x:c r="A42" s="121" t="s">
        <x:v>125</x:v>
      </x:c>
      <x:c r="B42" s="48">
        <x:f>SUM('1:31'!C4)</x:f>
        <x:v>111756400</x:v>
      </x:c>
      <x:c r="C42" s="49"/>
      <x:c r="D42" s="40">
        <x:f>B42/$B$45</x:f>
        <x:v>0.8485421855068942</x:v>
      </x:c>
      <x:c r="F42" s="184" t="s">
        <x:v>61</x:v>
      </x:c>
      <x:c r="G42" s="185"/>
      <x:c r="H42" s="34" t="s">
        <x:v>35</x:v>
      </x:c>
      <x:c r="I42" s="34"/>
      <x:c r="J42" s="34"/>
      <x:c r="K42" s="39">
        <x:f>$B$45</x:f>
        <x:v>131704000</x:v>
      </x:c>
    </x:row>
    <x:row r="43" spans="1:11" customHeight="1">
      <x:c r="A43" s="119" t="s">
        <x:v>132</x:v>
      </x:c>
      <x:c r="B43" s="35">
        <x:f>SUM('1:31'!C5)</x:f>
        <x:v>19947600</x:v>
      </x:c>
      <x:c r="C43" s="35"/>
      <x:c r="D43" s="41">
        <x:f>B43/$B$45</x:f>
        <x:v>0.15145781449310575</x:v>
      </x:c>
      <x:c r="F43" s="184" t="s">
        <x:v>143</x:v>
      </x:c>
      <x:c r="G43" s="185"/>
      <x:c r="H43" s="34" t="s">
        <x:v>56</x:v>
      </x:c>
      <x:c r="I43" s="34"/>
      <x:c r="J43" s="34"/>
      <x:c r="K43" s="42">
        <x:f>(K41)/K42</x:f>
        <x:v>0.43751509825062262</x:v>
      </x:c>
    </x:row>
    <x:row r="44" spans="1:11" customHeight="1">
      <x:c r="A44" s="119" t="s">
        <x:v>138</x:v>
      </x:c>
      <x:c r="B44" s="35">
        <x:f>SUM('1:31'!C6)</x:f>
        <x:v>0</x:v>
      </x:c>
      <x:c r="C44" s="18"/>
      <x:c r="D44" s="41">
        <x:f>B44/$B$45</x:f>
        <x:v>0</x:v>
      </x:c>
      <x:c r="F44" s="43" t="s">
        <x:v>70</x:v>
      </x:c>
      <x:c r="G44" s="44"/>
      <x:c r="H44" s="44" t="s">
        <x:v>148</x:v>
      </x:c>
      <x:c r="I44" s="44"/>
      <x:c r="J44" s="44"/>
      <x:c r="K44" s="45">
        <x:f>K40/(1-K43)</x:f>
        <x:v>74032209.345512614</x:v>
      </x:c>
    </x:row>
    <x:row r="45" spans="1:4" customHeight="1">
      <x:c r="A45" s="122" t="s">
        <x:v>11</x:v>
      </x:c>
      <x:c r="B45" s="37">
        <x:f>SUM(B42:B44)</x:f>
        <x:v>131704000</x:v>
      </x:c>
      <x:c r="C45" s="50"/>
      <x:c r="D45" s="38"/>
    </x:row>
    <x:row r="46" spans="1:4" customHeight="1">
      <x:c r="A46" s="123" t="s">
        <x:v>92</x:v>
      </x:c>
      <x:c r="B46" s="46">
        <x:f>B45-B41</x:f>
        <x:v>32439511.5</x:v>
      </x:c>
      <x:c r="C46" s="47"/>
      <x:c r="D46" s="73">
        <x:f>B46/B45</x:f>
        <x:v>0.24630619798943085</x:v>
      </x:c>
    </x:row>
    <x:row r="47" spans="1:13" ht="20.100000000000001" customHeight="1">
      <x:c r="A47" s="121" t="s">
        <x:v>111</x:v>
      </x:c>
      <x:c r="B47" s="48">
        <x:f>INT(B45*0.05)</x:f>
        <x:v>6585200</x:v>
      </x:c>
      <x:c r="C47" s="49"/>
      <x:c r="D47" s="40">
        <x:f>B47/B45</x:f>
        <x:v>0.05</x:v>
      </x:c>
      <x:c r="E47" s="23"/>
      <x:c r="F47" s="23"/>
      <x:c r="G47" s="23"/>
      <x:c r="H47" s="23"/>
      <x:c r="I47" s="23"/>
      <x:c r="J47" s="23"/>
      <x:c r="K47" s="23"/>
      <x:c r="M47" s="23"/>
    </x:row>
    <x:row r="48" spans="1:13" customHeight="1">
      <x:c r="A48" s="123" t="s">
        <x:v>102</x:v>
      </x:c>
      <x:c r="B48" s="30">
        <x:f>INT(B45*0.02)</x:f>
        <x:v>2634080</x:v>
      </x:c>
      <x:c r="C48" s="78"/>
      <x:c r="D48" s="32">
        <x:f>B48/B45</x:f>
        <x:v>0.020000000000000001</x:v>
      </x:c>
      <x:c r="E48" s="23"/>
      <x:c r="F48" s="23"/>
      <x:c r="G48" s="23"/>
      <x:c r="H48" s="23"/>
      <x:c r="I48" s="23"/>
      <x:c r="J48" s="23"/>
      <x:c r="K48" s="23"/>
      <x:c r="M48" s="23"/>
    </x:row>
    <x:row r="49" spans="1:6" s="23" customFormat="1" customHeight="1">
      <x:c r="A49" s="122" t="s">
        <x:v>110</x:v>
      </x:c>
      <x:c r="B49" s="37">
        <x:f>B46-B47-B48</x:f>
        <x:v>23220231.5</x:v>
      </x:c>
      <x:c r="C49" s="50"/>
      <x:c r="D49" s="73">
        <x:f>B49/B45</x:f>
        <x:v>0.17630619798943084</x:v>
      </x:c>
      <x:c r="E49" s="93"/>
      <x:c r="F49" s="94"/>
    </x:row>
    <x:row r="50" spans="1:5" s="23" customFormat="1" customHeight="1">
      <x:c r="A50" s="98"/>
      <x:c r="B50" s="1"/>
      <x:c r="C50" s="1"/>
      <x:c r="D50" s="1"/>
      <x:c r="E50" s="1"/>
    </x:row>
    <x:row r="51" spans="1:5" s="23" customFormat="1" customHeight="1">
      <x:c r="A51" s="98"/>
      <x:c r="B51" s="1"/>
      <x:c r="C51" s="1"/>
      <x:c r="D51" s="1"/>
      <x:c r="E51" s="93"/>
    </x:row>
    <x:row r="52" spans="1:5" s="23" customFormat="1" customHeight="1">
      <x:c r="A52" s="1"/>
      <x:c r="B52" s="1"/>
      <x:c r="C52" s="1"/>
      <x:c r="D52" s="1"/>
      <x:c r="E52" s="1"/>
    </x:row>
    <x:row r="53" spans="1:5" s="23" customFormat="1" customHeight="1">
      <x:c r="A53" s="1"/>
      <x:c r="B53" s="1"/>
      <x:c r="C53" s="1"/>
      <x:c r="D53" s="1"/>
      <x:c r="E53" s="1"/>
    </x:row>
    <x:row r="54" spans="1:5" s="23" customFormat="1" customHeight="1">
      <x:c r="A54" s="1"/>
      <x:c r="B54" s="1"/>
      <x:c r="C54" s="1"/>
      <x:c r="D54" s="1"/>
      <x:c r="E54" s="1"/>
    </x:row>
    <x:row r="55" spans="1:11" s="23" customFormat="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spans="1:11" s="23" customFormat="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spans="1:11" s="23" customFormat="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spans="1:11" s="23" customFormat="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 count="40">
    <x:mergeCell ref="H35:J35"/>
    <x:mergeCell ref="F35:G35"/>
    <x:mergeCell ref="A12:B12"/>
    <x:mergeCell ref="A13:B13"/>
    <x:mergeCell ref="A14:B14"/>
    <x:mergeCell ref="A15:B15"/>
    <x:mergeCell ref="A16:B16"/>
    <x:mergeCell ref="A17:B17"/>
    <x:mergeCell ref="J19:J32"/>
    <x:mergeCell ref="A34:B34"/>
    <x:mergeCell ref="E19:E31"/>
    <x:mergeCell ref="D19:D31"/>
    <x:mergeCell ref="A32:B32"/>
    <x:mergeCell ref="K19:K32"/>
    <x:mergeCell ref="F6:F18"/>
    <x:mergeCell ref="J6:J18"/>
    <x:mergeCell ref="A4:E4"/>
    <x:mergeCell ref="F4:K4"/>
    <x:mergeCell ref="A6:B6"/>
    <x:mergeCell ref="A7:B7"/>
    <x:mergeCell ref="A8:B8"/>
    <x:mergeCell ref="A5:B5"/>
    <x:mergeCell ref="K6:K18"/>
    <x:mergeCell ref="A9:B9"/>
    <x:mergeCell ref="A10:B10"/>
    <x:mergeCell ref="A11:B11"/>
    <x:mergeCell ref="E32:E33"/>
    <x:mergeCell ref="F43:G43"/>
    <x:mergeCell ref="F40:G40"/>
    <x:mergeCell ref="F42:G42"/>
    <x:mergeCell ref="A33:B33"/>
    <x:mergeCell ref="A18:B18"/>
    <x:mergeCell ref="C18:D18"/>
    <x:mergeCell ref="A19:A31"/>
    <x:mergeCell ref="F41:G41"/>
    <x:mergeCell ref="F33:G33"/>
    <x:mergeCell ref="F34:G34"/>
    <x:mergeCell ref="A35:B35"/>
    <x:mergeCell ref="C34:D34"/>
    <x:mergeCell ref="F19:F32"/>
  </x:mergeCells>
  <x:pageMargins left="0.69972223043441772" right="0.69972223043441772" top="0.75" bottom="0.75" header="0.30000001192092896" footer="0.30000001192092896"/>
  <x:pageSetup paperSize="9" scale="57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O34"/>
  <x:sheetViews>
    <x:sheetView topLeftCell="A19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1</x:v>
      </x:c>
      <x:c r="G1" s="68" t="s">
        <x:v>63</x:v>
      </x:c>
      <x:c r="H1" s="52" t="s">
        <x:v>126</x:v>
      </x:c>
      <x:c r="I1" s="52">
        <x:f>F1-K1</x:f>
        <x:v>1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3905500</x:v>
      </x:c>
      <x:c r="D2" s="274"/>
      <x:c r="E2" s="277" t="s">
        <x:v>41</x:v>
      </x:c>
      <x:c r="F2" s="278"/>
      <x:c r="G2" s="266">
        <x:v>147500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2" ht="30.949999999999999" customHeight="1">
      <x:c r="A4" s="268" t="s">
        <x:v>22</x:v>
      </x:c>
      <x:c r="B4" s="269"/>
      <x:c r="C4" s="261">
        <x:v>3348500</x:v>
      </x:c>
      <x:c r="D4" s="261"/>
      <x:c r="E4" s="276" t="s">
        <x:v>149</x:v>
      </x:c>
      <x:c r="F4" s="276"/>
      <x:c r="G4" s="133">
        <x:f>INT(C4*0.0275)</x:f>
        <x:v>92083</x:v>
      </x:c>
      <x:c r="H4" s="54" t="s">
        <x:v>20</x:v>
      </x:c>
      <x:c r="I4" s="124">
        <x:v>1861655</x:v>
      </x:c>
      <x:c r="J4" s="80" t="s">
        <x:v>37</x:v>
      </x:c>
      <x:c r="K4" s="58"/>
      <x:c r="L4" s="95"/>
    </x:row>
    <x:row r="5" spans="1:11" ht="30.949999999999999" customHeight="1">
      <x:c r="A5" s="268" t="s">
        <x:v>62</x:v>
      </x:c>
      <x:c r="B5" s="269"/>
      <x:c r="C5" s="261">
        <x:v>557000</x:v>
      </x:c>
      <x:c r="D5" s="261"/>
      <x:c r="E5" s="260" t="s">
        <x:v>73</x:v>
      </x:c>
      <x:c r="F5" s="260"/>
      <x:c r="G5" s="133">
        <x:f>INT(C5*0.01)</x:f>
        <x:v>5570</x:v>
      </x:c>
      <x:c r="H5" s="54" t="s">
        <x:v>6</x:v>
      </x:c>
      <x:c r="I5" s="124">
        <x:v>318012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600000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104500</x:v>
      </x:c>
      <x:c r="D8" s="261"/>
      <x:c r="E8" s="287" t="s">
        <x:v>113</x:v>
      </x:c>
      <x:c r="F8" s="288"/>
      <x:c r="G8" s="293">
        <x:f>C5+G2-G6-C22</x:f>
        <x:v>104500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>
        <x:v>736000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10</x:v>
      </x:c>
      <x:c r="D12" s="287" t="s">
        <x:v>136</x:v>
      </x:c>
      <x:c r="E12" s="288"/>
      <x:c r="F12" s="291">
        <x:v>6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SUM('1'!$C$12)</x:f>
        <x:v>10</x:v>
      </x:c>
      <x:c r="D13" s="279"/>
      <x:c r="E13" s="280"/>
      <x:c r="F13" s="289">
        <x:f>SUM('1'!$F$12)</x:f>
        <x:v>6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28</x:v>
      </x:c>
      <x:c r="C14" s="79">
        <x:v>37</x:v>
      </x:c>
      <x:c r="D14" s="287" t="s">
        <x:v>98</x:v>
      </x:c>
      <x:c r="E14" s="288"/>
      <x:c r="F14" s="291">
        <x:v>23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SUM('1'!$C$14)</x:f>
        <x:v>37</x:v>
      </x:c>
      <x:c r="D15" s="279"/>
      <x:c r="E15" s="280"/>
      <x:c r="F15" s="289">
        <x:f>SUM('1'!$F$14)</x:f>
        <x:v>23</x:v>
      </x:c>
      <x:c r="G15" s="290"/>
      <x:c r="H15" s="54" t="s">
        <x:v>109</x:v>
      </x:c>
      <x:c r="I15" s="58">
        <x:v>85300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6</x:v>
      </x:c>
      <x:c r="D16" s="287" t="s">
        <x:v>120</x:v>
      </x:c>
      <x:c r="E16" s="288"/>
      <x:c r="F16" s="285">
        <x:v>30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SUM('1'!$C$16)</x:f>
        <x:v>6</x:v>
      </x:c>
      <x:c r="D17" s="279"/>
      <x:c r="E17" s="280"/>
      <x:c r="F17" s="286">
        <x:f>SUM('1'!$F$16)</x:f>
        <x:v>30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39</x:v>
      </x:c>
      <x:c r="D18" s="287" t="s">
        <x:v>133</x:v>
      </x:c>
      <x:c r="E18" s="288"/>
      <x:c r="F18" s="295">
        <x:v>9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SUM('1'!$C$18)</x:f>
        <x:v>39</x:v>
      </x:c>
      <x:c r="D19" s="279"/>
      <x:c r="E19" s="280"/>
      <x:c r="F19" s="286">
        <x:f>SUM('1'!$F$18)</x:f>
        <x:v>9</x:v>
      </x:c>
      <x:c r="G19" s="286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59" t="s">
        <x:v>49</x:v>
      </x:c>
      <x:c r="B20" s="260"/>
      <x:c r="C20" s="132"/>
      <x:c r="D20" s="260" t="s">
        <x:v>116</x:v>
      </x:c>
      <x:c r="E20" s="260"/>
      <x:c r="F20" s="285">
        <x:v>60</x:v>
      </x:c>
      <x:c r="G20" s="285"/>
      <x:c r="H20" s="58"/>
      <x:c r="J20" s="54"/>
      <x:c r="K20" s="58"/>
      <x:c r="L20" s="60"/>
      <x:c r="M20" s="11"/>
    </x:row>
    <x:row r="21" spans="1:13" ht="21.949999999999999" customHeight="1">
      <x:c r="A21" s="59" t="s">
        <x:v>99</x:v>
      </x:c>
      <x:c r="B21" s="260"/>
      <x:c r="C21" s="132"/>
      <x:c r="D21" s="260" t="s">
        <x:v>117</x:v>
      </x:c>
      <x:c r="E21" s="260"/>
      <x:c r="F21" s="286">
        <x:f>SUM('1'!$F$20)</x:f>
        <x:v>60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284"/>
      <x:c r="D23" s="284"/>
      <x:c r="E23" s="284"/>
      <x:c r="F23" s="284"/>
      <x:c r="G23" s="284"/>
      <x:c r="H23" s="107" t="s">
        <x:v>97</x:v>
      </x:c>
      <x:c r="I23" s="108">
        <x:f>SUM(I4:I22)</x:f>
        <x:v>2264967</x:v>
      </x:c>
      <x:c r="J23" s="61" t="s">
        <x:v>122</x:v>
      </x:c>
      <x:c r="K23" s="62">
        <x:f>SUM(K4:K22)</x:f>
        <x:v>14194</x:v>
      </x:c>
      <x:c r="M23" s="89" t="s">
        <x:v>96</x:v>
      </x:c>
      <x:c r="N23" s="282">
        <x:f>C5+C6</x:f>
        <x:v>557000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0.57994290103699908</x:v>
      </x:c>
      <x:c r="J24" s="61" t="s">
        <x:v>8</x:v>
      </x:c>
      <x:c r="K24" s="63">
        <x:f>K23/A25</x:f>
        <x:v>0.0036343617974651135</x:v>
      </x:c>
    </x:row>
    <x:row r="25" spans="1:11" ht="34.149999999999999" customHeight="1">
      <x:c r="A25" s="311">
        <x:f>C2</x:f>
        <x:v>3905500</x:v>
      </x:c>
      <x:c r="B25" s="275"/>
      <x:c r="C25" s="275">
        <x:f>E25/I1</x:f>
        <x:v>3905500</x:v>
      </x:c>
      <x:c r="D25" s="275"/>
      <x:c r="E25" s="275">
        <x:f>SUM('1'!$A$25)</x:f>
        <x:v>3905500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SUM('1'!$K$23)</x:f>
        <x:v>14194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0.57994290103699908</x:v>
      </x:c>
      <x:c r="J26" s="64" t="s">
        <x:v>131</x:v>
      </x:c>
      <x:c r="K26" s="65">
        <x:f>K25/$E$25</x:f>
        <x:v>0.0036343617974651135</x:v>
      </x:c>
    </x:row>
    <x:row r="27" spans="1:13" ht="30.949999999999999" customHeight="1">
      <x:c r="A27" s="304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52650</x:v>
      </x:c>
      <x:c r="G27" s="261"/>
      <x:c r="H27" s="111" t="s">
        <x:v>121</x:v>
      </x:c>
      <x:c r="I27" s="112">
        <x:f>SUM(C27:D34,F27:G32)</x:f>
        <x:v>895279.0322580646</x:v>
      </x:c>
      <x:c r="M27" s="66"/>
    </x:row>
    <x:row r="28" spans="1:13" ht="30.949999999999999" customHeight="1">
      <x:c r="A28" s="305"/>
      <x:c r="B28" s="54" t="s">
        <x:v>23</x:v>
      </x:c>
      <x:c r="C28" s="312">
        <x:f>3800000/31</x:f>
        <x:v>122580.64516129032</x:v>
      </x:c>
      <x:c r="D28" s="313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0.22923544546359353</x:v>
      </x:c>
      <x:c r="M28" s="66"/>
    </x:row>
    <x:row r="29" spans="1:13" ht="30.949999999999999" customHeight="1">
      <x:c r="A29" s="305"/>
      <x:c r="B29" s="54" t="s">
        <x:v>48</x:v>
      </x:c>
      <x:c r="C29" s="275">
        <x:f>3200000/31</x:f>
        <x:v>103225.80645161291</x:v>
      </x:c>
      <x:c r="D29" s="275"/>
      <x:c r="E29" s="54"/>
      <x:c r="F29" s="261"/>
      <x:c r="G29" s="261"/>
      <x:c r="H29" s="111" t="s">
        <x:v>34</x:v>
      </x:c>
      <x:c r="I29" s="112">
        <x:f>SUM('1'!$I$27)</x:f>
        <x:v>895279.0322580646</x:v>
      </x:c>
      <x:c r="M29" s="66"/>
    </x:row>
    <x:row r="30" spans="1:13" ht="30.949999999999999" customHeight="1">
      <x:c r="A30" s="305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1</x:v>
      </x:c>
      <x:c r="M30" s="66"/>
    </x:row>
    <x:row r="31" spans="1:7" customHeight="1">
      <x:c r="A31" s="305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05"/>
      <x:c r="B32" s="54" t="s">
        <x:v>30</x:v>
      </x:c>
      <x:c r="C32" s="307"/>
      <x:c r="D32" s="308"/>
      <x:c r="E32" s="55" t="s">
        <x:v>141</x:v>
      </x:c>
      <x:c r="F32" s="309">
        <x:v>71000</x:v>
      </x:c>
      <x:c r="G32" s="310"/>
    </x:row>
    <x:row r="33" spans="1:4" customHeight="1">
      <x:c r="A33" s="305"/>
      <x:c r="B33" s="54" t="s">
        <x:v>21</x:v>
      </x:c>
      <x:c r="C33" s="307">
        <x:v>123500</x:v>
      </x:c>
      <x:c r="D33" s="308"/>
    </x:row>
    <x:row r="34" spans="1:4" customHeight="1">
      <x:c r="A34" s="306"/>
      <x:c r="B34" s="54" t="s">
        <x:v>58</x:v>
      </x:c>
      <x:c r="C34" s="309"/>
      <x:c r="D34" s="310"/>
    </x:row>
  </x:sheetData>
  <x:mergeCells count="75">
    <x:mergeCell ref="A6:B7"/>
    <x:mergeCell ref="A10:B10"/>
    <x:mergeCell ref="C10:D10"/>
    <x:mergeCell ref="J2:K2"/>
    <x:mergeCell ref="H2:I2"/>
    <x:mergeCell ref="G2:G3"/>
    <x:mergeCell ref="A5:B5"/>
    <x:mergeCell ref="C5:D5"/>
    <x:mergeCell ref="E5:F5"/>
    <x:mergeCell ref="A2:B3"/>
    <x:mergeCell ref="C2:D3"/>
    <x:mergeCell ref="A4:B4"/>
    <x:mergeCell ref="C4:D4"/>
    <x:mergeCell ref="E4:F4"/>
    <x:mergeCell ref="E2:F3"/>
    <x:mergeCell ref="G6:G7"/>
    <x:mergeCell ref="N23:O23"/>
    <x:mergeCell ref="C23:G23"/>
    <x:mergeCell ref="A8:B9"/>
    <x:mergeCell ref="C8:D9"/>
    <x:mergeCell ref="F16:G16"/>
    <x:mergeCell ref="F17:G17"/>
    <x:mergeCell ref="F13:G13"/>
    <x:mergeCell ref="F14:G14"/>
    <x:mergeCell ref="F15:G15"/>
    <x:mergeCell ref="G8:G9"/>
    <x:mergeCell ref="A22:B22"/>
    <x:mergeCell ref="C22:G22"/>
    <x:mergeCell ref="A23:B23"/>
    <x:mergeCell ref="E10:F10"/>
    <x:mergeCell ref="F18:G18"/>
    <x:mergeCell ref="A11:B11"/>
    <x:mergeCell ref="B14:B15"/>
    <x:mergeCell ref="C11:G11"/>
    <x:mergeCell ref="F12:G12"/>
    <x:mergeCell ref="C6:D7"/>
    <x:mergeCell ref="E6:F7"/>
    <x:mergeCell ref="E8:F9"/>
    <x:mergeCell ref="A27:A34"/>
    <x:mergeCell ref="C32:D32"/>
    <x:mergeCell ref="C34:D34"/>
    <x:mergeCell ref="D20:E20"/>
    <x:mergeCell ref="C27:D27"/>
    <x:mergeCell ref="A25:B25"/>
    <x:mergeCell ref="C25:D25"/>
    <x:mergeCell ref="E25:G25"/>
    <x:mergeCell ref="A24:B24"/>
    <x:mergeCell ref="C24:D24"/>
    <x:mergeCell ref="E24:G24"/>
    <x:mergeCell ref="F31:G31"/>
    <x:mergeCell ref="A26:B26"/>
    <x:mergeCell ref="F20:G20"/>
    <x:mergeCell ref="C31:D31"/>
    <x:mergeCell ref="C33:D33"/>
    <x:mergeCell ref="F30:G30"/>
    <x:mergeCell ref="F29:G29"/>
    <x:mergeCell ref="C26:D26"/>
    <x:mergeCell ref="E26:G26"/>
    <x:mergeCell ref="C30:D30"/>
    <x:mergeCell ref="F27:G27"/>
    <x:mergeCell ref="C28:D28"/>
    <x:mergeCell ref="F28:G28"/>
    <x:mergeCell ref="C29:D29"/>
    <x:mergeCell ref="F32:G32"/>
    <x:mergeCell ref="F19:G19"/>
    <x:mergeCell ref="B20:B21"/>
    <x:mergeCell ref="D21:E21"/>
    <x:mergeCell ref="F21:G21"/>
    <x:mergeCell ref="B16:B17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34"/>
  <x:sheetViews>
    <x:sheetView topLeftCell="A16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3" width="12.625" style="53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2</x:v>
      </x:c>
      <x:c r="G1" s="68" t="s">
        <x:v>27</x:v>
      </x:c>
      <x:c r="H1" s="52" t="s">
        <x:v>126</x:v>
      </x:c>
      <x:c r="I1" s="52">
        <x:f>F1-K1</x:f>
        <x:v>2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5305500</x:v>
      </x:c>
      <x:c r="D2" s="274"/>
      <x:c r="E2" s="277" t="s">
        <x:v>41</x:v>
      </x:c>
      <x:c r="F2" s="278"/>
      <x:c r="G2" s="266">
        <x:v>104500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4818500</x:v>
      </x:c>
      <x:c r="D4" s="261"/>
      <x:c r="E4" s="276" t="s">
        <x:v>149</x:v>
      </x:c>
      <x:c r="F4" s="276"/>
      <x:c r="G4" s="133">
        <x:f>INT(C4*0.0275)</x:f>
        <x:v>132508</x:v>
      </x:c>
      <x:c r="H4" s="54" t="s">
        <x:v>20</x:v>
      </x:c>
      <x:c r="I4" s="125">
        <x:v>1726625</x:v>
      </x:c>
      <x:c r="J4" s="80" t="s">
        <x:v>37</x:v>
      </x:c>
      <x:c r="K4" s="58">
        <x:v>340000</x:v>
      </x:c>
    </x:row>
    <x:row r="5" spans="1:11" ht="30.949999999999999" customHeight="1">
      <x:c r="A5" s="268" t="s">
        <x:v>62</x:v>
      </x:c>
      <x:c r="B5" s="269"/>
      <x:c r="C5" s="261">
        <x:v>487000</x:v>
      </x:c>
      <x:c r="D5" s="261"/>
      <x:c r="E5" s="260" t="s">
        <x:v>73</x:v>
      </x:c>
      <x:c r="F5" s="260"/>
      <x:c r="G5" s="133">
        <x:f>INT(C5*0.01)</x:f>
        <x:v>4870</x:v>
      </x:c>
      <x:c r="H5" s="54" t="s">
        <x:v>6</x:v>
      </x:c>
      <x:c r="I5" s="137">
        <x:v>254590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450000</x:v>
      </x:c>
      <x:c r="H6" s="54"/>
      <x:c r="I6" s="125"/>
      <x:c r="J6" s="81" t="s">
        <x:v>130</x:v>
      </x:c>
      <x:c r="K6" s="58">
        <x:v>84000</x:v>
      </x:c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5">
        <x:v>190500</x:v>
      </x:c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141500</x:v>
      </x:c>
      <x:c r="D8" s="261"/>
      <x:c r="E8" s="287" t="s">
        <x:v>113</x:v>
      </x:c>
      <x:c r="F8" s="288"/>
      <x:c r="G8" s="293">
        <x:f>C5+G2-G6-C22</x:f>
        <x:v>141500</x:v>
      </x:c>
      <x:c r="H8" s="54" t="s">
        <x:v>46</x:v>
      </x:c>
      <x:c r="I8" s="125">
        <x:v>58000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>
        <x:v>370000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16</x:v>
      </x:c>
      <x:c r="D12" s="287" t="s">
        <x:v>136</x:v>
      </x:c>
      <x:c r="E12" s="288"/>
      <x:c r="F12" s="291">
        <x:v>17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SUM('1:2'!$C$12)</x:f>
        <x:v>26</x:v>
      </x:c>
      <x:c r="D13" s="279"/>
      <x:c r="E13" s="280"/>
      <x:c r="F13" s="289">
        <x:f>SUM('1:2'!$F$12)</x:f>
        <x:v>23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28</x:v>
      </x:c>
      <x:c r="C14" s="79">
        <x:v>42</x:v>
      </x:c>
      <x:c r="D14" s="287" t="s">
        <x:v>98</x:v>
      </x:c>
      <x:c r="E14" s="288"/>
      <x:c r="F14" s="291">
        <x:v>19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SUM('1:2'!$C$14)</x:f>
        <x:v>79</x:v>
      </x:c>
      <x:c r="D15" s="279"/>
      <x:c r="E15" s="280"/>
      <x:c r="F15" s="289">
        <x:f>SUM('1:2'!$F$14)</x:f>
        <x:v>42</x:v>
      </x:c>
      <x:c r="G15" s="290"/>
      <x:c r="H15" s="54" t="s">
        <x:v>109</x:v>
      </x:c>
      <x:c r="I15" s="58">
        <x:v>210500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10</x:v>
      </x:c>
      <x:c r="D16" s="287" t="s">
        <x:v>120</x:v>
      </x:c>
      <x:c r="E16" s="288"/>
      <x:c r="F16" s="285">
        <x:v>21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SUM('1:2'!$C$16)</x:f>
        <x:v>16</x:v>
      </x:c>
      <x:c r="D17" s="279"/>
      <x:c r="E17" s="280"/>
      <x:c r="F17" s="286">
        <x:f>SUM('1:2'!$F$16)</x:f>
        <x:v>51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57</x:v>
      </x:c>
      <x:c r="D18" s="287" t="s">
        <x:v>133</x:v>
      </x:c>
      <x:c r="E18" s="288"/>
      <x:c r="F18" s="295">
        <x:v>17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SUM('1:2'!$C$18)</x:f>
        <x:v>96</x:v>
      </x:c>
      <x:c r="D19" s="279"/>
      <x:c r="E19" s="280"/>
      <x:c r="F19" s="286">
        <x:f>SUM('1:2'!$F$18)</x:f>
        <x:v>26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73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SUM('1:2'!$F$20)</x:f>
        <x:v>133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2440215</x:v>
      </x:c>
      <x:c r="J23" s="61" t="s">
        <x:v>122</x:v>
      </x:c>
      <x:c r="K23" s="62">
        <x:f>SUM(K4:K22)</x:f>
        <x:v>438194</x:v>
      </x:c>
      <x:c r="M23" s="88" t="s">
        <x:v>96</x:v>
      </x:c>
      <x:c r="N23" s="282">
        <x:f>C5+C6</x:f>
        <x:v>487000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0.45994062765055133</x:v>
      </x:c>
      <x:c r="J24" s="61" t="s">
        <x:v>8</x:v>
      </x:c>
      <x:c r="K24" s="63">
        <x:f>K23/A25</x:f>
        <x:v>0.082592404108943543</x:v>
      </x:c>
    </x:row>
    <x:row r="25" spans="1:11" ht="34.149999999999999" customHeight="1">
      <x:c r="A25" s="311">
        <x:f>C2</x:f>
        <x:v>5305500</x:v>
      </x:c>
      <x:c r="B25" s="275"/>
      <x:c r="C25" s="275">
        <x:f>E25/I1</x:f>
        <x:v>1952750</x:v>
      </x:c>
      <x:c r="D25" s="275"/>
      <x:c r="E25" s="275">
        <x:f>SUM('1'!$A$25)</x:f>
        <x:v>3905500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SUM('1'!$K$23)</x:f>
        <x:v>14194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0.57994290103699908</x:v>
      </x:c>
      <x:c r="J26" s="64" t="s">
        <x:v>131</x:v>
      </x:c>
      <x:c r="K26" s="65">
        <x:f>K25/$E$25</x:f>
        <x:v>0.0036343617974651135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46800</x:v>
      </x:c>
      <x:c r="G27" s="261"/>
      <x:c r="H27" s="111" t="s">
        <x:v>121</x:v>
      </x:c>
      <x:c r="I27" s="112">
        <x:f>SUM(C27:D34,F27:G32)</x:f>
        <x:v>745929.0322580646</x:v>
      </x:c>
      <x:c r="M27" s="66"/>
    </x:row>
    <x:row r="28" spans="1:13" ht="30.949999999999999" customHeight="1">
      <x:c r="A28" s="318"/>
      <x:c r="B28" s="54" t="s">
        <x:v>23</x:v>
      </x:c>
      <x:c r="C28" s="312">
        <x:f>3800000/31</x:f>
        <x:v>122580.64516129032</x:v>
      </x:c>
      <x:c r="D28" s="313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0.14059542592744598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SUM('1:2'!$I$27)</x:f>
        <x:v>1641208.0645161292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2.2002201195305271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30</x:v>
      </x:c>
      <x:c r="C32" s="307">
        <x:v>63000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H2:I2"/>
    <x:mergeCell ref="J2:K2"/>
    <x:mergeCell ref="A2:B3"/>
    <x:mergeCell ref="C2:D3"/>
    <x:mergeCell ref="E2:F3"/>
    <x:mergeCell ref="G2:G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A11:B11"/>
    <x:mergeCell ref="C11:G11"/>
    <x:mergeCell ref="E10:F10"/>
    <x:mergeCell ref="E8:F9"/>
    <x:mergeCell ref="G8:G9"/>
    <x:mergeCell ref="A8:B9"/>
    <x:mergeCell ref="C8:D9"/>
    <x:mergeCell ref="G6:G7"/>
    <x:mergeCell ref="A10:B10"/>
    <x:mergeCell ref="C10:D10"/>
    <x:mergeCell ref="C25:D25"/>
    <x:mergeCell ref="E25:G25"/>
    <x:mergeCell ref="C23:G23"/>
    <x:mergeCell ref="C24:D24"/>
    <x:mergeCell ref="B14:B15"/>
    <x:mergeCell ref="B16:B17"/>
    <x:mergeCell ref="F15:G15"/>
    <x:mergeCell ref="F12:G12"/>
    <x:mergeCell ref="F13:G13"/>
    <x:mergeCell ref="F14:G14"/>
    <x:mergeCell ref="F16:G16"/>
    <x:mergeCell ref="F17:G17"/>
    <x:mergeCell ref="F21:G21"/>
    <x:mergeCell ref="C31:D31"/>
    <x:mergeCell ref="F29:G29"/>
    <x:mergeCell ref="C22:G22"/>
    <x:mergeCell ref="F18:G18"/>
    <x:mergeCell ref="F19:G19"/>
    <x:mergeCell ref="F20:G20"/>
    <x:mergeCell ref="N23:O23"/>
    <x:mergeCell ref="C26:D26"/>
    <x:mergeCell ref="E26:G26"/>
    <x:mergeCell ref="E24:G24"/>
    <x:mergeCell ref="F31:G31"/>
    <x:mergeCell ref="C27:D27"/>
    <x:mergeCell ref="F27:G27"/>
    <x:mergeCell ref="C28:D28"/>
    <x:mergeCell ref="F28:G28"/>
    <x:mergeCell ref="C29:D29"/>
    <x:mergeCell ref="F30:G30"/>
    <x:mergeCell ref="C30:D30"/>
    <x:mergeCell ref="A27:A34"/>
    <x:mergeCell ref="C32:D32"/>
    <x:mergeCell ref="C33:D33"/>
    <x:mergeCell ref="C34:D34"/>
    <x:mergeCell ref="D20:E20"/>
    <x:mergeCell ref="A25:B25"/>
    <x:mergeCell ref="A26:B26"/>
    <x:mergeCell ref="A22:B22"/>
    <x:mergeCell ref="A23:B23"/>
    <x:mergeCell ref="A24:B24"/>
    <x:mergeCell ref="D21:E21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34"/>
  <x:sheetViews>
    <x:sheetView topLeftCell="A16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3</x:v>
      </x:c>
      <x:c r="G1" s="68" t="s">
        <x:v>51</x:v>
      </x:c>
      <x:c r="H1" s="52" t="s">
        <x:v>126</x:v>
      </x:c>
      <x:c r="I1" s="52">
        <x:f>F1-K1</x:f>
        <x:v>3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4544000</x:v>
      </x:c>
      <x:c r="D2" s="274"/>
      <x:c r="E2" s="277" t="s">
        <x:v>41</x:v>
      </x:c>
      <x:c r="F2" s="278"/>
      <x:c r="G2" s="266">
        <x:v>141500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3769000</x:v>
      </x:c>
      <x:c r="D4" s="261"/>
      <x:c r="E4" s="276" t="s">
        <x:v>149</x:v>
      </x:c>
      <x:c r="F4" s="276"/>
      <x:c r="G4" s="133">
        <x:f>C4*0.0275</x:f>
        <x:v>103647.5</x:v>
      </x:c>
      <x:c r="H4" s="54" t="s">
        <x:v>20</x:v>
      </x:c>
      <x:c r="I4" s="124">
        <x:v>678535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775000</x:v>
      </x:c>
      <x:c r="D5" s="261"/>
      <x:c r="E5" s="260" t="s">
        <x:v>73</x:v>
      </x:c>
      <x:c r="F5" s="260"/>
      <x:c r="G5" s="133">
        <x:f>INT(C5*0.01)</x:f>
        <x:v>7750</x:v>
      </x:c>
      <x:c r="H5" s="54" t="s">
        <x:v>6</x:v>
      </x:c>
      <x:c r="I5" s="124">
        <x:v>206426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800000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135300</x:v>
      </x:c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116500</x:v>
      </x:c>
      <x:c r="D8" s="261"/>
      <x:c r="E8" s="287" t="s">
        <x:v>113</x:v>
      </x:c>
      <x:c r="F8" s="288"/>
      <x:c r="G8" s="293">
        <x:f>C5+G2-G6-C22</x:f>
        <x:v>116500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21.75" customHeight="1">
      <x:c r="A10" s="259" t="s">
        <x:v>146</x:v>
      </x:c>
      <x:c r="B10" s="260"/>
      <x:c r="C10" s="261">
        <x:v>50000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21.75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27</x:v>
      </x:c>
      <x:c r="D12" s="287" t="s">
        <x:v>136</x:v>
      </x:c>
      <x:c r="E12" s="288"/>
      <x:c r="F12" s="291">
        <x:v>11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SUM('1:3'!$C$12)</x:f>
        <x:v>53</x:v>
      </x:c>
      <x:c r="D13" s="279"/>
      <x:c r="E13" s="280"/>
      <x:c r="F13" s="289">
        <x:f>SUM('1:3'!$F$12)</x:f>
        <x:v>34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28</x:v>
      </x:c>
      <x:c r="C14" s="79">
        <x:v>48</x:v>
      </x:c>
      <x:c r="D14" s="287" t="s">
        <x:v>98</x:v>
      </x:c>
      <x:c r="E14" s="288"/>
      <x:c r="F14" s="291">
        <x:v>24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SUM('1:3'!$C$14)</x:f>
        <x:v>127</x:v>
      </x:c>
      <x:c r="D15" s="279"/>
      <x:c r="E15" s="280"/>
      <x:c r="F15" s="289">
        <x:f>SUM('1:3'!$F$14)</x:f>
        <x:v>66</x:v>
      </x:c>
      <x:c r="G15" s="290"/>
      <x:c r="H15" s="54" t="s">
        <x:v>109</x:v>
      </x:c>
      <x:c r="I15" s="58">
        <x:v>118200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6</x:v>
      </x:c>
      <x:c r="D16" s="287" t="s">
        <x:v>120</x:v>
      </x:c>
      <x:c r="E16" s="288"/>
      <x:c r="F16" s="285">
        <x:v>10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SUM('1:3'!$C$16)</x:f>
        <x:v>22</x:v>
      </x:c>
      <x:c r="D17" s="279"/>
      <x:c r="E17" s="280"/>
      <x:c r="F17" s="286">
        <x:f>SUM('1:3'!$F$16)</x:f>
        <x:v>61</x:v>
      </x:c>
      <x:c r="G17" s="286"/>
      <x:c r="H17" s="54" t="s">
        <x:v>7</x:v>
      </x:c>
      <x:c r="I17" s="58"/>
      <x:c r="J17" s="54" t="s">
        <x:v>93</x:v>
      </x:c>
      <x:c r="K17" s="58">
        <x:v>17000</x:v>
      </x:c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30</x:v>
      </x:c>
      <x:c r="D18" s="287" t="s">
        <x:v>133</x:v>
      </x:c>
      <x:c r="E18" s="288"/>
      <x:c r="F18" s="295">
        <x:v>9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SUM('1:3'!$C$18)</x:f>
        <x:v>126</x:v>
      </x:c>
      <x:c r="D19" s="279"/>
      <x:c r="E19" s="280"/>
      <x:c r="F19" s="286">
        <x:f>SUM('1:3'!$F$18)</x:f>
        <x:v>35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61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SUM('1:3'!$F$20)</x:f>
        <x:v>194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1138461</x:v>
      </x:c>
      <x:c r="J23" s="61" t="s">
        <x:v>122</x:v>
      </x:c>
      <x:c r="K23" s="62">
        <x:f>SUM(K4:K22)</x:f>
        <x:v>31194</x:v>
      </x:c>
      <x:c r="M23" s="88" t="s">
        <x:v>96</x:v>
      </x:c>
      <x:c r="N23" s="282">
        <x:f>C5+C6</x:f>
        <x:v>775000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0.25054159330985915</x:v>
      </x:c>
      <x:c r="J24" s="61" t="s">
        <x:v>8</x:v>
      </x:c>
      <x:c r="K24" s="63">
        <x:f>K23/A25</x:f>
        <x:v>0.0068648767605633803</x:v>
      </x:c>
    </x:row>
    <x:row r="25" spans="1:11" ht="34.149999999999999" customHeight="1">
      <x:c r="A25" s="311">
        <x:f>C2</x:f>
        <x:v>4544000</x:v>
      </x:c>
      <x:c r="B25" s="275"/>
      <x:c r="C25" s="275">
        <x:f>E25/I1</x:f>
        <x:v>4585000</x:v>
      </x:c>
      <x:c r="D25" s="275"/>
      <x:c r="E25" s="275">
        <x:f>SUM('1:3'!$A$25)</x:f>
        <x:v>13755000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SUM('1:3'!$K$23)</x:f>
        <x:v>483582</x:v>
      </x:c>
    </x:row>
    <x:row r="26" spans="1:11" ht="34.149999999999999" customHeight="1">
      <x:c r="A26" s="259" t="s">
        <x:v>145</x:v>
      </x:c>
      <x:c r="B26" s="260"/>
      <x:c r="C26" s="320"/>
      <x:c r="D26" s="260"/>
      <x:c r="E26" s="261"/>
      <x:c r="F26" s="261"/>
      <x:c r="G26" s="261"/>
      <x:c r="H26" s="107" t="s">
        <x:v>131</x:v>
      </x:c>
      <x:c r="I26" s="110">
        <x:f>I25/$E$25</x:f>
        <x:v>0.1646649945474373</x:v>
      </x:c>
      <x:c r="J26" s="64" t="s">
        <x:v>131</x:v>
      </x:c>
      <x:c r="K26" s="65">
        <x:f>K25/$E$25</x:f>
        <x:v>0.035156815703380591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58500</x:v>
      </x:c>
      <x:c r="G27" s="261"/>
      <x:c r="H27" s="111" t="s">
        <x:v>121</x:v>
      </x:c>
      <x:c r="I27" s="112">
        <x:f>SUM(C27:D34,F27:G32)</x:f>
        <x:v>913129.0322580646</x:v>
      </x:c>
      <x:c r="M27" s="66"/>
    </x:row>
    <x:row r="28" spans="1:13" ht="30.949999999999999" customHeight="1">
      <x:c r="A28" s="318"/>
      <x:c r="B28" s="54" t="s">
        <x:v>23</x:v>
      </x:c>
      <x:c r="C28" s="312">
        <x:f>3800000/31</x:f>
        <x:v>122580.64516129032</x:v>
      </x:c>
      <x:c r="D28" s="313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0.20095269195820084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SUM('1:3'!$I$27)</x:f>
        <x:v>2554337.0967741939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2.7973451796375457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30</x:v>
      </x:c>
      <x:c r="C32" s="307">
        <x:v>70000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136500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O34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4</x:v>
      </x:c>
      <x:c r="G1" s="68" t="s">
        <x:v>29</x:v>
      </x:c>
      <x:c r="H1" s="52" t="s">
        <x:v>126</x:v>
      </x:c>
      <x:c r="I1" s="52">
        <x:f>F1-K1</x:f>
        <x:v>4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5323000</x:v>
      </x:c>
      <x:c r="D2" s="274"/>
      <x:c r="E2" s="277" t="s">
        <x:v>41</x:v>
      </x:c>
      <x:c r="F2" s="278"/>
      <x:c r="G2" s="266">
        <x:v>116500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4927000</x:v>
      </x:c>
      <x:c r="D4" s="261"/>
      <x:c r="E4" s="276" t="s">
        <x:v>149</x:v>
      </x:c>
      <x:c r="F4" s="276"/>
      <x:c r="G4" s="133">
        <x:f>INT(C4*0.0275)</x:f>
        <x:v>135492</x:v>
      </x:c>
      <x:c r="H4" s="54" t="s">
        <x:v>20</x:v>
      </x:c>
      <x:c r="I4" s="124">
        <x:v>1237994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396000</x:v>
      </x:c>
      <x:c r="D5" s="261"/>
      <x:c r="E5" s="260" t="s">
        <x:v>73</x:v>
      </x:c>
      <x:c r="F5" s="260"/>
      <x:c r="G5" s="133">
        <x:f>INT(C5*0.01)</x:f>
        <x:v>3960</x:v>
      </x:c>
      <x:c r="H5" s="54" t="s">
        <x:v>6</x:v>
      </x:c>
      <x:c r="I5" s="124">
        <x:v>176786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400000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112500</x:v>
      </x:c>
      <x:c r="D8" s="261"/>
      <x:c r="E8" s="287" t="s">
        <x:v>113</x:v>
      </x:c>
      <x:c r="F8" s="288"/>
      <x:c r="G8" s="293">
        <x:f>C5+G2-G6-C22</x:f>
        <x:v>112500</x:v>
      </x:c>
      <x:c r="H8" s="54" t="s">
        <x:v>46</x:v>
      </x:c>
      <x:c r="I8" s="124">
        <x:v>58000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>
        <x:v>98000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/>
      <x:c r="D12" s="287" t="s">
        <x:v>136</x:v>
      </x:c>
      <x:c r="E12" s="288"/>
      <x:c r="F12" s="291"/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SUM('1:4'!$C$12)</x:f>
        <x:v>53</x:v>
      </x:c>
      <x:c r="D13" s="279"/>
      <x:c r="E13" s="280"/>
      <x:c r="F13" s="289">
        <x:f>SUM('1:4'!$F$12)</x:f>
        <x:v>34</x:v>
      </x:c>
      <x:c r="G13" s="290"/>
      <x:c r="H13" s="54" t="s">
        <x:v>129</x:v>
      </x:c>
      <x:c r="I13" s="58">
        <x:v>240000</x:v>
      </x:c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/>
      <x:c r="D14" s="287" t="s">
        <x:v>98</x:v>
      </x:c>
      <x:c r="E14" s="288"/>
      <x:c r="F14" s="291"/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SUM('1:4'!$C$14)</x:f>
        <x:v>127</x:v>
      </x:c>
      <x:c r="D15" s="279"/>
      <x:c r="E15" s="280"/>
      <x:c r="F15" s="289">
        <x:f>SUM('1:4'!$F$14)</x:f>
        <x:v>66</x:v>
      </x:c>
      <x:c r="G15" s="290"/>
      <x:c r="H15" s="54" t="s">
        <x:v>109</x:v>
      </x:c>
      <x:c r="I15" s="58">
        <x:v>86400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/>
      <x:c r="D16" s="287" t="s">
        <x:v>120</x:v>
      </x:c>
      <x:c r="E16" s="288"/>
      <x:c r="F16" s="285"/>
      <x:c r="G16" s="285"/>
      <x:c r="H16" s="54"/>
      <x:c r="I16" s="58"/>
      <x:c r="J16" s="54" t="s">
        <x:v>100</x:v>
      </x:c>
      <x:c r="K16" s="58">
        <x:v>253600</x:v>
      </x:c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SUM('1:4'!$C$16)</x:f>
        <x:v>22</x:v>
      </x:c>
      <x:c r="D17" s="279"/>
      <x:c r="E17" s="280"/>
      <x:c r="F17" s="286">
        <x:f>SUM('1:4'!$F$16)</x:f>
        <x:v>61</x:v>
      </x:c>
      <x:c r="G17" s="286"/>
      <x:c r="H17" s="54" t="s">
        <x:v>7</x:v>
      </x:c>
      <x:c r="I17" s="58">
        <x:v>6400</x:v>
      </x:c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/>
      <x:c r="D18" s="287" t="s">
        <x:v>133</x:v>
      </x:c>
      <x:c r="E18" s="288"/>
      <x:c r="F18" s="295"/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SUM('1:4'!$C$18)</x:f>
        <x:v>126</x:v>
      </x:c>
      <x:c r="D19" s="279"/>
      <x:c r="E19" s="280"/>
      <x:c r="F19" s="286">
        <x:f>SUM('1:4'!$F$18)</x:f>
        <x:v>35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/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SUM('1:4'!$F$20)</x:f>
        <x:v>194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1805580</x:v>
      </x:c>
      <x:c r="J23" s="61" t="s">
        <x:v>122</x:v>
      </x:c>
      <x:c r="K23" s="62">
        <x:f>SUM(K4:K22)</x:f>
        <x:v>267794</x:v>
      </x:c>
      <x:c r="M23" s="88" t="s">
        <x:v>96</x:v>
      </x:c>
      <x:c r="N23" s="282">
        <x:f>C5+C6</x:f>
        <x:v>396000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0.33920345669735114</x:v>
      </x:c>
      <x:c r="J24" s="61" t="s">
        <x:v>8</x:v>
      </x:c>
      <x:c r="K24" s="63">
        <x:f>K23/A25</x:f>
        <x:v>0.050308848393762914</x:v>
      </x:c>
    </x:row>
    <x:row r="25" spans="1:11" ht="34.149999999999999" customHeight="1">
      <x:c r="A25" s="311">
        <x:f>C2</x:f>
        <x:v>5323000</x:v>
      </x:c>
      <x:c r="B25" s="275"/>
      <x:c r="C25" s="275">
        <x:f>E25/I1</x:f>
        <x:v>4769500</x:v>
      </x:c>
      <x:c r="D25" s="275"/>
      <x:c r="E25" s="275">
        <x:f>SUM('1:4'!$A$25)</x:f>
        <x:v>19078000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SUM('1:4'!$K$23)</x:f>
        <x:v>751376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0.11872140685606458</x:v>
      </x:c>
      <x:c r="J26" s="64" t="s">
        <x:v>131</x:v>
      </x:c>
      <x:c r="K26" s="65">
        <x:f>K25/$E$25</x:f>
        <x:v>0.039384421847153787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46800</x:v>
      </x:c>
      <x:c r="G27" s="261"/>
      <x:c r="H27" s="111" t="s">
        <x:v>121</x:v>
      </x:c>
      <x:c r="I27" s="112">
        <x:f>SUM(C27:D34,F27:G32)</x:f>
        <x:v>764929.0322580646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0.1437026173695406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SUM('1:4'!$I$27)</x:f>
        <x:v>3319266.1290322584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4.3393125231942244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30</x:v>
      </x:c>
      <x:c r="C32" s="307">
        <x:v>70000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O34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5</x:v>
      </x:c>
      <x:c r="G1" s="68" t="s">
        <x:v>18</x:v>
      </x:c>
      <x:c r="H1" s="52" t="s">
        <x:v>126</x:v>
      </x:c>
      <x:c r="I1" s="52">
        <x:f>F1-K1</x:f>
        <x:v>5</x:v>
      </x:c>
      <x:c r="J1" s="52" t="s">
        <x:v>101</x:v>
      </x:c>
      <x:c r="K1" s="52"/>
    </x:row>
    <x:row r="2" spans="1:11" ht="20.100000000000001" customHeight="1">
      <x:c r="A2" s="329" t="s">
        <x:v>9</x:v>
      </x:c>
      <x:c r="B2" s="330"/>
      <x:c r="C2" s="333">
        <x:f>SUM(C4:D7)</x:f>
        <x:v>4384500</x:v>
      </x:c>
      <x:c r="D2" s="334"/>
      <x:c r="E2" s="277" t="s">
        <x:v>41</x:v>
      </x:c>
      <x:c r="F2" s="278"/>
      <x:c r="G2" s="266">
        <x:v>112500</x:v>
      </x:c>
      <x:c r="H2" s="337" t="s">
        <x:v>6</x:v>
      </x:c>
      <x:c r="I2" s="338"/>
      <x:c r="J2" s="262" t="s">
        <x:v>77</x:v>
      </x:c>
      <x:c r="K2" s="326"/>
    </x:row>
    <x:row r="3" spans="1:11" ht="20.100000000000001" customHeight="1">
      <x:c r="A3" s="331"/>
      <x:c r="B3" s="332"/>
      <x:c r="C3" s="335"/>
      <x:c r="D3" s="336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340" t="s">
        <x:v>22</x:v>
      </x:c>
      <x:c r="B4" s="341"/>
      <x:c r="C4" s="309">
        <x:v>3070000</x:v>
      </x:c>
      <x:c r="D4" s="310"/>
      <x:c r="E4" s="342" t="s">
        <x:v>149</x:v>
      </x:c>
      <x:c r="F4" s="343"/>
      <x:c r="G4" s="133">
        <x:f>INT(C4*0.0275)</x:f>
        <x:v>84425</x:v>
      </x:c>
      <x:c r="H4" s="54" t="s">
        <x:v>20</x:v>
      </x:c>
      <x:c r="I4" s="124">
        <x:v>653159</x:v>
      </x:c>
      <x:c r="J4" s="80" t="s">
        <x:v>37</x:v>
      </x:c>
      <x:c r="K4" s="58"/>
    </x:row>
    <x:row r="5" spans="1:11" ht="30.949999999999999" customHeight="1">
      <x:c r="A5" s="340" t="s">
        <x:v>62</x:v>
      </x:c>
      <x:c r="B5" s="341"/>
      <x:c r="C5" s="309">
        <x:v>1314500</x:v>
      </x:c>
      <x:c r="D5" s="310"/>
      <x:c r="E5" s="291" t="s">
        <x:v>73</x:v>
      </x:c>
      <x:c r="F5" s="292"/>
      <x:c r="G5" s="133">
        <x:f>INT(C5*0.01)</x:f>
        <x:v>13145</x:v>
      </x:c>
      <x:c r="H5" s="54" t="s">
        <x:v>6</x:v>
      </x:c>
      <x:c r="I5" s="124">
        <x:v>209326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1340000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347" t="s">
        <x:v>137</x:v>
      </x:c>
      <x:c r="B8" s="288"/>
      <x:c r="C8" s="300">
        <x:v>87000</x:v>
      </x:c>
      <x:c r="D8" s="301"/>
      <x:c r="E8" s="287" t="s">
        <x:v>113</x:v>
      </x:c>
      <x:c r="F8" s="288"/>
      <x:c r="G8" s="293">
        <x:f>C5+G2-G6</x:f>
        <x:v>87000</x:v>
      </x:c>
      <x:c r="H8" s="54" t="s">
        <x:v>46</x:v>
      </x:c>
      <x:c r="I8" s="124"/>
      <x:c r="J8" s="81"/>
      <x:c r="K8" s="58"/>
    </x:row>
    <x:row r="9" spans="1:11" ht="21.949999999999999" customHeight="1">
      <x:c r="A9" s="348"/>
      <x:c r="B9" s="280"/>
      <x:c r="C9" s="302"/>
      <x:c r="D9" s="303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339" t="s">
        <x:v>146</x:v>
      </x:c>
      <x:c r="B10" s="292"/>
      <x:c r="C10" s="309"/>
      <x:c r="D10" s="310"/>
      <x:c r="E10" s="291" t="s">
        <x:v>90</x:v>
      </x:c>
      <x:c r="F10" s="292"/>
      <x:c r="G10" s="55"/>
      <x:c r="H10" s="54"/>
      <x:c r="I10" s="124"/>
      <x:c r="J10" s="54" t="s">
        <x:v>54</x:v>
      </x:c>
      <x:c r="K10" s="58"/>
    </x:row>
    <x:row r="11" spans="1:11" ht="33" customHeight="1">
      <x:c r="A11" s="339" t="s">
        <x:v>106</x:v>
      </x:c>
      <x:c r="B11" s="292"/>
      <x:c r="C11" s="344"/>
      <x:c r="D11" s="345"/>
      <x:c r="E11" s="345"/>
      <x:c r="F11" s="345"/>
      <x:c r="G11" s="346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12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SUM('1:5'!$C$12)</x:f>
        <x:v>65</x:v>
      </x:c>
      <x:c r="D13" s="279"/>
      <x:c r="E13" s="280"/>
      <x:c r="F13" s="289">
        <x:f>SUM('1:5'!$F$12)</x:f>
        <x:v>34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28</x:v>
      </x:c>
      <x:c r="C14" s="79">
        <x:v>28</x:v>
      </x:c>
      <x:c r="D14" s="287" t="s">
        <x:v>98</x:v>
      </x:c>
      <x:c r="E14" s="288"/>
      <x:c r="F14" s="291">
        <x:v>15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SUM('1:5'!$C$14)</x:f>
        <x:v>155</x:v>
      </x:c>
      <x:c r="D15" s="279"/>
      <x:c r="E15" s="280"/>
      <x:c r="F15" s="289">
        <x:f>SUM('1:5'!$F$14)</x:f>
        <x:v>81</x:v>
      </x:c>
      <x:c r="G15" s="290"/>
      <x:c r="H15" s="54" t="s">
        <x:v>109</x:v>
      </x:c>
      <x:c r="I15" s="58">
        <x:v>365600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5</x:v>
      </x:c>
      <x:c r="D16" s="287" t="s">
        <x:v>120</x:v>
      </x:c>
      <x:c r="E16" s="288"/>
      <x:c r="F16" s="327">
        <x:v>13</x:v>
      </x:c>
      <x:c r="G16" s="328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SUM('1:5'!$C$16)</x:f>
        <x:v>27</x:v>
      </x:c>
      <x:c r="D17" s="279"/>
      <x:c r="E17" s="280"/>
      <x:c r="F17" s="289">
        <x:f>SUM('1:5'!$F$16)</x:f>
        <x:v>74</x:v>
      </x:c>
      <x:c r="G17" s="290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43</x:v>
      </x:c>
      <x:c r="D18" s="287" t="s">
        <x:v>133</x:v>
      </x:c>
      <x:c r="E18" s="288"/>
      <x:c r="F18" s="327">
        <x:v>16</x:v>
      </x:c>
      <x:c r="G18" s="32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SUM('1:5'!$C$18)</x:f>
        <x:v>169</x:v>
      </x:c>
      <x:c r="D19" s="279"/>
      <x:c r="E19" s="280"/>
      <x:c r="F19" s="289">
        <x:f>SUM('1:5'!$F$18)</x:f>
        <x:v>51</x:v>
      </x:c>
      <x:c r="G19" s="290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132"/>
      <x:c r="C20" s="132"/>
      <x:c r="D20" s="291" t="s">
        <x:v>116</x:v>
      </x:c>
      <x:c r="E20" s="292"/>
      <x:c r="F20" s="327">
        <x:v>57</x:v>
      </x:c>
      <x:c r="G20" s="328"/>
      <x:c r="H20" s="58"/>
      <x:c r="J20" s="54"/>
      <x:c r="K20" s="58"/>
      <x:c r="L20" s="60"/>
      <x:c r="M20" s="11"/>
    </x:row>
    <x:row r="21" spans="1:13" ht="21.949999999999999" customHeight="1">
      <x:c r="A21" s="132"/>
      <x:c r="C21" s="132"/>
      <x:c r="D21" s="291" t="s">
        <x:v>117</x:v>
      </x:c>
      <x:c r="E21" s="292"/>
      <x:c r="F21" s="289">
        <x:f>SUM('1:5'!$F$20)</x:f>
        <x:v>251</x:v>
      </x:c>
      <x:c r="G21" s="290"/>
      <x:c r="H21" s="58"/>
      <x:c r="J21" s="54"/>
      <x:c r="K21" s="58"/>
      <x:c r="L21" s="60"/>
      <x:c r="M21" s="11"/>
    </x:row>
    <x:row r="22" spans="1:13" ht="32.100000000000001" customHeight="1">
      <x:c r="A22" s="339" t="s">
        <x:v>86</x:v>
      </x:c>
      <x:c r="B22" s="292"/>
      <x:c r="C22" s="349"/>
      <x:c r="D22" s="350"/>
      <x:c r="E22" s="350"/>
      <x:c r="F22" s="350"/>
      <x:c r="G22" s="351"/>
      <x:c r="H22" s="54"/>
      <x:c r="J22" s="54"/>
      <x:c r="K22" s="58"/>
      <x:c r="L22" s="60"/>
      <x:c r="M22" s="11"/>
    </x:row>
    <x:row r="23" spans="1:15" ht="34.149999999999999" customHeight="1">
      <x:c r="A23" s="339" t="s">
        <x:v>127</x:v>
      </x:c>
      <x:c r="B23" s="292"/>
      <x:c r="C23" s="323"/>
      <x:c r="D23" s="324"/>
      <x:c r="E23" s="324"/>
      <x:c r="F23" s="324"/>
      <x:c r="G23" s="325"/>
      <x:c r="H23" s="107" t="s">
        <x:v>97</x:v>
      </x:c>
      <x:c r="I23" s="108">
        <x:f>SUM(I4:I22)</x:f>
        <x:v>1228085</x:v>
      </x:c>
      <x:c r="J23" s="61" t="s">
        <x:v>122</x:v>
      </x:c>
      <x:c r="K23" s="62">
        <x:f>SUM(K4:K22)</x:f>
        <x:v>14194</x:v>
      </x:c>
      <x:c r="M23" s="88" t="s">
        <x:v>96</x:v>
      </x:c>
      <x:c r="N23" s="282">
        <x:f>C5+C6</x:f>
        <x:v>1314500</x:v>
      </x:c>
      <x:c r="O23" s="283"/>
    </x:row>
    <x:row r="24" spans="1:11" ht="34.149999999999999" customHeight="1">
      <x:c r="A24" s="339" t="s">
        <x:v>8</x:v>
      </x:c>
      <x:c r="B24" s="292"/>
      <x:c r="C24" s="291" t="s">
        <x:v>89</x:v>
      </x:c>
      <x:c r="D24" s="292"/>
      <x:c r="E24" s="291" t="s">
        <x:v>104</x:v>
      </x:c>
      <x:c r="F24" s="322"/>
      <x:c r="G24" s="292"/>
      <x:c r="H24" s="107" t="s">
        <x:v>8</x:v>
      </x:c>
      <x:c r="I24" s="109">
        <x:f>I23/A25</x:f>
        <x:v>0.28009693237541339</x:v>
      </x:c>
      <x:c r="J24" s="61" t="s">
        <x:v>8</x:v>
      </x:c>
      <x:c r="K24" s="63">
        <x:f>K23/A25</x:f>
        <x:v>0.0032373132626297182</x:v>
      </x:c>
    </x:row>
    <x:row r="25" spans="1:11" ht="34.149999999999999" customHeight="1">
      <x:c r="A25" s="353">
        <x:f>C2</x:f>
        <x:v>4384500</x:v>
      </x:c>
      <x:c r="B25" s="313"/>
      <x:c r="C25" s="312">
        <x:f>E25/I1</x:f>
        <x:v>4692500</x:v>
      </x:c>
      <x:c r="D25" s="313"/>
      <x:c r="E25" s="312">
        <x:f>SUM('1:5'!$A$25)</x:f>
        <x:v>23462500</x:v>
      </x:c>
      <x:c r="F25" s="321"/>
      <x:c r="G25" s="313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SUM('1:5'!$K$23)</x:f>
        <x:v>765570</x:v>
      </x:c>
    </x:row>
    <x:row r="26" spans="1:11" ht="34.149999999999999" customHeight="1">
      <x:c r="A26" s="339" t="s">
        <x:v>145</x:v>
      </x:c>
      <x:c r="B26" s="292"/>
      <x:c r="C26" s="291"/>
      <x:c r="D26" s="292"/>
      <x:c r="E26" s="309"/>
      <x:c r="F26" s="352"/>
      <x:c r="G26" s="310"/>
      <x:c r="H26" s="107" t="s">
        <x:v>131</x:v>
      </x:c>
      <x:c r="I26" s="110">
        <x:f>I25/$E$25</x:f>
        <x:v>0.096535620671283962</x:v>
      </x:c>
      <x:c r="J26" s="64" t="s">
        <x:v>131</x:v>
      </x:c>
      <x:c r="K26" s="65">
        <x:f>K25/$E$25</x:f>
        <x:v>0.032629515183803942</x:v>
      </x:c>
    </x:row>
    <x:row r="27" spans="1:13" ht="30.949999999999999" customHeight="1">
      <x:c r="A27" s="304" t="s">
        <x:v>144</x:v>
      </x:c>
      <x:c r="B27" s="54" t="s">
        <x:v>45</x:v>
      </x:c>
      <x:c r="C27" s="312">
        <x:f>4000000/31</x:f>
        <x:v>129032.25806451614</x:v>
      </x:c>
      <x:c r="D27" s="313"/>
      <x:c r="E27" s="55" t="s">
        <x:v>150</x:v>
      </x:c>
      <x:c r="F27" s="309"/>
      <x:c r="G27" s="310"/>
      <x:c r="H27" s="111" t="s">
        <x:v>121</x:v>
      </x:c>
      <x:c r="I27" s="112">
        <x:f>SUM(C27:D34,F27:G32)</x:f>
        <x:v>806129.0322580646</x:v>
      </x:c>
      <x:c r="M27" s="66"/>
    </x:row>
    <x:row r="28" spans="1:13" ht="30.949999999999999" customHeight="1">
      <x:c r="A28" s="305"/>
      <x:c r="B28" s="54" t="s">
        <x:v>23</x:v>
      </x:c>
      <x:c r="C28" s="312">
        <x:f>3800000/31</x:f>
        <x:v>122580.64516129032</x:v>
      </x:c>
      <x:c r="D28" s="313"/>
      <x:c r="E28" s="55" t="s">
        <x:v>152</x:v>
      </x:c>
      <x:c r="F28" s="312">
        <x:f>1500000/31</x:f>
        <x:v>48387.096774193546</x:v>
      </x:c>
      <x:c r="G28" s="313"/>
      <x:c r="H28" s="111" t="s">
        <x:v>8</x:v>
      </x:c>
      <x:c r="I28" s="113">
        <x:f>I27/$A$25</x:f>
        <x:v>0.1838588282034587</x:v>
      </x:c>
      <x:c r="M28" s="66"/>
    </x:row>
    <x:row r="29" spans="1:13" ht="30.949999999999999" customHeight="1">
      <x:c r="A29" s="305"/>
      <x:c r="B29" s="54" t="s">
        <x:v>48</x:v>
      </x:c>
      <x:c r="C29" s="312">
        <x:f>3200000/31</x:f>
        <x:v>103225.80645161291</x:v>
      </x:c>
      <x:c r="D29" s="313"/>
      <x:c r="E29" s="55"/>
      <x:c r="F29" s="309"/>
      <x:c r="G29" s="310"/>
      <x:c r="H29" s="111" t="s">
        <x:v>34</x:v>
      </x:c>
      <x:c r="I29" s="112">
        <x:f>SUM('1:5'!$I$27)</x:f>
        <x:v>4125395.1612903229</x:v>
      </x:c>
      <x:c r="M29" s="66"/>
    </x:row>
    <x:row r="30" spans="1:13" ht="30.949999999999999" customHeight="1">
      <x:c r="A30" s="305"/>
      <x:c r="B30" s="54"/>
      <x:c r="C30" s="354"/>
      <x:c r="D30" s="355"/>
      <x:c r="E30" s="55"/>
      <x:c r="F30" s="309"/>
      <x:c r="G30" s="310"/>
      <x:c r="H30" s="111" t="s">
        <x:v>131</x:v>
      </x:c>
      <x:c r="I30" s="113">
        <x:f>I29/$I$27</x:f>
        <x:v>5.1175370148059223</x:v>
      </x:c>
      <x:c r="M30" s="66"/>
    </x:row>
    <x:row r="31" spans="1:7" customHeight="1">
      <x:c r="A31" s="305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142000</x:v>
      </x:c>
      <x:c r="G31" s="310"/>
    </x:row>
    <x:row r="32" spans="1:7" customHeight="1">
      <x:c r="A32" s="305"/>
      <x:c r="B32" s="54" t="s">
        <x:v>30</x:v>
      </x:c>
      <x:c r="C32" s="307">
        <x:v>70000</x:v>
      </x:c>
      <x:c r="D32" s="308"/>
      <x:c r="E32" s="55" t="s">
        <x:v>141</x:v>
      </x:c>
      <x:c r="F32" s="309"/>
      <x:c r="G32" s="310"/>
    </x:row>
    <x:row r="33" spans="1:4" customHeight="1">
      <x:c r="A33" s="305"/>
      <x:c r="B33" s="54" t="s">
        <x:v>21</x:v>
      </x:c>
      <x:c r="C33" s="307">
        <x:v>78000</x:v>
      </x:c>
      <x:c r="D33" s="308"/>
    </x:row>
    <x:row r="34" spans="1:4" customHeight="1">
      <x:c r="A34" s="306"/>
      <x:c r="B34" s="54" t="s">
        <x:v>58</x:v>
      </x:c>
      <x:c r="C34" s="309"/>
      <x:c r="D34" s="310"/>
    </x:row>
  </x:sheetData>
  <x:mergeCells count="74">
    <x:mergeCell ref="F32:G32"/>
    <x:mergeCell ref="C8:D9"/>
    <x:mergeCell ref="E8:F9"/>
    <x:mergeCell ref="G8:G9"/>
    <x:mergeCell ref="E25:G25"/>
    <x:mergeCell ref="C24:D24"/>
    <x:mergeCell ref="E24:G24"/>
    <x:mergeCell ref="C23:G23"/>
    <x:mergeCell ref="F30:G30"/>
    <x:mergeCell ref="F31:G31"/>
    <x:mergeCell ref="F29:G29"/>
    <x:mergeCell ref="F27:G27"/>
    <x:mergeCell ref="F28:G28"/>
    <x:mergeCell ref="J2:K2"/>
    <x:mergeCell ref="F17:G17"/>
    <x:mergeCell ref="F12:G12"/>
    <x:mergeCell ref="F13:G13"/>
    <x:mergeCell ref="F14:G14"/>
    <x:mergeCell ref="F15:G15"/>
    <x:mergeCell ref="F16:G16"/>
    <x:mergeCell ref="A2:B3"/>
    <x:mergeCell ref="C2:D3"/>
    <x:mergeCell ref="E2:F3"/>
    <x:mergeCell ref="G2:G3"/>
    <x:mergeCell ref="H2:I2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A22:B22"/>
    <x:mergeCell ref="C22:G22"/>
    <x:mergeCell ref="B14:B15"/>
    <x:mergeCell ref="B16:B17"/>
    <x:mergeCell ref="D20:E20"/>
    <x:mergeCell ref="F20:G20"/>
    <x:mergeCell ref="D21:E21"/>
    <x:mergeCell ref="F21:G21"/>
    <x:mergeCell ref="F18:G18"/>
    <x:mergeCell ref="F19:G19"/>
    <x:mergeCell ref="N23:O23"/>
    <x:mergeCell ref="A26:B26"/>
    <x:mergeCell ref="C26:D26"/>
    <x:mergeCell ref="E26:G26"/>
    <x:mergeCell ref="A25:B25"/>
    <x:mergeCell ref="C25:D25"/>
    <x:mergeCell ref="A24:B24"/>
    <x:mergeCell ref="A27:A34"/>
    <x:mergeCell ref="C32:D32"/>
    <x:mergeCell ref="C33:D33"/>
    <x:mergeCell ref="C34:D34"/>
    <x:mergeCell ref="A23:B23"/>
    <x:mergeCell ref="C31:D31"/>
    <x:mergeCell ref="C30:D30"/>
    <x:mergeCell ref="C27:D27"/>
    <x:mergeCell ref="C28:D28"/>
    <x:mergeCell ref="C29:D29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34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6</x:v>
      </x:c>
      <x:c r="G1" s="68" t="s">
        <x:v>19</x:v>
      </x:c>
      <x:c r="H1" s="52" t="s">
        <x:v>126</x:v>
      </x:c>
      <x:c r="I1" s="52">
        <x:f>F1-K1</x:f>
        <x:v>6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4880000</x:v>
      </x:c>
      <x:c r="D2" s="274"/>
      <x:c r="E2" s="277" t="s">
        <x:v>41</x:v>
      </x:c>
      <x:c r="F2" s="278"/>
      <x:c r="G2" s="266">
        <x:v>87000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3625000</x:v>
      </x:c>
      <x:c r="D4" s="261"/>
      <x:c r="E4" s="276" t="s">
        <x:v>149</x:v>
      </x:c>
      <x:c r="F4" s="276"/>
      <x:c r="G4" s="133">
        <x:f>INT(C4*0.0275)</x:f>
        <x:v>99687</x:v>
      </x:c>
      <x:c r="H4" s="54" t="s">
        <x:v>20</x:v>
      </x:c>
      <x:c r="I4" s="124"/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1255000</x:v>
      </x:c>
      <x:c r="D5" s="261"/>
      <x:c r="E5" s="260" t="s">
        <x:v>73</x:v>
      </x:c>
      <x:c r="F5" s="260"/>
      <x:c r="G5" s="133">
        <x:f>INT(C5*0.01)</x:f>
        <x:v>12550</x:v>
      </x:c>
      <x:c r="H5" s="54" t="s">
        <x:v>6</x:v>
      </x:c>
      <x:c r="I5" s="124"/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1180000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151800</x:v>
      </x:c>
      <x:c r="D8" s="261"/>
      <x:c r="E8" s="287" t="s">
        <x:v>113</x:v>
      </x:c>
      <x:c r="F8" s="288"/>
      <x:c r="G8" s="293">
        <x:f>C5+G2-G6-C22</x:f>
        <x:v>162000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12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SUM('1:6'!$C$12)</x:f>
        <x:v>77</x:v>
      </x:c>
      <x:c r="D13" s="279"/>
      <x:c r="E13" s="280"/>
      <x:c r="F13" s="289">
        <x:f>SUM('1:6'!$F$12)</x:f>
        <x:v>34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24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SUM('1:6'!$C$14)</x:f>
        <x:v>155</x:v>
      </x:c>
      <x:c r="D15" s="279"/>
      <x:c r="E15" s="280"/>
      <x:c r="F15" s="289">
        <x:f>SUM('1:6'!$F$14)</x:f>
        <x:v>105</x:v>
      </x:c>
      <x:c r="G15" s="290"/>
      <x:c r="H15" s="54" t="s">
        <x:v>109</x:v>
      </x:c>
      <x:c r="I15" s="58"/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5</x:v>
      </x:c>
      <x:c r="D16" s="287" t="s">
        <x:v>120</x:v>
      </x:c>
      <x:c r="E16" s="288"/>
      <x:c r="F16" s="285">
        <x:v>3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SUM('1:6'!$C$16)</x:f>
        <x:v>32</x:v>
      </x:c>
      <x:c r="D17" s="279"/>
      <x:c r="E17" s="280"/>
      <x:c r="F17" s="286">
        <x:f>SUM('1:6'!$F$16)</x:f>
        <x:v>77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35</x:v>
      </x:c>
      <x:c r="D18" s="287" t="s">
        <x:v>133</x:v>
      </x:c>
      <x:c r="E18" s="288"/>
      <x:c r="F18" s="295">
        <x:v>0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SUM('1:6'!$C$18)</x:f>
        <x:v>204</x:v>
      </x:c>
      <x:c r="D19" s="279"/>
      <x:c r="E19" s="280"/>
      <x:c r="F19" s="286">
        <x:f>SUM('1:6'!$F$18)</x:f>
        <x:v>51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71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SUM('1:6'!$F$20)</x:f>
        <x:v>322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0</x:v>
      </x:c>
      <x:c r="J23" s="61" t="s">
        <x:v>122</x:v>
      </x:c>
      <x:c r="K23" s="62">
        <x:f>SUM(K4:K22)</x:f>
        <x:v>14194</x:v>
      </x:c>
      <x:c r="M23" s="88" t="s">
        <x:v>96</x:v>
      </x:c>
      <x:c r="N23" s="282">
        <x:f>C5+C6</x:f>
        <x:v>1255000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0.0029086065573770492</x:v>
      </x:c>
    </x:row>
    <x:row r="25" spans="1:11" ht="34.149999999999999" customHeight="1">
      <x:c r="A25" s="311">
        <x:f>C2</x:f>
        <x:v>4880000</x:v>
      </x:c>
      <x:c r="B25" s="275"/>
      <x:c r="C25" s="275">
        <x:f>E25/I1</x:f>
        <x:v>4723750</x:v>
      </x:c>
      <x:c r="D25" s="275"/>
      <x:c r="E25" s="275">
        <x:f>SUM('1:6'!$A$25)</x:f>
        <x:v>28342500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SUM('1:6'!$K$23)</x:f>
        <x:v>779764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0.079914157184440324</x:v>
      </x:c>
      <x:c r="J26" s="64" t="s">
        <x:v>131</x:v>
      </x:c>
      <x:c r="K26" s="65">
        <x:f>K25/$E$25</x:f>
        <x:v>0.027512181353091646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/>
      <x:c r="G27" s="261"/>
      <x:c r="H27" s="111" t="s">
        <x:v>121</x:v>
      </x:c>
      <x:c r="I27" s="114">
        <x:f>SUM(C27:D34,F27:G32)</x:f>
        <x:v>736129.0322580646</x:v>
      </x:c>
      <x:c r="M27" s="66"/>
    </x:row>
    <x:row r="28" spans="1:13" ht="30.949999999999999" customHeight="1">
      <x:c r="A28" s="318"/>
      <x:c r="B28" s="54" t="s">
        <x:v>23</x:v>
      </x:c>
      <x:c r="C28" s="312">
        <x:f>3800000/31</x:f>
        <x:v>122580.64516129032</x:v>
      </x:c>
      <x:c r="D28" s="313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0.15084611316763619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 t="s">
        <x:v>65</x:v>
      </x:c>
      <x:c r="F29" s="261"/>
      <x:c r="G29" s="261"/>
      <x:c r="H29" s="111" t="s">
        <x:v>34</x:v>
      </x:c>
      <x:c r="I29" s="112">
        <x:f>SUM('1:6'!$I$27)</x:f>
        <x:v>4861524.1935483878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6.604173970201578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142000</x:v>
      </x:c>
      <x:c r="G31" s="310"/>
    </x:row>
    <x:row r="32" spans="1:7" customHeight="1">
      <x:c r="A32" s="318"/>
      <x:c r="B32" s="54" t="s">
        <x:v>30</x:v>
      </x:c>
      <x:c r="C32" s="307"/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78000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O34"/>
  <x:sheetViews>
    <x:sheetView topLeftCell="A10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7.7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7</x:v>
      </x:c>
      <x:c r="G1" s="68" t="s">
        <x:v>50</x:v>
      </x:c>
      <x:c r="H1" s="52" t="s">
        <x:v>126</x:v>
      </x:c>
      <x:c r="I1" s="52">
        <x:f>F1-K1</x:f>
        <x:v>7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4475000</x:v>
      </x:c>
      <x:c r="D2" s="274"/>
      <x:c r="E2" s="277" t="s">
        <x:v>41</x:v>
      </x:c>
      <x:c r="F2" s="278"/>
      <x:c r="G2" s="266">
        <x:v>151800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3784000</x:v>
      </x:c>
      <x:c r="D4" s="261"/>
      <x:c r="E4" s="276" t="s">
        <x:v>149</x:v>
      </x:c>
      <x:c r="F4" s="276"/>
      <x:c r="G4" s="133">
        <x:f>INT(C4*0.0275)</x:f>
        <x:v>104060</x:v>
      </x:c>
      <x:c r="H4" s="54" t="s">
        <x:v>20</x:v>
      </x:c>
      <x:c r="I4" s="124">
        <x:v>1524458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691000</x:v>
      </x:c>
      <x:c r="D5" s="261"/>
      <x:c r="E5" s="260" t="s">
        <x:v>73</x:v>
      </x:c>
      <x:c r="F5" s="260"/>
      <x:c r="G5" s="133">
        <x:f>INT(C5*0.01)</x:f>
        <x:v>6910</x:v>
      </x:c>
      <x:c r="H5" s="54" t="s">
        <x:v>6</x:v>
      </x:c>
      <x:c r="I5" s="124">
        <x:v>340480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650000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473270</x:v>
      </x:c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192800</x:v>
      </x:c>
      <x:c r="D8" s="261"/>
      <x:c r="E8" s="287" t="s">
        <x:v>113</x:v>
      </x:c>
      <x:c r="F8" s="288"/>
      <x:c r="G8" s="293">
        <x:f>C5+G2-G6-C22</x:f>
        <x:v>192800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>
        <x:v>13000</x:v>
      </x:c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12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SUM('1:7'!$C$12)</x:f>
        <x:v>89</x:v>
      </x:c>
      <x:c r="D13" s="279"/>
      <x:c r="E13" s="280"/>
      <x:c r="F13" s="289">
        <x:f>SUM('1:7'!$F$12)</x:f>
        <x:v>34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34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SUM('1:7'!$C$14)</x:f>
        <x:v>155</x:v>
      </x:c>
      <x:c r="D15" s="279"/>
      <x:c r="E15" s="280"/>
      <x:c r="F15" s="289">
        <x:f>SUM('1:7'!$F$14)</x:f>
        <x:v>139</x:v>
      </x:c>
      <x:c r="G15" s="290"/>
      <x:c r="H15" s="54" t="s">
        <x:v>109</x:v>
      </x:c>
      <x:c r="I15" s="58">
        <x:v>130400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4</x:v>
      </x:c>
      <x:c r="D16" s="287" t="s">
        <x:v>120</x:v>
      </x:c>
      <x:c r="E16" s="288"/>
      <x:c r="F16" s="285">
        <x:v>10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SUM('1:7'!$C$16)</x:f>
        <x:v>36</x:v>
      </x:c>
      <x:c r="D17" s="279"/>
      <x:c r="E17" s="280"/>
      <x:c r="F17" s="286">
        <x:f>SUM('1:7'!$F$16)</x:f>
        <x:v>87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19</x:v>
      </x:c>
      <x:c r="D18" s="287" t="s">
        <x:v>133</x:v>
      </x:c>
      <x:c r="E18" s="288"/>
      <x:c r="F18" s="295">
        <x:v>0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SUM('1:7'!$C$18)</x:f>
        <x:v>223</x:v>
      </x:c>
      <x:c r="D19" s="279"/>
      <x:c r="E19" s="280"/>
      <x:c r="F19" s="286">
        <x:f>SUM('1:7'!$F$18)</x:f>
        <x:v>51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67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SUM('1:7'!$F$20)</x:f>
        <x:v>389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2468608</x:v>
      </x:c>
      <x:c r="J23" s="61" t="s">
        <x:v>122</x:v>
      </x:c>
      <x:c r="K23" s="62">
        <x:f>SUM(K4:K22)</x:f>
        <x:v>27194</x:v>
      </x:c>
      <x:c r="M23" s="88" t="s">
        <x:v>96</x:v>
      </x:c>
      <x:c r="N23" s="282">
        <x:f>C5+C6</x:f>
        <x:v>691000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0.55164424581005589</x:v>
      </x:c>
      <x:c r="J24" s="61" t="s">
        <x:v>8</x:v>
      </x:c>
      <x:c r="K24" s="63">
        <x:f>K23/A25</x:f>
        <x:v>0.0060768715083798878</x:v>
      </x:c>
    </x:row>
    <x:row r="25" spans="1:11" ht="34.149999999999999" customHeight="1">
      <x:c r="A25" s="311">
        <x:f>C2</x:f>
        <x:v>4475000</x:v>
      </x:c>
      <x:c r="B25" s="275"/>
      <x:c r="C25" s="275">
        <x:f>E25/I1</x:f>
        <x:v>4688214.2857142854</x:v>
      </x:c>
      <x:c r="D25" s="275"/>
      <x:c r="E25" s="275">
        <x:f>SUM('1:7'!$A$25)</x:f>
        <x:v>32817500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SUM('1:7'!$K$23)</x:f>
        <x:v>806958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0.069017048830654376</x:v>
      </x:c>
      <x:c r="J26" s="64" t="s">
        <x:v>131</x:v>
      </x:c>
      <x:c r="K26" s="65">
        <x:f>K25/$E$25</x:f>
        <x:v>0.024589258779614535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58500</x:v>
      </x:c>
      <x:c r="G27" s="261"/>
      <x:c r="H27" s="111" t="s">
        <x:v>121</x:v>
      </x:c>
      <x:c r="I27" s="112">
        <x:f>SUM(C27:D34,F27:G32)</x:f>
        <x:v>750629.0322580646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0.16773833123085244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SUM('1:7'!$I$27)</x:f>
        <x:v>5612153.2258064523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7.4766002707406694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30</x:v>
      </x:c>
      <x:c r="C32" s="307"/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56000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E5:F5"/>
    <x:mergeCell ref="A8:B9"/>
    <x:mergeCell ref="A6:B7"/>
    <x:mergeCell ref="E6:F7"/>
    <x:mergeCell ref="E8:F9"/>
    <x:mergeCell ref="A10:B10"/>
    <x:mergeCell ref="C10:D10"/>
    <x:mergeCell ref="E10:F10"/>
    <x:mergeCell ref="A4:B4"/>
    <x:mergeCell ref="E4:F4"/>
    <x:mergeCell ref="A2:B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C5:D5"/>
    <x:mergeCell ref="C8:D9"/>
    <x:mergeCell ref="C6:D7"/>
    <x:mergeCell ref="C4:D4"/>
    <x:mergeCell ref="C2:D3"/>
    <x:mergeCell ref="G6:G7"/>
    <x:mergeCell ref="G8:G9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O34"/>
  <x:sheetViews>
    <x:sheetView topLeftCell="A19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8</x:v>
      </x:c>
      <x:c r="G1" s="68" t="s">
        <x:v>63</x:v>
      </x:c>
      <x:c r="H1" s="52" t="s">
        <x:v>126</x:v>
      </x:c>
      <x:c r="I1" s="52">
        <x:f>F1-K1</x:f>
        <x:v>8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4259500</x:v>
      </x:c>
      <x:c r="D2" s="274"/>
      <x:c r="E2" s="277" t="s">
        <x:v>41</x:v>
      </x:c>
      <x:c r="F2" s="278"/>
      <x:c r="G2" s="266">
        <x:v>192800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3417500</x:v>
      </x:c>
      <x:c r="D4" s="261"/>
      <x:c r="E4" s="276" t="s">
        <x:v>149</x:v>
      </x:c>
      <x:c r="F4" s="276"/>
      <x:c r="G4" s="133">
        <x:f>INT(C4*0.0275)</x:f>
        <x:v>93981</x:v>
      </x:c>
      <x:c r="H4" s="54" t="s">
        <x:v>20</x:v>
      </x:c>
      <x:c r="I4" s="124">
        <x:v>2413608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842000</x:v>
      </x:c>
      <x:c r="D5" s="261"/>
      <x:c r="E5" s="260" t="s">
        <x:v>73</x:v>
      </x:c>
      <x:c r="F5" s="260"/>
      <x:c r="G5" s="133">
        <x:f>INT(C5*0.01)</x:f>
        <x:v>8420</x:v>
      </x:c>
      <x:c r="H5" s="54" t="s">
        <x:v>6</x:v>
      </x:c>
      <x:c r="I5" s="124">
        <x:v>272006</x:v>
      </x:c>
      <x:c r="J5" s="81"/>
      <x:c r="K5" s="58"/>
    </x:row>
    <x:row r="6" spans="1:13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940000</x:v>
      </x:c>
      <x:c r="H6" s="54"/>
      <x:c r="I6" s="124"/>
      <x:c r="J6" s="81" t="s">
        <x:v>130</x:v>
      </x:c>
      <x:c r="K6" s="58"/>
      <x:c r="M6" s="124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238800</x:v>
      </x:c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93800</x:v>
      </x:c>
      <x:c r="D8" s="261"/>
      <x:c r="E8" s="287" t="s">
        <x:v>113</x:v>
      </x:c>
      <x:c r="F8" s="288"/>
      <x:c r="G8" s="293">
        <x:f>C5+G2-G6-C22</x:f>
        <x:v>94800</x:v>
      </x:c>
      <x:c r="H8" s="54" t="s">
        <x:v>46</x:v>
      </x:c>
      <x:c r="I8" s="124">
        <x:v>58000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8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SUM('1:8'!$C$12)</x:f>
        <x:v>97</x:v>
      </x:c>
      <x:c r="D13" s="279"/>
      <x:c r="E13" s="280"/>
      <x:c r="F13" s="289">
        <x:f>SUM('1:8'!$F$12)</x:f>
        <x:v>34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5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SUM('1:8'!$C$14)</x:f>
        <x:v>155</x:v>
      </x:c>
      <x:c r="D15" s="279"/>
      <x:c r="E15" s="280"/>
      <x:c r="F15" s="289">
        <x:f>SUM('1:8'!$F$14)</x:f>
        <x:v>144</x:v>
      </x:c>
      <x:c r="G15" s="290"/>
      <x:c r="H15" s="54" t="s">
        <x:v>109</x:v>
      </x:c>
      <x:c r="I15" s="58">
        <x:v>91150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4</x:v>
      </x:c>
      <x:c r="D16" s="287" t="s">
        <x:v>120</x:v>
      </x:c>
      <x:c r="E16" s="288"/>
      <x:c r="F16" s="285">
        <x:v>18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SUM('1:8'!$C$16)</x:f>
        <x:v>40</x:v>
      </x:c>
      <x:c r="D17" s="279"/>
      <x:c r="E17" s="280"/>
      <x:c r="F17" s="286">
        <x:f>SUM('1:8'!$F$16)</x:f>
        <x:v>105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21</x:v>
      </x:c>
      <x:c r="D18" s="287" t="s">
        <x:v>133</x:v>
      </x:c>
      <x:c r="E18" s="288"/>
      <x:c r="F18" s="295">
        <x:v>0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SUM('1:8'!$C$18)</x:f>
        <x:v>244</x:v>
      </x:c>
      <x:c r="D19" s="279"/>
      <x:c r="E19" s="280"/>
      <x:c r="F19" s="286">
        <x:f>SUM('1:8'!$F$18)</x:f>
        <x:v>51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53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SUM('1:8'!$F$20)</x:f>
        <x:v>442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3073564</x:v>
      </x:c>
      <x:c r="J23" s="61" t="s">
        <x:v>122</x:v>
      </x:c>
      <x:c r="K23" s="62">
        <x:f>SUM(K4:K22)</x:f>
        <x:v>14194</x:v>
      </x:c>
      <x:c r="M23" s="88" t="s">
        <x:v>96</x:v>
      </x:c>
      <x:c r="N23" s="282">
        <x:f>C5+C6</x:f>
        <x:v>842000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0.72157858903627181</x:v>
      </x:c>
      <x:c r="J24" s="61" t="s">
        <x:v>8</x:v>
      </x:c>
      <x:c r="K24" s="63">
        <x:f>K23/A25</x:f>
        <x:v>0.0033323159995304612</x:v>
      </x:c>
    </x:row>
    <x:row r="25" spans="1:11" ht="34.149999999999999" customHeight="1">
      <x:c r="A25" s="311">
        <x:f>C2</x:f>
        <x:v>4259500</x:v>
      </x:c>
      <x:c r="B25" s="275"/>
      <x:c r="C25" s="275">
        <x:f>E25/I1</x:f>
        <x:v>4634625</x:v>
      </x:c>
      <x:c r="D25" s="275"/>
      <x:c r="E25" s="275">
        <x:f>SUM('1:8'!$A$25)</x:f>
        <x:v>37077000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SUM('1:8'!$K$23)</x:f>
        <x:v>821152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0.061088194837770049</x:v>
      </x:c>
      <x:c r="J26" s="64" t="s">
        <x:v>131</x:v>
      </x:c>
      <x:c r="K26" s="65">
        <x:f>K25/$E$25</x:f>
        <x:v>0.022147207163470614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46800</x:v>
      </x:c>
      <x:c r="G27" s="261"/>
      <x:c r="H27" s="111" t="s">
        <x:v>121</x:v>
      </x:c>
      <x:c r="I27" s="112">
        <x:f>SUM(C27:D34,F27:G32)</x:f>
        <x:v>869429.0322580646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0.20411527931871454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SUM('1:8'!$I$27)</x:f>
        <x:v>6481582.2580645168</x:v>
      </x:c>
      <x:c r="M29" s="66" t="s">
        <x:v>64</x:v>
      </x:c>
    </x:row>
    <x:row r="30" spans="1:13" ht="30.949999999999999" customHeight="1">
      <x:c r="A30" s="318"/>
      <x:c r="B30" s="54"/>
      <x:c r="C30" s="354"/>
      <x:c r="D30" s="355"/>
      <x:c r="E30" s="55"/>
      <x:c r="F30" s="309"/>
      <x:c r="G30" s="310"/>
      <x:c r="H30" s="111" t="s">
        <x:v>131</x:v>
      </x:c>
      <x:c r="I30" s="113">
        <x:f>I29/$I$27</x:f>
        <x:v>7.4549871439543196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30</x:v>
      </x:c>
      <x:c r="C32" s="307">
        <x:v>63000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123500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O34"/>
  <x:sheetViews>
    <x:sheetView topLeftCell="A16" zoomScale="90" zoomScaleNormal="90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9</x:v>
      </x:c>
      <x:c r="G1" s="68" t="s">
        <x:v>27</x:v>
      </x:c>
      <x:c r="H1" s="52" t="s">
        <x:v>126</x:v>
      </x:c>
      <x:c r="I1" s="52">
        <x:f>F1-K1</x:f>
        <x:v>9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4508000</x:v>
      </x:c>
      <x:c r="D2" s="274"/>
      <x:c r="E2" s="277" t="s">
        <x:v>41</x:v>
      </x:c>
      <x:c r="F2" s="278"/>
      <x:c r="G2" s="266">
        <x:v>93800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3985000</x:v>
      </x:c>
      <x:c r="D4" s="261"/>
      <x:c r="E4" s="276" t="s">
        <x:v>149</x:v>
      </x:c>
      <x:c r="F4" s="276"/>
      <x:c r="G4" s="133">
        <x:f>INT(C4*0.0275)</x:f>
        <x:v>109587</x:v>
      </x:c>
      <x:c r="H4" s="54" t="s">
        <x:v>20</x:v>
      </x:c>
      <x:c r="I4" s="124">
        <x:v>824620</x:v>
      </x:c>
      <x:c r="J4" s="80" t="s">
        <x:v>37</x:v>
      </x:c>
      <x:c r="K4" s="58">
        <x:v>246000</x:v>
      </x:c>
    </x:row>
    <x:row r="5" spans="1:11" ht="30.949999999999999" customHeight="1">
      <x:c r="A5" s="268" t="s">
        <x:v>62</x:v>
      </x:c>
      <x:c r="B5" s="269"/>
      <x:c r="C5" s="261">
        <x:v>523000</x:v>
      </x:c>
      <x:c r="D5" s="261"/>
      <x:c r="E5" s="260" t="s">
        <x:v>73</x:v>
      </x:c>
      <x:c r="F5" s="260"/>
      <x:c r="G5" s="133">
        <x:f>INT(C5*0.01)</x:f>
        <x:v>5230</x:v>
      </x:c>
      <x:c r="H5" s="54" t="s">
        <x:v>6</x:v>
      </x:c>
      <x:c r="I5" s="124">
        <x:v>155012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579000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170170</x:v>
      </x:c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86800</x:v>
      </x:c>
      <x:c r="D8" s="261"/>
      <x:c r="E8" s="287" t="s">
        <x:v>113</x:v>
      </x:c>
      <x:c r="F8" s="288"/>
      <x:c r="G8" s="293">
        <x:f>C5+G2-G6-C22</x:f>
        <x:v>37800</x:v>
      </x:c>
      <x:c r="H8" s="54" t="s">
        <x:v>46</x:v>
      </x:c>
      <x:c r="I8" s="124">
        <x:v>58000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>
        <x:v>49000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3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SUM('1:9'!$C$12)</x:f>
        <x:v>100</x:v>
      </x:c>
      <x:c r="D13" s="279"/>
      <x:c r="E13" s="280"/>
      <x:c r="F13" s="289">
        <x:f>SUM('1:9'!$F$12)</x:f>
        <x:v>34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16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SUM('1:9'!$C$14)</x:f>
        <x:v>155</x:v>
      </x:c>
      <x:c r="D15" s="279"/>
      <x:c r="E15" s="280"/>
      <x:c r="F15" s="289">
        <x:f>SUM('1:9'!$F$14)</x:f>
        <x:v>160</x:v>
      </x:c>
      <x:c r="G15" s="290"/>
      <x:c r="H15" s="54" t="s">
        <x:v>109</x:v>
      </x:c>
      <x:c r="I15" s="58">
        <x:v>76850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1</x:v>
      </x:c>
      <x:c r="D16" s="287" t="s">
        <x:v>120</x:v>
      </x:c>
      <x:c r="E16" s="288"/>
      <x:c r="F16" s="285">
        <x:v>13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SUM('1:9'!$C$16)</x:f>
        <x:v>41</x:v>
      </x:c>
      <x:c r="D17" s="279"/>
      <x:c r="E17" s="280"/>
      <x:c r="F17" s="286">
        <x:f>SUM('1:9'!$F$16)</x:f>
        <x:v>118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15</x:v>
      </x:c>
      <x:c r="D18" s="287" t="s">
        <x:v>133</x:v>
      </x:c>
      <x:c r="E18" s="288"/>
      <x:c r="F18" s="295">
        <x:v>0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SUM('1:9'!$C$18)</x:f>
        <x:v>259</x:v>
      </x:c>
      <x:c r="D19" s="279"/>
      <x:c r="E19" s="280"/>
      <x:c r="F19" s="286">
        <x:f>SUM('1:9'!$F$18)</x:f>
        <x:v>51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56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SUM('1:9'!$F$20)</x:f>
        <x:v>498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1284652</x:v>
      </x:c>
      <x:c r="J23" s="61" t="s">
        <x:v>122</x:v>
      </x:c>
      <x:c r="K23" s="62">
        <x:f>SUM(K4:K22)</x:f>
        <x:v>260194</x:v>
      </x:c>
      <x:c r="M23" s="88" t="s">
        <x:v>96</x:v>
      </x:c>
      <x:c r="N23" s="282">
        <x:f>C5+C6</x:f>
        <x:v>523000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0.28497160603371785</x:v>
      </x:c>
      <x:c r="J24" s="61" t="s">
        <x:v>8</x:v>
      </x:c>
      <x:c r="K24" s="63">
        <x:f>K23/A25</x:f>
        <x:v>0.057718278615794143</x:v>
      </x:c>
    </x:row>
    <x:row r="25" spans="1:11" ht="34.149999999999999" customHeight="1">
      <x:c r="A25" s="311">
        <x:f>C2</x:f>
        <x:v>4508000</x:v>
      </x:c>
      <x:c r="B25" s="275"/>
      <x:c r="C25" s="275">
        <x:f>E25/I1</x:f>
        <x:v>4620555.555555556</x:v>
      </x:c>
      <x:c r="D25" s="275"/>
      <x:c r="E25" s="275">
        <x:f>SUM('1:9'!$A$25)</x:f>
        <x:v>41585000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SUM('1:9'!$K$23)</x:f>
        <x:v>1081346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0.054465961284116869</x:v>
      </x:c>
      <x:c r="J26" s="64" t="s">
        <x:v>131</x:v>
      </x:c>
      <x:c r="K26" s="65">
        <x:f>K25/$E$25</x:f>
        <x:v>0.026003270410003606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58500</x:v>
      </x:c>
      <x:c r="G27" s="261"/>
      <x:c r="H27" s="111" t="s">
        <x:v>121</x:v>
      </x:c>
      <x:c r="I27" s="112">
        <x:f>SUM(C27:D34,F27:G32)</x:f>
        <x:v>809629.0322580646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0.17959827689841718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SUM('1:9'!$I$27)</x:f>
        <x:v>7291211.2903225813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9.0056198577604238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30</x:v>
      </x:c>
      <x:c r="C32" s="307">
        <x:v>63000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52000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O34"/>
  <x:sheetViews>
    <x:sheetView topLeftCell="A2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9.375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10</x:v>
      </x:c>
      <x:c r="G1" s="68" t="s">
        <x:v>51</x:v>
      </x:c>
      <x:c r="H1" s="52" t="s">
        <x:v>126</x:v>
      </x:c>
      <x:c r="I1" s="52">
        <x:f>F1-K1</x:f>
        <x:v>10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4740500</x:v>
      </x:c>
      <x:c r="D2" s="274"/>
      <x:c r="E2" s="277" t="s">
        <x:v>41</x:v>
      </x:c>
      <x:c r="F2" s="278"/>
      <x:c r="G2" s="266">
        <x:v>86800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3901500</x:v>
      </x:c>
      <x:c r="D4" s="261"/>
      <x:c r="E4" s="276" t="s">
        <x:v>149</x:v>
      </x:c>
      <x:c r="F4" s="276"/>
      <x:c r="G4" s="133">
        <x:f>INT(C4*0.0275)</x:f>
        <x:v>107291</x:v>
      </x:c>
      <x:c r="H4" s="54" t="s">
        <x:v>20</x:v>
      </x:c>
      <x:c r="I4" s="124">
        <x:v>1480794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839000</x:v>
      </x:c>
      <x:c r="D5" s="261"/>
      <x:c r="E5" s="260" t="s">
        <x:v>73</x:v>
      </x:c>
      <x:c r="F5" s="260"/>
      <x:c r="G5" s="133">
        <x:f>INT(C5*0.01)</x:f>
        <x:v>8390</x:v>
      </x:c>
      <x:c r="H5" s="54" t="s">
        <x:v>6</x:v>
      </x:c>
      <x:c r="I5" s="124">
        <x:v>260102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860000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>
        <x:v>12500</x:v>
      </x:c>
    </x:row>
    <x:row r="8" spans="1:11" ht="21.949999999999999" customHeight="1">
      <x:c r="A8" s="259" t="s">
        <x:v>137</x:v>
      </x:c>
      <x:c r="B8" s="260"/>
      <x:c r="C8" s="261">
        <x:v>85800</x:v>
      </x:c>
      <x:c r="D8" s="261"/>
      <x:c r="E8" s="287" t="s">
        <x:v>113</x:v>
      </x:c>
      <x:c r="F8" s="288"/>
      <x:c r="G8" s="293">
        <x:f>C5+G2-G6-C22</x:f>
        <x:v>65800</x:v>
      </x:c>
      <x:c r="H8" s="54" t="s">
        <x:v>46</x:v>
      </x:c>
      <x:c r="I8" s="124">
        <x:v>58000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>
        <x:v>140000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9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SUM('1:10'!$C$12)</x:f>
        <x:v>109</x:v>
      </x:c>
      <x:c r="D13" s="279"/>
      <x:c r="E13" s="280"/>
      <x:c r="F13" s="289">
        <x:f>SUM('1:10'!$F$12)</x:f>
        <x:v>34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14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SUM('1:10'!$C$14)</x:f>
        <x:v>155</x:v>
      </x:c>
      <x:c r="D15" s="279"/>
      <x:c r="E15" s="280"/>
      <x:c r="F15" s="289">
        <x:f>SUM('1:10'!$F$14)</x:f>
        <x:v>174</x:v>
      </x:c>
      <x:c r="G15" s="290"/>
      <x:c r="H15" s="54" t="s">
        <x:v>109</x:v>
      </x:c>
      <x:c r="I15" s="58">
        <x:v>104750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4</x:v>
      </x:c>
      <x:c r="D16" s="287" t="s">
        <x:v>120</x:v>
      </x:c>
      <x:c r="E16" s="288"/>
      <x:c r="F16" s="285">
        <x:v>17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v>20</x:v>
      </x:c>
      <x:c r="D17" s="279"/>
      <x:c r="E17" s="280"/>
      <x:c r="F17" s="286">
        <x:f>F19</x:f>
        <x:v>51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21</x:v>
      </x:c>
      <x:c r="D18" s="287" t="s">
        <x:v>133</x:v>
      </x:c>
      <x:c r="E18" s="288"/>
      <x:c r="F18" s="295">
        <x:v>0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SUM('1:10'!$C$18)</x:f>
        <x:v>280</x:v>
      </x:c>
      <x:c r="D19" s="279"/>
      <x:c r="E19" s="280"/>
      <x:c r="F19" s="286">
        <x:f>SUM('1:10'!$F$18)</x:f>
        <x:v>51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63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SUM('1:10'!$F$20)</x:f>
        <x:v>561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1903646</x:v>
      </x:c>
      <x:c r="J23" s="61" t="s">
        <x:v>122</x:v>
      </x:c>
      <x:c r="K23" s="62">
        <x:f>SUM(K4:K22)</x:f>
        <x:v>26694</x:v>
      </x:c>
      <x:c r="M23" s="88" t="s">
        <x:v>96</x:v>
      </x:c>
      <x:c r="N23" s="282">
        <x:f>C5+C6</x:f>
        <x:v>839000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0.40157072038814473</x:v>
      </x:c>
      <x:c r="J24" s="61" t="s">
        <x:v>8</x:v>
      </x:c>
      <x:c r="K24" s="63">
        <x:f>K23/A25</x:f>
        <x:v>0.0056310515768378862</x:v>
      </x:c>
    </x:row>
    <x:row r="25" spans="1:11" ht="34.149999999999999" customHeight="1">
      <x:c r="A25" s="311">
        <x:f>C2</x:f>
        <x:v>4740500</x:v>
      </x:c>
      <x:c r="B25" s="275"/>
      <x:c r="C25" s="275">
        <x:f>E25/I1</x:f>
        <x:v>4632550</x:v>
      </x:c>
      <x:c r="D25" s="275"/>
      <x:c r="E25" s="275">
        <x:f>SUM('1:10'!$A$25)</x:f>
        <x:v>46325500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SUM('1:10'!$K$21)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0.048892445845160871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52650</x:v>
      </x:c>
      <x:c r="G27" s="261"/>
      <x:c r="H27" s="111" t="s">
        <x:v>121</x:v>
      </x:c>
      <x:c r="I27" s="112">
        <x:f>SUM(C27:D34,F27:G32)</x:f>
        <x:v>770779.0322580646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0.16259445886679982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 t="s">
        <x:v>65</x:v>
      </x:c>
      <x:c r="F29" s="261"/>
      <x:c r="G29" s="261"/>
      <x:c r="H29" s="111" t="s">
        <x:v>34</x:v>
      </x:c>
      <x:c r="I29" s="112">
        <x:f>SUM('1:10'!$I$25)</x:f>
        <x:v>22649670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29.385425721358573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30</x:v>
      </x:c>
      <x:c r="C32" s="307">
        <x:v>70000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P34"/>
  <x:sheetViews>
    <x:sheetView topLeftCell="A12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11</x:v>
      </x:c>
      <x:c r="G1" s="68" t="s">
        <x:v>29</x:v>
      </x:c>
      <x:c r="H1" s="52" t="s">
        <x:v>126</x:v>
      </x:c>
      <x:c r="I1" s="52">
        <x:f>F1-K1</x:f>
        <x:v>11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4998500</x:v>
      </x:c>
      <x:c r="D2" s="274"/>
      <x:c r="E2" s="277" t="s">
        <x:v>41</x:v>
      </x:c>
      <x:c r="F2" s="278"/>
      <x:c r="G2" s="266">
        <x:v>85800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4341500</x:v>
      </x:c>
      <x:c r="D4" s="261"/>
      <x:c r="E4" s="276" t="s">
        <x:v>149</x:v>
      </x:c>
      <x:c r="F4" s="276"/>
      <x:c r="G4" s="133">
        <x:f>INT(C4*0.0275)</x:f>
        <x:v>119391</x:v>
      </x:c>
      <x:c r="H4" s="54" t="s">
        <x:v>20</x:v>
      </x:c>
      <x:c r="I4" s="124">
        <x:v>1521679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657000</x:v>
      </x:c>
      <x:c r="D5" s="261"/>
      <x:c r="E5" s="260" t="s">
        <x:v>73</x:v>
      </x:c>
      <x:c r="F5" s="260"/>
      <x:c r="G5" s="133">
        <x:f>INT(C5*0.01)</x:f>
        <x:v>6570</x:v>
      </x:c>
      <x:c r="H5" s="54" t="s">
        <x:v>6</x:v>
      </x:c>
      <x:c r="I5" s="124">
        <x:v>236346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625000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450700</x:v>
      </x:c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118300</x:v>
      </x:c>
      <x:c r="D8" s="261"/>
      <x:c r="E8" s="287" t="s">
        <x:v>113</x:v>
      </x:c>
      <x:c r="F8" s="288"/>
      <x:c r="G8" s="293">
        <x:f>C5+G2-G6-C22</x:f>
        <x:v>117800</x:v>
      </x:c>
      <x:c r="H8" s="54" t="s">
        <x:v>46</x:v>
      </x:c>
      <x:c r="I8" s="124">
        <x:v>58000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>
        <x:v>35000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6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  <x:c r="M11" s="52"/>
      <x:c r="N11" s="52"/>
      <x:c r="O11" s="52"/>
      <x:c r="P11" s="52"/>
    </x:row>
    <x:row r="12" spans="1:12" ht="21.949999999999999" customHeight="1">
      <x:c r="A12" s="59" t="s">
        <x:v>49</x:v>
      </x:c>
      <x:c r="B12" s="297" t="s">
        <x:v>43</x:v>
      </x:c>
      <x:c r="C12" s="79">
        <x:v>11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I12" s="58"/>
      <x:c r="J12" s="54"/>
      <x:c r="K12" s="58"/>
      <x:c r="L12" s="60"/>
    </x:row>
    <x:row r="13" spans="1:12" ht="21.949999999999999" customHeight="1">
      <x:c r="A13" s="59" t="s">
        <x:v>99</x:v>
      </x:c>
      <x:c r="B13" s="298"/>
      <x:c r="C13" s="134">
        <x:f>SUM('1:11'!$C$12)</x:f>
        <x:v>120</x:v>
      </x:c>
      <x:c r="D13" s="279"/>
      <x:c r="E13" s="280"/>
      <x:c r="F13" s="289">
        <x:f>SUM('1:11'!$F$12)</x:f>
        <x:v>34</x:v>
      </x:c>
      <x:c r="G13" s="290"/>
      <x:c r="H13" s="54" t="s">
        <x:v>129</x:v>
      </x:c>
      <x:c r="I13" s="58"/>
      <x:c r="J13" s="54"/>
      <x:c r="K13" s="58"/>
      <x:c r="L13" s="60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12</x:v>
      </x:c>
      <x:c r="G14" s="292"/>
      <x:c r="H14" s="54" t="s">
        <x:v>114</x:v>
      </x:c>
      <x:c r="J14" s="54"/>
      <x:c r="K14" s="58"/>
      <x:c r="L14" s="60"/>
      <x:c r="M14" s="53" t="s">
        <x:v>151</x:v>
      </x:c>
    </x:row>
    <x:row r="15" spans="1:12" ht="21.949999999999999" customHeight="1">
      <x:c r="A15" s="59" t="s">
        <x:v>99</x:v>
      </x:c>
      <x:c r="B15" s="298"/>
      <x:c r="C15" s="134">
        <x:f>SUM('1:11'!$C$14)</x:f>
        <x:v>155</x:v>
      </x:c>
      <x:c r="D15" s="279"/>
      <x:c r="E15" s="280"/>
      <x:c r="F15" s="289">
        <x:f>SUM('1:11'!$F$14)</x:f>
        <x:v>186</x:v>
      </x:c>
      <x:c r="G15" s="290"/>
      <x:c r="H15" s="54" t="s">
        <x:v>109</x:v>
      </x:c>
      <x:c r="I15" s="58">
        <x:v>252350</x:v>
      </x:c>
      <x:c r="J15" s="54" t="s">
        <x:v>77</x:v>
      </x:c>
      <x:c r="K15" s="58"/>
      <x:c r="L15" s="60"/>
    </x:row>
    <x:row r="16" spans="1:12" ht="21.949999999999999" customHeight="1">
      <x:c r="A16" s="59" t="s">
        <x:v>49</x:v>
      </x:c>
      <x:c r="B16" s="297" t="s">
        <x:v>52</x:v>
      </x:c>
      <x:c r="C16" s="79">
        <x:v>8</x:v>
      </x:c>
      <x:c r="D16" s="287" t="s">
        <x:v>120</x:v>
      </x:c>
      <x:c r="E16" s="288"/>
      <x:c r="F16" s="285">
        <x:v>25</x:v>
      </x:c>
      <x:c r="G16" s="285"/>
      <x:c r="H16" s="54"/>
      <x:c r="I16" s="58"/>
      <x:c r="J16" s="54" t="s">
        <x:v>100</x:v>
      </x:c>
      <x:c r="K16" s="58">
        <x:v>334090</x:v>
      </x:c>
      <x:c r="L16" s="60"/>
    </x:row>
    <x:row r="17" spans="1:12" ht="21.949999999999999" customHeight="1">
      <x:c r="A17" s="59" t="s">
        <x:v>99</x:v>
      </x:c>
      <x:c r="B17" s="298"/>
      <x:c r="C17" s="134">
        <x:f>SUM('1:11'!$C$16)</x:f>
        <x:v>53</x:v>
      </x:c>
      <x:c r="D17" s="279"/>
      <x:c r="E17" s="280"/>
      <x:c r="F17" s="286">
        <x:f>SUM('1:11'!$F$16)</x:f>
        <x:v>160</x:v>
      </x:c>
      <x:c r="G17" s="286"/>
      <x:c r="H17" s="54" t="s">
        <x:v>7</x:v>
      </x:c>
      <x:c r="I17" s="58">
        <x:v>6400</x:v>
      </x:c>
      <x:c r="J17" s="54" t="s">
        <x:v>93</x:v>
      </x:c>
      <x:c r="K17" s="58"/>
      <x:c r="L17" s="60"/>
    </x:row>
    <x:row r="18" spans="1:12" ht="21.949999999999999" customHeight="1">
      <x:c r="A18" s="59" t="s">
        <x:v>49</x:v>
      </x:c>
      <x:c r="B18" s="297" t="s">
        <x:v>94</x:v>
      </x:c>
      <x:c r="C18" s="79">
        <x:v>25</x:v>
      </x:c>
      <x:c r="D18" s="287" t="s">
        <x:v>133</x:v>
      </x:c>
      <x:c r="E18" s="288"/>
      <x:c r="F18" s="295">
        <x:v>0</x:v>
      </x:c>
      <x:c r="G18" s="296"/>
      <x:c r="H18" s="54"/>
      <x:c r="I18" s="58"/>
      <x:c r="J18" s="54"/>
      <x:c r="K18" s="58"/>
      <x:c r="L18" s="60"/>
    </x:row>
    <x:row r="19" spans="1:12" ht="21.949999999999999" customHeight="1">
      <x:c r="A19" s="59" t="s">
        <x:v>99</x:v>
      </x:c>
      <x:c r="B19" s="298"/>
      <x:c r="C19" s="134">
        <x:f>SUM('1:11'!$C$18)</x:f>
        <x:v>305</x:v>
      </x:c>
      <x:c r="D19" s="279"/>
      <x:c r="E19" s="280"/>
      <x:c r="F19" s="286">
        <x:f>SUM('1:11'!$F$18)</x:f>
        <x:v>51</x:v>
      </x:c>
      <x:c r="G19" s="286"/>
      <x:c r="H19" s="58"/>
      <x:c r="I19" s="58"/>
      <x:c r="J19" s="54"/>
      <x:c r="K19" s="58"/>
      <x:c r="L19" s="60"/>
    </x:row>
    <x:row r="20" spans="4:12" ht="21.949999999999999" customHeight="1">
      <x:c r="D20" s="260" t="s">
        <x:v>116</x:v>
      </x:c>
      <x:c r="E20" s="260"/>
      <x:c r="F20" s="285">
        <x:v>69</x:v>
      </x:c>
      <x:c r="G20" s="285"/>
      <x:c r="H20" s="58"/>
      <x:c r="J20" s="54"/>
      <x:c r="K20" s="58"/>
      <x:c r="L20" s="60"/>
    </x:row>
    <x:row r="21" spans="4:12" ht="21.949999999999999" customHeight="1">
      <x:c r="D21" s="260" t="s">
        <x:v>117</x:v>
      </x:c>
      <x:c r="E21" s="260"/>
      <x:c r="F21" s="286">
        <x:f>SUM('1:11'!$F$20)</x:f>
        <x:v>630</x:v>
      </x:c>
      <x:c r="G21" s="286"/>
      <x:c r="H21" s="58"/>
      <x:c r="J21" s="54"/>
      <x:c r="K21" s="58"/>
      <x:c r="L21" s="60"/>
    </x:row>
    <x:row r="22" spans="1:12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2525475</x:v>
      </x:c>
      <x:c r="J23" s="61" t="s">
        <x:v>122</x:v>
      </x:c>
      <x:c r="K23" s="62">
        <x:f>SUM(K4:K22)</x:f>
        <x:v>348284</x:v>
      </x:c>
      <x:c r="M23" s="88" t="s">
        <x:v>96</x:v>
      </x:c>
      <x:c r="N23" s="282">
        <x:f>C5+C6</x:f>
        <x:v>657000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0.50524657397219164</x:v>
      </x:c>
      <x:c r="J24" s="61" t="s">
        <x:v>8</x:v>
      </x:c>
      <x:c r="K24" s="63">
        <x:f>K23/A25</x:f>
        <x:v>0.069677703310993294</x:v>
      </x:c>
    </x:row>
    <x:row r="25" spans="1:11" ht="34.149999999999999" customHeight="1">
      <x:c r="A25" s="311">
        <x:f>C2</x:f>
        <x:v>4998500</x:v>
      </x:c>
      <x:c r="B25" s="275"/>
      <x:c r="C25" s="275">
        <x:f>E25/I1</x:f>
        <x:v>4665818.1818181816</x:v>
      </x:c>
      <x:c r="D25" s="275"/>
      <x:c r="E25" s="275">
        <x:f>SUM('1:11'!$A$25)</x:f>
        <x:v>51324000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SUM('1:11'!$K$21)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0.044130757540332011</x:v>
      </x:c>
      <x:c r="J26" s="64" t="s">
        <x:v>131</x:v>
      </x:c>
      <x:c r="K26" s="65">
        <x:f>K25/$E$25</x:f>
        <x:v>0</x:v>
      </x:c>
    </x:row>
    <x:row r="27" spans="1:9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52650</x:v>
      </x:c>
      <x:c r="G27" s="261"/>
      <x:c r="H27" s="111" t="s">
        <x:v>121</x:v>
      </x:c>
      <x:c r="I27" s="112">
        <x:f>SUM(C27:D34,F27:G32)</x:f>
        <x:v>770779.0322580646</x:v>
      </x:c>
    </x:row>
    <x:row r="28" spans="1:9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0.15420206707173445</x:v>
      </x:c>
    </x:row>
    <x:row r="29" spans="1:9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SUM('1:11'!$I$25)</x:f>
        <x:v>24914637</x:v>
      </x:c>
    </x:row>
    <x:row r="30" spans="1:9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32.323968293494431</x:v>
      </x:c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30</x:v>
      </x:c>
      <x:c r="C32" s="307">
        <x:v>70000</x:v>
      </x:c>
      <x:c r="D32" s="308"/>
      <x:c r="E32" s="55" t="s">
        <x:v>141</x:v>
      </x:c>
      <x:c r="F32" s="309"/>
      <x:c r="G32" s="310"/>
    </x:row>
    <x:row r="33" spans="1:3" customHeight="1">
      <x:c r="A33" s="318"/>
      <x:c r="B33" s="54" t="s">
        <x:v>21</x:v>
      </x:c>
      <x:c r="C33" s="132"/>
    </x:row>
    <x:row r="34" spans="1:4" customHeight="1">
      <x:c r="A34" s="319"/>
      <x:c r="B34" s="54" t="s">
        <x:v>58</x:v>
      </x:c>
      <x:c r="C34" s="307"/>
      <x:c r="D34" s="308"/>
    </x:row>
  </x:sheetData>
  <x:mergeCells count="73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O34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12</x:v>
      </x:c>
      <x:c r="G1" s="68" t="s">
        <x:v>18</x:v>
      </x:c>
      <x:c r="H1" s="52" t="s">
        <x:v>126</x:v>
      </x:c>
      <x:c r="I1" s="52">
        <x:f>F1-K1</x:f>
        <x:v>12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3602000</x:v>
      </x:c>
      <x:c r="D2" s="274"/>
      <x:c r="E2" s="277" t="s">
        <x:v>41</x:v>
      </x:c>
      <x:c r="F2" s="278"/>
      <x:c r="G2" s="266">
        <x:v>118300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2965000</x:v>
      </x:c>
      <x:c r="D4" s="261"/>
      <x:c r="E4" s="276" t="s">
        <x:v>149</x:v>
      </x:c>
      <x:c r="F4" s="276"/>
      <x:c r="G4" s="133">
        <x:f>INT(C4*0.0275)</x:f>
        <x:v>81537</x:v>
      </x:c>
      <x:c r="H4" s="54" t="s">
        <x:v>20</x:v>
      </x:c>
      <x:c r="I4" s="124">
        <x:v>2153482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637000</x:v>
      </x:c>
      <x:c r="D5" s="261"/>
      <x:c r="E5" s="260" t="s">
        <x:v>73</x:v>
      </x:c>
      <x:c r="F5" s="260"/>
      <x:c r="G5" s="133">
        <x:f>INT(C5*0.01)</x:f>
        <x:v>6370</x:v>
      </x:c>
      <x:c r="H5" s="54" t="s">
        <x:v>6</x:v>
      </x:c>
      <x:c r="I5" s="124">
        <x:v>403452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600000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155300</x:v>
      </x:c>
      <x:c r="D8" s="261"/>
      <x:c r="E8" s="287" t="s">
        <x:v>113</x:v>
      </x:c>
      <x:c r="F8" s="288"/>
      <x:c r="G8" s="293">
        <x:f>C5+G2-G6-C22</x:f>
        <x:v>155300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>
        <x:v>283000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357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16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SUM('1:12'!$C$12)</x:f>
        <x:v>136</x:v>
      </x:c>
      <x:c r="D13" s="279"/>
      <x:c r="E13" s="280"/>
      <x:c r="F13" s="289">
        <x:f>SUM('1:12'!$F$12)</x:f>
        <x:v>34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13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SUM('1:12'!$C$14)</x:f>
        <x:v>155</x:v>
      </x:c>
      <x:c r="D15" s="279"/>
      <x:c r="E15" s="280"/>
      <x:c r="F15" s="289">
        <x:f>SUM('1:12'!$F$14)</x:f>
        <x:v>199</x:v>
      </x:c>
      <x:c r="G15" s="290"/>
      <x:c r="H15" s="54" t="s">
        <x:v>109</x:v>
      </x:c>
      <x:c r="I15" s="58"/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3</x:v>
      </x:c>
      <x:c r="D16" s="287" t="s">
        <x:v>120</x:v>
      </x:c>
      <x:c r="E16" s="288"/>
      <x:c r="F16" s="285">
        <x:v>11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SUM('1:12'!$C$16)</x:f>
        <x:v>56</x:v>
      </x:c>
      <x:c r="D17" s="279"/>
      <x:c r="E17" s="280"/>
      <x:c r="F17" s="286">
        <x:f>SUM('1:12'!$F$16)</x:f>
        <x:v>171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24</x:v>
      </x:c>
      <x:c r="D18" s="287" t="s">
        <x:v>133</x:v>
      </x:c>
      <x:c r="E18" s="288"/>
      <x:c r="F18" s="295">
        <x:v>0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SUM('1:12'!$C$18)</x:f>
        <x:v>329</x:v>
      </x:c>
      <x:c r="D19" s="279"/>
      <x:c r="E19" s="280"/>
      <x:c r="F19" s="286">
        <x:f>SUM('1:12'!$F$18)</x:f>
        <x:v>51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327">
        <x:v>54</x:v>
      </x:c>
      <x:c r="G20" s="328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SUM('1:12'!$F$20)</x:f>
        <x:v>684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5"/>
      <x:c r="E23" s="315"/>
      <x:c r="F23" s="315"/>
      <x:c r="G23" s="315"/>
      <x:c r="H23" s="107" t="s">
        <x:v>97</x:v>
      </x:c>
      <x:c r="I23" s="108">
        <x:f>SUM(I4:I22)</x:f>
        <x:v>2556934</x:v>
      </x:c>
      <x:c r="J23" s="61" t="s">
        <x:v>122</x:v>
      </x:c>
      <x:c r="K23" s="62">
        <x:f>SUM(K4:K22)</x:f>
        <x:v>14194</x:v>
      </x:c>
      <x:c r="M23" s="88" t="s">
        <x:v>96</x:v>
      </x:c>
      <x:c r="N23" s="282">
        <x:f>C5+C6</x:f>
        <x:v>637000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0.70986507495835649</x:v>
      </x:c>
      <x:c r="J24" s="61" t="s">
        <x:v>8</x:v>
      </x:c>
      <x:c r="K24" s="63">
        <x:f>K23/A25</x:f>
        <x:v>0.0039405885619100498</x:v>
      </x:c>
    </x:row>
    <x:row r="25" spans="1:11" ht="34.149999999999999" customHeight="1">
      <x:c r="A25" s="311">
        <x:f>C2</x:f>
        <x:v>3602000</x:v>
      </x:c>
      <x:c r="B25" s="275"/>
      <x:c r="C25" s="275">
        <x:f>E25/I1</x:f>
        <x:v>4577166.666666667</x:v>
      </x:c>
      <x:c r="D25" s="275"/>
      <x:c r="E25" s="275">
        <x:f>SUM('1:12'!$A$25)</x:f>
        <x:v>54926000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SUM('1:12'!$K$21)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0.041236700287659758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356"/>
      <x:c r="G27" s="356"/>
      <x:c r="H27" s="111" t="s">
        <x:v>121</x:v>
      </x:c>
      <x:c r="I27" s="112">
        <x:f>SUM(C27:D34,F27:G32)</x:f>
        <x:v>805129.0322580646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358">
        <x:f>1500000/31</x:f>
        <x:v>48387.096774193546</x:v>
      </x:c>
      <x:c r="G28" s="358"/>
      <x:c r="H28" s="111" t="s">
        <x:v>8</x:v>
      </x:c>
      <x:c r="I28" s="113">
        <x:f>I27/$A$25</x:f>
        <x:v>0.22352277408608123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SUM('1:12'!$I$25)</x:f>
        <x:v>27179604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33.75807219840538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130000</x:v>
      </x:c>
      <x:c r="G31" s="310"/>
    </x:row>
    <x:row r="32" spans="1:7" customHeight="1">
      <x:c r="A32" s="318"/>
      <x:c r="B32" s="54" t="s">
        <x:v>30</x:v>
      </x:c>
      <x:c r="C32" s="307"/>
      <x:c r="D32" s="308"/>
      <x:c r="E32" s="55" t="s">
        <x:v>141</x:v>
      </x:c>
      <x:c r="F32" s="309">
        <x:v>81000</x:v>
      </x:c>
      <x:c r="G32" s="310"/>
    </x:row>
    <x:row r="33" spans="1:4" customHeight="1">
      <x:c r="A33" s="318"/>
      <x:c r="B33" s="54" t="s">
        <x:v>21</x:v>
      </x:c>
      <x:c r="C33" s="307">
        <x:v>78000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A27:A34"/>
    <x:mergeCell ref="C32:D32"/>
    <x:mergeCell ref="C33:D33"/>
    <x:mergeCell ref="C34:D34"/>
    <x:mergeCell ref="F31:G31"/>
    <x:mergeCell ref="F30:G30"/>
    <x:mergeCell ref="C30:D30"/>
    <x:mergeCell ref="C31:D31"/>
    <x:mergeCell ref="C28:D28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0:B10"/>
    <x:mergeCell ref="C10:D10"/>
    <x:mergeCell ref="E10:F10"/>
    <x:mergeCell ref="A11:B11"/>
    <x:mergeCell ref="E2:F3"/>
    <x:mergeCell ref="A4:B4"/>
    <x:mergeCell ref="C4:D4"/>
    <x:mergeCell ref="E4:F4"/>
    <x:mergeCell ref="A2:B3"/>
    <x:mergeCell ref="C2:D3"/>
    <x:mergeCell ref="A5:B5"/>
    <x:mergeCell ref="C5:D5"/>
    <x:mergeCell ref="E5:F5"/>
    <x:mergeCell ref="A8:B9"/>
    <x:mergeCell ref="C8:D9"/>
    <x:mergeCell ref="A6:B7"/>
    <x:mergeCell ref="N23:O23"/>
    <x:mergeCell ref="G6:G7"/>
    <x:mergeCell ref="G8:G9"/>
    <x:mergeCell ref="C11:G11"/>
    <x:mergeCell ref="F18:G18"/>
    <x:mergeCell ref="F19:G19"/>
    <x:mergeCell ref="D21:E21"/>
    <x:mergeCell ref="F21:G21"/>
    <x:mergeCell ref="C29:D29"/>
    <x:mergeCell ref="F29:G29"/>
    <x:mergeCell ref="C26:D26"/>
    <x:mergeCell ref="E26:G26"/>
    <x:mergeCell ref="J2:K2"/>
    <x:mergeCell ref="H2:I2"/>
    <x:mergeCell ref="G2:G3"/>
    <x:mergeCell ref="C6:D7"/>
    <x:mergeCell ref="E6:F7"/>
    <x:mergeCell ref="E8:F9"/>
    <x:mergeCell ref="F28:G28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34"/>
  <x:sheetViews>
    <x:sheetView topLeftCell="A13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13</x:v>
      </x:c>
      <x:c r="G1" s="68" t="s">
        <x:v>19</x:v>
      </x:c>
      <x:c r="H1" s="52" t="s">
        <x:v>126</x:v>
      </x:c>
      <x:c r="I1" s="52">
        <x:f>F1-K1</x:f>
        <x:v>13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3780000</x:v>
      </x:c>
      <x:c r="D2" s="274"/>
      <x:c r="E2" s="277" t="s">
        <x:v>41</x:v>
      </x:c>
      <x:c r="F2" s="278"/>
      <x:c r="G2" s="266">
        <x:v>155300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2796000</x:v>
      </x:c>
      <x:c r="D4" s="261"/>
      <x:c r="E4" s="276" t="s">
        <x:v>149</x:v>
      </x:c>
      <x:c r="F4" s="276"/>
      <x:c r="G4" s="133">
        <x:f>INT(C4*0.0275)</x:f>
        <x:v>76890</x:v>
      </x:c>
      <x:c r="H4" s="54" t="s">
        <x:v>20</x:v>
      </x:c>
      <x:c r="I4" s="124"/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984000</x:v>
      </x:c>
      <x:c r="D5" s="261"/>
      <x:c r="E5" s="260" t="s">
        <x:v>73</x:v>
      </x:c>
      <x:c r="F5" s="260"/>
      <x:c r="G5" s="133">
        <x:f>INT(C5*0.01)</x:f>
        <x:v>9840</x:v>
      </x:c>
      <x:c r="H5" s="54" t="s">
        <x:v>6</x:v>
      </x:c>
      <x:c r="I5" s="124"/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1050000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89300</x:v>
      </x:c>
      <x:c r="D8" s="261"/>
      <x:c r="E8" s="287" t="s">
        <x:v>113</x:v>
      </x:c>
      <x:c r="F8" s="288"/>
      <x:c r="G8" s="293">
        <x:f>C5+G2-G6-C22</x:f>
        <x:v>89300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4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SUM('1:13'!$C$12)</x:f>
        <x:v>140</x:v>
      </x:c>
      <x:c r="D13" s="279"/>
      <x:c r="E13" s="280"/>
      <x:c r="F13" s="289">
        <x:f>SUM('1:13'!$F$12)</x:f>
        <x:v>34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11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SUM('1:13'!$C$14)</x:f>
        <x:v>155</x:v>
      </x:c>
      <x:c r="D15" s="279"/>
      <x:c r="E15" s="280"/>
      <x:c r="F15" s="289">
        <x:f>SUM('1:13'!$F$14)</x:f>
        <x:v>210</x:v>
      </x:c>
      <x:c r="G15" s="290"/>
      <x:c r="H15" s="54" t="s">
        <x:v>109</x:v>
      </x:c>
      <x:c r="I15" s="58"/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4</x:v>
      </x:c>
      <x:c r="D16" s="287" t="s">
        <x:v>120</x:v>
      </x:c>
      <x:c r="E16" s="288"/>
      <x:c r="F16" s="285">
        <x:v>16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SUM('1:13'!$C$16)</x:f>
        <x:v>60</x:v>
      </x:c>
      <x:c r="D17" s="279"/>
      <x:c r="E17" s="280"/>
      <x:c r="F17" s="286">
        <x:f>SUM('1:13'!$F$16)</x:f>
        <x:v>187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22</x:v>
      </x:c>
      <x:c r="D18" s="287" t="s">
        <x:v>133</x:v>
      </x:c>
      <x:c r="E18" s="288"/>
      <x:c r="F18" s="295">
        <x:v>0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SUM('1:13'!$C$18)</x:f>
        <x:v>351</x:v>
      </x:c>
      <x:c r="D19" s="279"/>
      <x:c r="E19" s="280"/>
      <x:c r="F19" s="286">
        <x:f>SUM('1:13'!$F$18)</x:f>
        <x:v>51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50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SUM('1:13'!$F$20)</x:f>
        <x:v>734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0</x:v>
      </x:c>
      <x:c r="J23" s="61" t="s">
        <x:v>122</x:v>
      </x:c>
      <x:c r="K23" s="62">
        <x:f>SUM(K4:K22)</x:f>
        <x:v>14194</x:v>
      </x:c>
      <x:c r="M23" s="88" t="s">
        <x:v>96</x:v>
      </x:c>
      <x:c r="N23" s="282">
        <x:f>C5+C6</x:f>
        <x:v>984000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0.0037550264550264552</x:v>
      </x:c>
    </x:row>
    <x:row r="25" spans="1:11" ht="34.149999999999999" customHeight="1">
      <x:c r="A25" s="311">
        <x:f>C2</x:f>
        <x:v>3780000</x:v>
      </x:c>
      <x:c r="B25" s="275"/>
      <x:c r="C25" s="275">
        <x:f>E25/I1</x:f>
        <x:v>4515846.153846154</x:v>
      </x:c>
      <x:c r="D25" s="275"/>
      <x:c r="E25" s="275">
        <x:f>SUM('1:13'!$A$25)</x:f>
        <x:v>58706000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SUM('1:13'!$K$21)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0.038581524886723673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/>
      <x:c r="G27" s="261"/>
      <x:c r="H27" s="111" t="s">
        <x:v>121</x:v>
      </x:c>
      <x:c r="I27" s="112">
        <x:f>SUM(C27:D34,F27:G32)</x:f>
        <x:v>799129.0322580646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0.21140979689366787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SUM('1:13'!$I$25)</x:f>
        <x:v>29444571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36.845828159689979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142000</x:v>
      </x:c>
      <x:c r="G31" s="310"/>
    </x:row>
    <x:row r="32" spans="1:7" customHeight="1">
      <x:c r="A32" s="318"/>
      <x:c r="B32" s="54" t="s">
        <x:v>30</x:v>
      </x:c>
      <x:c r="C32" s="307">
        <x:v>63000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78000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O34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14</x:v>
      </x:c>
      <x:c r="G1" s="68" t="s">
        <x:v>50</x:v>
      </x:c>
      <x:c r="H1" s="52" t="s">
        <x:v>126</x:v>
      </x:c>
      <x:c r="I1" s="52">
        <x:f>F1-K1</x:f>
        <x:v>14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4439000</x:v>
      </x:c>
      <x:c r="D2" s="274"/>
      <x:c r="E2" s="277" t="s">
        <x:v>41</x:v>
      </x:c>
      <x:c r="F2" s="278"/>
      <x:c r="G2" s="266">
        <x:v>89300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3715400</x:v>
      </x:c>
      <x:c r="D4" s="261"/>
      <x:c r="E4" s="276" t="s">
        <x:v>149</x:v>
      </x:c>
      <x:c r="F4" s="276"/>
      <x:c r="G4" s="133">
        <x:f>INT(C4*0.0275)</x:f>
        <x:v>102173</x:v>
      </x:c>
      <x:c r="H4" s="54" t="s">
        <x:v>20</x:v>
      </x:c>
      <x:c r="I4" s="124">
        <x:v>1905055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723600</x:v>
      </x:c>
      <x:c r="D5" s="261"/>
      <x:c r="E5" s="260" t="s">
        <x:v>73</x:v>
      </x:c>
      <x:c r="F5" s="260"/>
      <x:c r="G5" s="133">
        <x:f>INT(C5*0.01)</x:f>
        <x:v>7236</x:v>
      </x:c>
      <x:c r="H5" s="54" t="s">
        <x:v>6</x:v>
      </x:c>
      <x:c r="I5" s="124">
        <x:v>450372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710000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103400</x:v>
      </x:c>
      <x:c r="D8" s="261"/>
      <x:c r="E8" s="287" t="s">
        <x:v>113</x:v>
      </x:c>
      <x:c r="F8" s="288"/>
      <x:c r="G8" s="293">
        <x:f>C5+G2-G6-C22</x:f>
        <x:v>102900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>
        <x:v>208000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>
        <x:v>13000</x:v>
      </x:c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>
        <x:v>100000</x:v>
      </x:c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9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SUM('1:14'!$C$12)</x:f>
        <x:v>149</x:v>
      </x:c>
      <x:c r="D13" s="279"/>
      <x:c r="E13" s="280"/>
      <x:c r="F13" s="289">
        <x:f>SUM('1:14'!$F$12)</x:f>
        <x:v>34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3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SUM('1:14'!$C$14)</x:f>
        <x:v>155</x:v>
      </x:c>
      <x:c r="D15" s="279"/>
      <x:c r="E15" s="280"/>
      <x:c r="F15" s="289">
        <x:f>SUM('1:14'!$F$14)</x:f>
        <x:v>213</x:v>
      </x:c>
      <x:c r="G15" s="290"/>
      <x:c r="H15" s="54" t="s">
        <x:v>109</x:v>
      </x:c>
      <x:c r="I15" s="58">
        <x:v>298300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5</x:v>
      </x:c>
      <x:c r="D16" s="287" t="s">
        <x:v>120</x:v>
      </x:c>
      <x:c r="E16" s="288"/>
      <x:c r="F16" s="285">
        <x:v>25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SUM('1:14'!$C$16)</x:f>
        <x:v>65</x:v>
      </x:c>
      <x:c r="D17" s="279"/>
      <x:c r="E17" s="280"/>
      <x:c r="F17" s="286">
        <x:f>SUM('1:14'!$F$16)</x:f>
        <x:v>212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23</x:v>
      </x:c>
      <x:c r="D18" s="287" t="s">
        <x:v>133</x:v>
      </x:c>
      <x:c r="E18" s="288"/>
      <x:c r="F18" s="295">
        <x:v>13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SUM('1:14'!$C$18)</x:f>
        <x:v>374</x:v>
      </x:c>
      <x:c r="D19" s="279"/>
      <x:c r="E19" s="280"/>
      <x:c r="F19" s="286">
        <x:f>SUM('1:14'!$F$18)</x:f>
        <x:v>64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62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SUM('1:14'!$F$20)</x:f>
        <x:v>796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2753727</x:v>
      </x:c>
      <x:c r="J23" s="61" t="s">
        <x:v>122</x:v>
      </x:c>
      <x:c r="K23" s="62">
        <x:f>SUM(K4:K22)</x:f>
        <x:v>27194</x:v>
      </x:c>
      <x:c r="M23" s="88" t="s">
        <x:v>96</x:v>
      </x:c>
      <x:c r="N23" s="282">
        <x:f>C5+C6</x:f>
        <x:v>723600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0.6203485019148457</x:v>
      </x:c>
      <x:c r="J24" s="61" t="s">
        <x:v>8</x:v>
      </x:c>
      <x:c r="K24" s="63">
        <x:f>K23/A25</x:f>
        <x:v>0.0061261545393106551</x:v>
      </x:c>
    </x:row>
    <x:row r="25" spans="1:11" ht="34.149999999999999" customHeight="1">
      <x:c r="A25" s="311">
        <x:f>C2</x:f>
        <x:v>4439000</x:v>
      </x:c>
      <x:c r="B25" s="275"/>
      <x:c r="C25" s="275">
        <x:f>E25/I1</x:f>
        <x:v>4510357.1428571427</x:v>
      </x:c>
      <x:c r="D25" s="275"/>
      <x:c r="E25" s="275">
        <x:f>SUM('1:14'!$A$25)</x:f>
        <x:v>63145000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SUM('1:14'!$K$21)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0.035869300815583184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58500</x:v>
      </x:c>
      <x:c r="G27" s="261"/>
      <x:c r="H27" s="111" t="s">
        <x:v>121</x:v>
      </x:c>
      <x:c r="I27" s="112">
        <x:f>SUM(C27:D34,F27:G32)</x:f>
        <x:v>758629.0322580646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0.17090088584322249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SUM('1:14'!$I$25)</x:f>
        <x:v>31709538</x:v>
      </x:c>
      <x:c r="M29" s="66" t="s">
        <x:v>64</x:v>
      </x:c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41.798476793876894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30</x:v>
      </x:c>
      <x:c r="C32" s="307"/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52000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O34"/>
  <x:sheetViews>
    <x:sheetView topLeftCell="A9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4" width="8.625" style="53" bestFit="1" customWidth="1"/>
    <x:col min="15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15</x:v>
      </x:c>
      <x:c r="G1" s="68" t="s">
        <x:v>63</x:v>
      </x:c>
      <x:c r="H1" s="52" t="s">
        <x:v>126</x:v>
      </x:c>
      <x:c r="I1" s="52">
        <x:f>F1-K1</x:f>
        <x:v>15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3868000</x:v>
      </x:c>
      <x:c r="D2" s="274"/>
      <x:c r="E2" s="277" t="s">
        <x:v>41</x:v>
      </x:c>
      <x:c r="F2" s="278"/>
      <x:c r="G2" s="266">
        <x:v>103400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3630000</x:v>
      </x:c>
      <x:c r="D4" s="261"/>
      <x:c r="E4" s="276" t="s">
        <x:v>149</x:v>
      </x:c>
      <x:c r="F4" s="276"/>
      <x:c r="G4" s="133">
        <x:f>INT(C4*0.0275)</x:f>
        <x:v>99825</x:v>
      </x:c>
      <x:c r="H4" s="54" t="s">
        <x:v>20</x:v>
      </x:c>
      <x:c r="I4" s="124">
        <x:v>1910908</x:v>
      </x:c>
      <x:c r="J4" s="80" t="s">
        <x:v>37</x:v>
      </x:c>
      <x:c r="K4" s="58"/>
    </x:row>
    <x:row r="5" spans="1:13" ht="30.949999999999999" customHeight="1">
      <x:c r="A5" s="268" t="s">
        <x:v>62</x:v>
      </x:c>
      <x:c r="B5" s="269"/>
      <x:c r="C5" s="261">
        <x:v>238000</x:v>
      </x:c>
      <x:c r="D5" s="261"/>
      <x:c r="E5" s="260" t="s">
        <x:v>73</x:v>
      </x:c>
      <x:c r="F5" s="260"/>
      <x:c r="G5" s="133">
        <x:f>INT(C5*0.01)</x:f>
        <x:v>2380</x:v>
      </x:c>
      <x:c r="H5" s="54" t="s">
        <x:v>6</x:v>
      </x:c>
      <x:c r="I5" s="124">
        <x:v>184256</x:v>
      </x:c>
      <x:c r="J5" s="81"/>
      <x:c r="K5" s="58"/>
      <x:c r="M5" s="136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240000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144100</x:v>
      </x:c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101400</x:v>
      </x:c>
      <x:c r="D8" s="261"/>
      <x:c r="E8" s="287" t="s">
        <x:v>113</x:v>
      </x:c>
      <x:c r="F8" s="288"/>
      <x:c r="G8" s="293">
        <x:f>C5+G2-G6-C22</x:f>
        <x:v>101400</x:v>
      </x:c>
      <x:c r="H8" s="54" t="s">
        <x:v>46</x:v>
      </x:c>
      <x:c r="I8" s="124">
        <x:v>58000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7</x:v>
      </x:c>
      <x:c r="D12" s="287" t="s">
        <x:v>136</x:v>
      </x:c>
      <x:c r="E12" s="288"/>
      <x:c r="F12" s="291">
        <x:v>7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SUM('1:15'!$C$12)</x:f>
        <x:v>156</x:v>
      </x:c>
      <x:c r="D13" s="279"/>
      <x:c r="E13" s="280"/>
      <x:c r="F13" s="289">
        <x:f>SUM('1:15'!$F$12)</x:f>
        <x:v>41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35</x:v>
      </x:c>
      <x:c r="D14" s="287" t="s">
        <x:v>98</x:v>
      </x:c>
      <x:c r="E14" s="288"/>
      <x:c r="F14" s="291">
        <x:v>10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SUM('1:15'!$C$14)</x:f>
        <x:v>190</x:v>
      </x:c>
      <x:c r="D15" s="279"/>
      <x:c r="E15" s="280"/>
      <x:c r="F15" s="289">
        <x:f>SUM('1:15'!$F$14)</x:f>
        <x:v>223</x:v>
      </x:c>
      <x:c r="G15" s="290"/>
      <x:c r="H15" s="54" t="s">
        <x:v>109</x:v>
      </x:c>
      <x:c r="I15" s="58">
        <x:v>34800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5</x:v>
      </x:c>
      <x:c r="D16" s="287" t="s">
        <x:v>120</x:v>
      </x:c>
      <x:c r="E16" s="288"/>
      <x:c r="F16" s="285">
        <x:v>10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SUM('1:15'!$C$16)</x:f>
        <x:v>70</x:v>
      </x:c>
      <x:c r="D17" s="279"/>
      <x:c r="E17" s="280"/>
      <x:c r="F17" s="286">
        <x:f>SUM('1:15'!$F$16)</x:f>
        <x:v>222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13</x:v>
      </x:c>
      <x:c r="D18" s="287" t="s">
        <x:v>133</x:v>
      </x:c>
      <x:c r="E18" s="288"/>
      <x:c r="F18" s="295">
        <x:v>0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SUM('1:15'!$C$18)</x:f>
        <x:v>387</x:v>
      </x:c>
      <x:c r="D19" s="279"/>
      <x:c r="E19" s="280"/>
      <x:c r="F19" s="286">
        <x:f>SUM('1:15'!$F$18)</x:f>
        <x:v>64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44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SUM('1:15'!$F$20)</x:f>
        <x:v>840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2332064</x:v>
      </x:c>
      <x:c r="J23" s="61" t="s">
        <x:v>122</x:v>
      </x:c>
      <x:c r="K23" s="62">
        <x:f>SUM(K4:K22)</x:f>
        <x:v>14194</x:v>
      </x:c>
      <x:c r="M23" s="88" t="s">
        <x:v>96</x:v>
      </x:c>
      <x:c r="N23" s="282">
        <x:f>C5+C6</x:f>
        <x:v>238000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0.60291209927611167</x:v>
      </x:c>
      <x:c r="J24" s="61" t="s">
        <x:v>8</x:v>
      </x:c>
      <x:c r="K24" s="63">
        <x:f>K23/A25</x:f>
        <x:v>0.0036695966907962772</x:v>
      </x:c>
    </x:row>
    <x:row r="25" spans="1:11" ht="34.149999999999999" customHeight="1">
      <x:c r="A25" s="311">
        <x:f>C2</x:f>
        <x:v>3868000</x:v>
      </x:c>
      <x:c r="B25" s="275"/>
      <x:c r="C25" s="275">
        <x:f>E25/I1</x:f>
        <x:v>4467533.333333333</x:v>
      </x:c>
      <x:c r="D25" s="275"/>
      <x:c r="E25" s="275">
        <x:f>SUM('1:15'!$A$25)</x:f>
        <x:v>67013000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SUM('1:15'!$K$21)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0.033798919612612478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46800</x:v>
      </x:c>
      <x:c r="G27" s="261"/>
      <x:c r="H27" s="111" t="s">
        <x:v>121</x:v>
      </x:c>
      <x:c r="I27" s="112">
        <x:f>SUM(C27:D34,F27:G32)</x:f>
        <x:v>790429.0322580646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0.20435083564065787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SUM('1:15'!$I$25)</x:f>
        <x:v>33974505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42.982359722976085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30</x:v>
      </x:c>
      <x:c r="C32" s="307">
        <x:v>49000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58500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O34"/>
  <x:sheetViews>
    <x:sheetView topLeftCell="A2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2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16</x:v>
      </x:c>
      <x:c r="G1" s="68" t="s">
        <x:v>27</x:v>
      </x:c>
      <x:c r="H1" s="52" t="s">
        <x:v>126</x:v>
      </x:c>
      <x:c r="I1" s="52">
        <x:f>F1-K1</x:f>
        <x:v>16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3471500</x:v>
      </x:c>
      <x:c r="D2" s="274"/>
      <x:c r="E2" s="277" t="s">
        <x:v>41</x:v>
      </x:c>
      <x:c r="F2" s="278"/>
      <x:c r="G2" s="266">
        <x:v>101400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2" ht="30.949999999999999" customHeight="1">
      <x:c r="A4" s="268" t="s">
        <x:v>22</x:v>
      </x:c>
      <x:c r="B4" s="269"/>
      <x:c r="C4" s="261">
        <x:v>2753500</x:v>
      </x:c>
      <x:c r="D4" s="261"/>
      <x:c r="E4" s="276" t="s">
        <x:v>149</x:v>
      </x:c>
      <x:c r="F4" s="276"/>
      <x:c r="G4" s="133">
        <x:f>INT(C4*0.0275)</x:f>
        <x:v>75721</x:v>
      </x:c>
      <x:c r="H4" s="54" t="s">
        <x:v>20</x:v>
      </x:c>
      <x:c r="I4" s="124">
        <x:v>536260</x:v>
      </x:c>
      <x:c r="J4" s="80" t="s">
        <x:v>37</x:v>
      </x:c>
      <x:c r="K4" s="58">
        <x:v>256000</x:v>
      </x:c>
      <x:c r="L4" s="97"/>
    </x:row>
    <x:row r="5" spans="1:11" ht="30.949999999999999" customHeight="1">
      <x:c r="A5" s="268" t="s">
        <x:v>62</x:v>
      </x:c>
      <x:c r="B5" s="269"/>
      <x:c r="C5" s="261">
        <x:v>718000</x:v>
      </x:c>
      <x:c r="D5" s="261"/>
      <x:c r="E5" s="260" t="s">
        <x:v>73</x:v>
      </x:c>
      <x:c r="F5" s="260"/>
      <x:c r="G5" s="133">
        <x:f>INT(C5*0.01)</x:f>
        <x:v>7180</x:v>
      </x:c>
      <x:c r="H5" s="54" t="s">
        <x:v>6</x:v>
      </x:c>
      <x:c r="I5" s="124">
        <x:v>129866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450000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116900</x:v>
      </x:c>
      <x:c r="J7" s="81" t="s">
        <x:v>119</x:v>
      </x:c>
      <x:c r="K7" s="58">
        <x:v>12500</x:v>
      </x:c>
    </x:row>
    <x:row r="8" spans="1:11" ht="21.949999999999999" customHeight="1">
      <x:c r="A8" s="259" t="s">
        <x:v>137</x:v>
      </x:c>
      <x:c r="B8" s="260"/>
      <x:c r="C8" s="261">
        <x:v>369400</x:v>
      </x:c>
      <x:c r="D8" s="261"/>
      <x:c r="E8" s="287" t="s">
        <x:v>113</x:v>
      </x:c>
      <x:c r="F8" s="288"/>
      <x:c r="G8" s="293">
        <x:f>C5+G2-G6-C22</x:f>
        <x:v>369400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>
        <x:v>50000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18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SUM('1:16'!$C$12)</x:f>
        <x:v>174</x:v>
      </x:c>
      <x:c r="D13" s="279"/>
      <x:c r="E13" s="280"/>
      <x:c r="F13" s="289">
        <x:f>SUM('1:16'!$F$12)</x:f>
        <x:v>41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5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SUM('1:16'!$C$14)</x:f>
        <x:v>190</x:v>
      </x:c>
      <x:c r="D15" s="279"/>
      <x:c r="E15" s="280"/>
      <x:c r="F15" s="289">
        <x:f>SUM('1:16'!$F$14)</x:f>
        <x:v>228</x:v>
      </x:c>
      <x:c r="G15" s="290"/>
      <x:c r="H15" s="54" t="s">
        <x:v>109</x:v>
      </x:c>
      <x:c r="I15" s="58">
        <x:v>73000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1</x:v>
      </x:c>
      <x:c r="D16" s="287" t="s">
        <x:v>120</x:v>
      </x:c>
      <x:c r="E16" s="288"/>
      <x:c r="F16" s="285">
        <x:v>15</x:v>
      </x:c>
      <x:c r="G16" s="285"/>
      <x:c r="H16" s="54"/>
      <x:c r="I16" s="58"/>
      <x:c r="J16" s="54" t="s">
        <x:v>100</x:v>
      </x:c>
      <x:c r="K16" s="58">
        <x:v>258675</x:v>
      </x:c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SUM('1:16'!$C$16)</x:f>
        <x:v>71</x:v>
      </x:c>
      <x:c r="D17" s="279"/>
      <x:c r="E17" s="280"/>
      <x:c r="F17" s="286">
        <x:f>SUM('1:16'!$F$16)</x:f>
        <x:v>237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10</x:v>
      </x:c>
      <x:c r="D18" s="287" t="s">
        <x:v>133</x:v>
      </x:c>
      <x:c r="E18" s="288"/>
      <x:c r="F18" s="295">
        <x:v>3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SUM('1:16'!$C$18)</x:f>
        <x:v>397</x:v>
      </x:c>
      <x:c r="D19" s="279"/>
      <x:c r="E19" s="280"/>
      <x:c r="F19" s="286">
        <x:f>SUM('1:16'!$F$18)</x:f>
        <x:v>67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37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SUM('1:16'!$F$20)</x:f>
        <x:v>877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856026</x:v>
      </x:c>
      <x:c r="J23" s="61" t="s">
        <x:v>122</x:v>
      </x:c>
      <x:c r="K23" s="62">
        <x:f>SUM(K4:K22)</x:f>
        <x:v>541369</x:v>
      </x:c>
      <x:c r="M23" s="88" t="s">
        <x:v>96</x:v>
      </x:c>
      <x:c r="N23" s="282">
        <x:f>C5+C6</x:f>
        <x:v>718000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0.24658677804983437</x:v>
      </x:c>
      <x:c r="J24" s="61" t="s">
        <x:v>8</x:v>
      </x:c>
      <x:c r="K24" s="63">
        <x:f>K23/A25</x:f>
        <x:v>0.15594670891545442</x:v>
      </x:c>
    </x:row>
    <x:row r="25" spans="1:11" ht="34.149999999999999" customHeight="1">
      <x:c r="A25" s="311">
        <x:f>C2</x:f>
        <x:v>3471500</x:v>
      </x:c>
      <x:c r="B25" s="275"/>
      <x:c r="C25" s="275">
        <x:f>E25/I1</x:f>
        <x:v>4405281.25</x:v>
      </x:c>
      <x:c r="D25" s="275"/>
      <x:c r="E25" s="275">
        <x:f>SUM('1:16'!$A$25)</x:f>
        <x:v>70484500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SUM('1:16'!$K$21)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0.03213425646773404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46800</x:v>
      </x:c>
      <x:c r="G27" s="261"/>
      <x:c r="H27" s="111" t="s">
        <x:v>121</x:v>
      </x:c>
      <x:c r="I27" s="112">
        <x:f>SUM(C27:D34,F27:G32)</x:f>
        <x:v>715429.0322580646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0.20608642726719417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SUM('1:16'!$I$25)</x:f>
        <x:v>36239472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50.654181429595589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30</x:v>
      </x:c>
      <x:c r="C32" s="307"/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32500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O34"/>
  <x:sheetViews>
    <x:sheetView topLeftCell="A9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17</x:v>
      </x:c>
      <x:c r="G1" s="68" t="s">
        <x:v>51</x:v>
      </x:c>
      <x:c r="H1" s="52" t="s">
        <x:v>126</x:v>
      </x:c>
      <x:c r="I1" s="52">
        <x:f>F1-K1</x:f>
        <x:v>17</x:v>
      </x:c>
      <x:c r="J1" s="52" t="s">
        <x:v>101</x:v>
      </x:c>
      <x:c r="K1" s="52"/>
    </x:row>
    <x:row r="2" spans="1:11" ht="20.100000000000001" customHeight="1">
      <x:c r="A2" s="329" t="s">
        <x:v>9</x:v>
      </x:c>
      <x:c r="B2" s="330"/>
      <x:c r="C2" s="333">
        <x:f>SUM(C4:D7)</x:f>
        <x:v>4081000</x:v>
      </x:c>
      <x:c r="D2" s="334"/>
      <x:c r="E2" s="277" t="s">
        <x:v>41</x:v>
      </x:c>
      <x:c r="F2" s="278"/>
      <x:c r="G2" s="266">
        <x:v>369400</x:v>
      </x:c>
      <x:c r="H2" s="337" t="s">
        <x:v>6</x:v>
      </x:c>
      <x:c r="I2" s="338"/>
      <x:c r="J2" s="262" t="s">
        <x:v>77</x:v>
      </x:c>
      <x:c r="K2" s="326"/>
    </x:row>
    <x:row r="3" spans="1:11" ht="20.100000000000001" customHeight="1">
      <x:c r="A3" s="331"/>
      <x:c r="B3" s="332"/>
      <x:c r="C3" s="335"/>
      <x:c r="D3" s="336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340" t="s">
        <x:v>22</x:v>
      </x:c>
      <x:c r="B4" s="341"/>
      <x:c r="C4" s="309">
        <x:v>3349500</x:v>
      </x:c>
      <x:c r="D4" s="310"/>
      <x:c r="E4" s="342" t="s">
        <x:v>149</x:v>
      </x:c>
      <x:c r="F4" s="343"/>
      <x:c r="G4" s="133">
        <x:f>INT(C4*0.0275)</x:f>
        <x:v>92111</x:v>
      </x:c>
      <x:c r="H4" s="54" t="s">
        <x:v>20</x:v>
      </x:c>
      <x:c r="I4" s="124">
        <x:v>1656052</x:v>
      </x:c>
      <x:c r="J4" s="80" t="s">
        <x:v>37</x:v>
      </x:c>
      <x:c r="K4" s="58"/>
    </x:row>
    <x:row r="5" spans="1:11" ht="30.949999999999999" customHeight="1">
      <x:c r="A5" s="340" t="s">
        <x:v>62</x:v>
      </x:c>
      <x:c r="B5" s="341"/>
      <x:c r="C5" s="309">
        <x:v>731500</x:v>
      </x:c>
      <x:c r="D5" s="310"/>
      <x:c r="E5" s="291" t="s">
        <x:v>73</x:v>
      </x:c>
      <x:c r="F5" s="292"/>
      <x:c r="G5" s="133">
        <x:f>INT(C5*0.01)</x:f>
        <x:v>7315</x:v>
      </x:c>
      <x:c r="H5" s="54" t="s">
        <x:v>6</x:v>
      </x:c>
      <x:c r="I5" s="124">
        <x:v>228150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991000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347" t="s">
        <x:v>137</x:v>
      </x:c>
      <x:c r="B8" s="288"/>
      <x:c r="C8" s="300">
        <x:v>109900</x:v>
      </x:c>
      <x:c r="D8" s="301"/>
      <x:c r="E8" s="287" t="s">
        <x:v>113</x:v>
      </x:c>
      <x:c r="F8" s="288"/>
      <x:c r="G8" s="293">
        <x:f>C5+G2-G6-C22</x:f>
        <x:v>109900</x:v>
      </x:c>
      <x:c r="H8" s="54" t="s">
        <x:v>46</x:v>
      </x:c>
      <x:c r="I8" s="124">
        <x:v>58000</x:v>
      </x:c>
      <x:c r="J8" s="81"/>
      <x:c r="K8" s="58"/>
    </x:row>
    <x:row r="9" spans="1:11" ht="21.949999999999999" customHeight="1">
      <x:c r="A9" s="348"/>
      <x:c r="B9" s="280"/>
      <x:c r="C9" s="302"/>
      <x:c r="D9" s="303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339" t="s">
        <x:v>146</x:v>
      </x:c>
      <x:c r="B10" s="292"/>
      <x:c r="C10" s="309">
        <x:v>41000</x:v>
      </x:c>
      <x:c r="D10" s="310"/>
      <x:c r="E10" s="291" t="s">
        <x:v>90</x:v>
      </x:c>
      <x:c r="F10" s="292"/>
      <x:c r="G10" s="55"/>
      <x:c r="H10" s="54"/>
      <x:c r="I10" s="124"/>
      <x:c r="J10" s="54" t="s">
        <x:v>54</x:v>
      </x:c>
      <x:c r="K10" s="58"/>
    </x:row>
    <x:row r="11" spans="1:11" ht="33" customHeight="1">
      <x:c r="A11" s="339" t="s">
        <x:v>106</x:v>
      </x:c>
      <x:c r="B11" s="292"/>
      <x:c r="C11" s="344"/>
      <x:c r="D11" s="345"/>
      <x:c r="E11" s="345"/>
      <x:c r="F11" s="345"/>
      <x:c r="G11" s="346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15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SUM('1:17'!$C$12)</x:f>
        <x:v>189</x:v>
      </x:c>
      <x:c r="D13" s="279"/>
      <x:c r="E13" s="280"/>
      <x:c r="F13" s="289">
        <x:f>SUM('1:17'!$F$12)</x:f>
        <x:v>41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16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SUM('1:17'!$C$14)</x:f>
        <x:v>190</x:v>
      </x:c>
      <x:c r="D15" s="279"/>
      <x:c r="E15" s="280"/>
      <x:c r="F15" s="289">
        <x:f>SUM('1:17'!$F$14)</x:f>
        <x:v>244</x:v>
      </x:c>
      <x:c r="G15" s="290"/>
      <x:c r="H15" s="54" t="s">
        <x:v>109</x:v>
      </x:c>
      <x:c r="I15" s="58">
        <x:v>145750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3</x:v>
      </x:c>
      <x:c r="D16" s="287" t="s">
        <x:v>120</x:v>
      </x:c>
      <x:c r="E16" s="288"/>
      <x:c r="F16" s="327">
        <x:v>7</x:v>
      </x:c>
      <x:c r="G16" s="328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SUM('1:17'!$C$16)</x:f>
        <x:v>74</x:v>
      </x:c>
      <x:c r="D17" s="279"/>
      <x:c r="E17" s="280"/>
      <x:c r="F17" s="289">
        <x:f>SUM('1:17'!$F$16)</x:f>
        <x:v>244</x:v>
      </x:c>
      <x:c r="G17" s="290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20</x:v>
      </x:c>
      <x:c r="D18" s="287" t="s">
        <x:v>133</x:v>
      </x:c>
      <x:c r="E18" s="288"/>
      <x:c r="F18" s="327">
        <x:v>7</x:v>
      </x:c>
      <x:c r="G18" s="32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SUM('1:17'!$C$18)</x:f>
        <x:v>417</x:v>
      </x:c>
      <x:c r="D19" s="279"/>
      <x:c r="E19" s="280"/>
      <x:c r="F19" s="289">
        <x:f>SUM('1:17'!$F$18)</x:f>
        <x:v>74</x:v>
      </x:c>
      <x:c r="G19" s="290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91" t="s">
        <x:v>116</x:v>
      </x:c>
      <x:c r="E20" s="292"/>
      <x:c r="F20" s="327">
        <x:v>56</x:v>
      </x:c>
      <x:c r="G20" s="328"/>
      <x:c r="H20" s="58"/>
      <x:c r="J20" s="54"/>
      <x:c r="K20" s="58"/>
      <x:c r="L20" s="60"/>
      <x:c r="M20" s="11"/>
    </x:row>
    <x:row r="21" spans="4:13" ht="21.949999999999999" customHeight="1">
      <x:c r="D21" s="291" t="s">
        <x:v>117</x:v>
      </x:c>
      <x:c r="E21" s="292"/>
      <x:c r="F21" s="289">
        <x:f>SUM('1:17'!$F$20)</x:f>
        <x:v>933</x:v>
      </x:c>
      <x:c r="G21" s="290"/>
      <x:c r="H21" s="58"/>
      <x:c r="J21" s="54"/>
      <x:c r="K21" s="58"/>
      <x:c r="L21" s="60"/>
      <x:c r="M21" s="11"/>
    </x:row>
    <x:row r="22" spans="1:13" ht="32.100000000000001" customHeight="1">
      <x:c r="A22" s="339" t="s">
        <x:v>86</x:v>
      </x:c>
      <x:c r="B22" s="292"/>
      <x:c r="C22" s="359"/>
      <x:c r="D22" s="360"/>
      <x:c r="E22" s="360"/>
      <x:c r="F22" s="360"/>
      <x:c r="G22" s="361"/>
      <x:c r="H22" s="54"/>
      <x:c r="J22" s="54"/>
      <x:c r="K22" s="58"/>
      <x:c r="L22" s="60"/>
      <x:c r="M22" s="11"/>
    </x:row>
    <x:row r="23" spans="1:15" ht="34.149999999999999" customHeight="1">
      <x:c r="A23" s="339" t="s">
        <x:v>127</x:v>
      </x:c>
      <x:c r="B23" s="292"/>
      <x:c r="C23" s="323"/>
      <x:c r="D23" s="324"/>
      <x:c r="E23" s="324"/>
      <x:c r="F23" s="324"/>
      <x:c r="G23" s="325"/>
      <x:c r="H23" s="107" t="s">
        <x:v>97</x:v>
      </x:c>
      <x:c r="I23" s="108">
        <x:f>SUM(I4:I22)</x:f>
        <x:v>2087952</x:v>
      </x:c>
      <x:c r="J23" s="61" t="s">
        <x:v>122</x:v>
      </x:c>
      <x:c r="K23" s="62">
        <x:f>SUM(K4:K22)</x:f>
        <x:v>14194</x:v>
      </x:c>
      <x:c r="M23" s="88" t="s">
        <x:v>96</x:v>
      </x:c>
      <x:c r="N23" s="282">
        <x:f>C5+C6</x:f>
        <x:v>731500</x:v>
      </x:c>
      <x:c r="O23" s="283"/>
    </x:row>
    <x:row r="24" spans="1:11" ht="34.149999999999999" customHeight="1">
      <x:c r="A24" s="339" t="s">
        <x:v>8</x:v>
      </x:c>
      <x:c r="B24" s="292"/>
      <x:c r="C24" s="291" t="s">
        <x:v>89</x:v>
      </x:c>
      <x:c r="D24" s="292"/>
      <x:c r="E24" s="291" t="s">
        <x:v>104</x:v>
      </x:c>
      <x:c r="F24" s="322"/>
      <x:c r="G24" s="292"/>
      <x:c r="H24" s="107" t="s">
        <x:v>8</x:v>
      </x:c>
      <x:c r="I24" s="109">
        <x:f>I23/A25</x:f>
        <x:v>0.51162754226905172</x:v>
      </x:c>
      <x:c r="J24" s="61" t="s">
        <x:v>8</x:v>
      </x:c>
      <x:c r="K24" s="63">
        <x:f>K23/A25</x:f>
        <x:v>0.0034780691007106103</x:v>
      </x:c>
    </x:row>
    <x:row r="25" spans="1:11" ht="34.149999999999999" customHeight="1">
      <x:c r="A25" s="353">
        <x:f>C2</x:f>
        <x:v>4081000</x:v>
      </x:c>
      <x:c r="B25" s="313"/>
      <x:c r="C25" s="312">
        <x:f>E25/I1</x:f>
        <x:v>4386205.8823529407</x:v>
      </x:c>
      <x:c r="D25" s="313"/>
      <x:c r="E25" s="312">
        <x:f>SUM('1:17'!$A$25)</x:f>
        <x:v>74565500</x:v>
      </x:c>
      <x:c r="F25" s="321"/>
      <x:c r="G25" s="313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SUM('1:17'!$K$21)</x:f>
        <x:v>0</x:v>
      </x:c>
    </x:row>
    <x:row r="26" spans="1:11" ht="34.149999999999999" customHeight="1">
      <x:c r="A26" s="339" t="s">
        <x:v>145</x:v>
      </x:c>
      <x:c r="B26" s="292"/>
      <x:c r="C26" s="291"/>
      <x:c r="D26" s="292"/>
      <x:c r="E26" s="309"/>
      <x:c r="F26" s="352"/>
      <x:c r="G26" s="310"/>
      <x:c r="H26" s="107" t="s">
        <x:v>131</x:v>
      </x:c>
      <x:c r="I26" s="110">
        <x:f>I25/$E$25</x:f>
        <x:v>0.030375535602926287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04" t="s">
        <x:v>144</x:v>
      </x:c>
      <x:c r="B27" s="54" t="s">
        <x:v>45</x:v>
      </x:c>
      <x:c r="C27" s="312">
        <x:f>4000000/31</x:f>
        <x:v>129032.25806451614</x:v>
      </x:c>
      <x:c r="D27" s="313"/>
      <x:c r="E27" s="55" t="s">
        <x:v>150</x:v>
      </x:c>
      <x:c r="F27" s="309">
        <x:v>52650</x:v>
      </x:c>
      <x:c r="G27" s="310"/>
      <x:c r="H27" s="111" t="s">
        <x:v>121</x:v>
      </x:c>
      <x:c r="I27" s="112">
        <x:f>SUM(C27:D34,F27:G32)</x:f>
        <x:v>752779.0322580646</x:v>
      </x:c>
      <x:c r="M27" s="66"/>
    </x:row>
    <x:row r="28" spans="1:13" ht="30.949999999999999" customHeight="1">
      <x:c r="A28" s="305"/>
      <x:c r="B28" s="54" t="s">
        <x:v>23</x:v>
      </x:c>
      <x:c r="C28" s="312">
        <x:f>3800000/31</x:f>
        <x:v>122580.64516129032</x:v>
      </x:c>
      <x:c r="D28" s="313"/>
      <x:c r="E28" s="55" t="s">
        <x:v>152</x:v>
      </x:c>
      <x:c r="F28" s="312">
        <x:f>1500000/31</x:f>
        <x:v>48387.096774193546</x:v>
      </x:c>
      <x:c r="G28" s="313"/>
      <x:c r="H28" s="111" t="s">
        <x:v>8</x:v>
      </x:c>
      <x:c r="I28" s="113">
        <x:f>I27/$A$25</x:f>
        <x:v>0.18445945411861422</x:v>
      </x:c>
      <x:c r="M28" s="66"/>
    </x:row>
    <x:row r="29" spans="1:13" ht="30.949999999999999" customHeight="1">
      <x:c r="A29" s="305"/>
      <x:c r="B29" s="54" t="s">
        <x:v>48</x:v>
      </x:c>
      <x:c r="C29" s="312">
        <x:f>3200000/31</x:f>
        <x:v>103225.80645161291</x:v>
      </x:c>
      <x:c r="D29" s="313"/>
      <x:c r="E29" s="55"/>
      <x:c r="F29" s="309"/>
      <x:c r="G29" s="310"/>
      <x:c r="H29" s="111" t="s">
        <x:v>34</x:v>
      </x:c>
      <x:c r="I29" s="112">
        <x:f>SUM('1:17'!$I$25)</x:f>
        <x:v>38504439</x:v>
      </x:c>
      <x:c r="M29" s="66"/>
    </x:row>
    <x:row r="30" spans="1:13" ht="30.949999999999999" customHeight="1">
      <x:c r="A30" s="305"/>
      <x:c r="B30" s="54"/>
      <x:c r="C30" s="354"/>
      <x:c r="D30" s="355"/>
      <x:c r="E30" s="55"/>
      <x:c r="F30" s="309"/>
      <x:c r="G30" s="310"/>
      <x:c r="H30" s="111" t="s">
        <x:v>131</x:v>
      </x:c>
      <x:c r="I30" s="113">
        <x:f>I29/$I$27</x:f>
        <x:v>51.149723026291824</x:v>
      </x:c>
      <x:c r="M30" s="66"/>
    </x:row>
    <x:row r="31" spans="1:7" customHeight="1">
      <x:c r="A31" s="305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05"/>
      <x:c r="B32" s="54" t="s">
        <x:v>30</x:v>
      </x:c>
      <x:c r="C32" s="307"/>
      <x:c r="D32" s="308"/>
      <x:c r="E32" s="55" t="s">
        <x:v>141</x:v>
      </x:c>
      <x:c r="F32" s="309"/>
      <x:c r="G32" s="310"/>
    </x:row>
    <x:row r="33" spans="1:4" customHeight="1">
      <x:c r="A33" s="305"/>
      <x:c r="B33" s="54" t="s">
        <x:v>21</x:v>
      </x:c>
      <x:c r="C33" s="307">
        <x:v>52000</x:v>
      </x:c>
      <x:c r="D33" s="308"/>
    </x:row>
    <x:row r="34" spans="1:4" customHeight="1">
      <x:c r="A34" s="306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51" firstPageNumber="1" fitToWidth="1" fitToHeight="1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O35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18</x:v>
      </x:c>
      <x:c r="G1" s="68" t="s">
        <x:v>29</x:v>
      </x:c>
      <x:c r="H1" s="52" t="s">
        <x:v>126</x:v>
      </x:c>
      <x:c r="I1" s="52">
        <x:f>F1-K1</x:f>
        <x:v>18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4033500</x:v>
      </x:c>
      <x:c r="D2" s="274"/>
      <x:c r="E2" s="277" t="s">
        <x:v>41</x:v>
      </x:c>
      <x:c r="F2" s="278"/>
      <x:c r="G2" s="266">
        <x:v>109900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3390500</x:v>
      </x:c>
      <x:c r="D4" s="261"/>
      <x:c r="E4" s="276" t="s">
        <x:v>149</x:v>
      </x:c>
      <x:c r="F4" s="276"/>
      <x:c r="G4" s="133">
        <x:f>INT(C4*0.0275)</x:f>
        <x:v>93238</x:v>
      </x:c>
      <x:c r="H4" s="54" t="s">
        <x:v>20</x:v>
      </x:c>
      <x:c r="I4" s="124">
        <x:v>424301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643000</x:v>
      </x:c>
      <x:c r="D5" s="261"/>
      <x:c r="E5" s="260" t="s">
        <x:v>73</x:v>
      </x:c>
      <x:c r="F5" s="260"/>
      <x:c r="G5" s="133">
        <x:f>INT(C5*0.01)</x:f>
        <x:v>6430</x:v>
      </x:c>
      <x:c r="H5" s="54" t="s">
        <x:v>6</x:v>
      </x:c>
      <x:c r="I5" s="124">
        <x:v>68600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690000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64900</x:v>
      </x:c>
      <x:c r="D8" s="261"/>
      <x:c r="E8" s="287" t="s">
        <x:v>113</x:v>
      </x:c>
      <x:c r="F8" s="288"/>
      <x:c r="G8" s="293">
        <x:f>C5+G2-G6-C22</x:f>
        <x:v>62900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9</x:v>
      </x:c>
      <x:c r="D12" s="287" t="s">
        <x:v>136</x:v>
      </x:c>
      <x:c r="E12" s="288"/>
      <x:c r="F12" s="291">
        <x:v>2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SUM('1:18'!$C$12)</x:f>
        <x:v>198</x:v>
      </x:c>
      <x:c r="D13" s="279"/>
      <x:c r="E13" s="280"/>
      <x:c r="F13" s="289">
        <x:f>SUM('1:18'!$F$12)</x:f>
        <x:v>43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26</x:v>
      </x:c>
      <x:c r="D14" s="287" t="s">
        <x:v>98</x:v>
      </x:c>
      <x:c r="E14" s="288"/>
      <x:c r="F14" s="291">
        <x:v>2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SUM('1:18'!$C$14)</x:f>
        <x:v>216</x:v>
      </x:c>
      <x:c r="D15" s="279"/>
      <x:c r="E15" s="280"/>
      <x:c r="F15" s="289">
        <x:f>SUM('1:18'!$F$14)</x:f>
        <x:v>246</x:v>
      </x:c>
      <x:c r="G15" s="290"/>
      <x:c r="H15" s="54" t="s">
        <x:v>109</x:v>
      </x:c>
      <x:c r="I15" s="58">
        <x:v>60900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6</x:v>
      </x:c>
      <x:c r="D16" s="287" t="s">
        <x:v>120</x:v>
      </x:c>
      <x:c r="E16" s="288"/>
      <x:c r="F16" s="285">
        <x:v>11</x:v>
      </x:c>
      <x:c r="G16" s="285"/>
      <x:c r="H16" s="54"/>
      <x:c r="I16" s="58"/>
      <x:c r="J16" s="54" t="s">
        <x:v>100</x:v>
      </x:c>
      <x:c r="K16" s="58">
        <x:v>45820</x:v>
      </x:c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SUM('1:18'!$C$16)</x:f>
        <x:v>80</x:v>
      </x:c>
      <x:c r="D17" s="279"/>
      <x:c r="E17" s="280"/>
      <x:c r="F17" s="286">
        <x:f>SUM('1:18'!$F$16)</x:f>
        <x:v>255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11</x:v>
      </x:c>
      <x:c r="D18" s="287" t="s">
        <x:v>133</x:v>
      </x:c>
      <x:c r="E18" s="288"/>
      <x:c r="F18" s="295">
        <x:v>1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SUM('1:18'!$C$18)</x:f>
        <x:v>428</x:v>
      </x:c>
      <x:c r="D19" s="279"/>
      <x:c r="E19" s="280"/>
      <x:c r="F19" s="286">
        <x:f>SUM('1:18'!$F$18)</x:f>
        <x:v>75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58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SUM('1:18'!$F$20)</x:f>
        <x:v>991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553801</x:v>
      </x:c>
      <x:c r="J23" s="61" t="s">
        <x:v>122</x:v>
      </x:c>
      <x:c r="K23" s="62">
        <x:f>SUM(K4:K22)</x:f>
        <x:v>60014</x:v>
      </x:c>
      <x:c r="M23" s="88" t="s">
        <x:v>96</x:v>
      </x:c>
      <x:c r="N23" s="282">
        <x:f>C5+C6</x:f>
        <x:v>643000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0.1373003594892773</x:v>
      </x:c>
      <x:c r="J24" s="61" t="s">
        <x:v>8</x:v>
      </x:c>
      <x:c r="K24" s="63">
        <x:f>K23/A25</x:f>
        <x:v>0.014878889302094955</x:v>
      </x:c>
    </x:row>
    <x:row r="25" spans="1:11" ht="34.149999999999999" customHeight="1">
      <x:c r="A25" s="311">
        <x:f>C2</x:f>
        <x:v>4033500</x:v>
      </x:c>
      <x:c r="B25" s="275"/>
      <x:c r="C25" s="275">
        <x:f>E25/I1</x:f>
        <x:v>4366611.111111111</x:v>
      </x:c>
      <x:c r="D25" s="275"/>
      <x:c r="E25" s="275">
        <x:f>SUM('1:18'!$A$25)</x:f>
        <x:v>78599000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SUM('1:18'!$K$21)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0.028816740671000905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58500</x:v>
      </x:c>
      <x:c r="G27" s="261"/>
      <x:c r="H27" s="111" t="s">
        <x:v>121</x:v>
      </x:c>
      <x:c r="I27" s="112">
        <x:f>SUM(C27:D34,F27:G32)</x:f>
        <x:v>694629.0322580646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0.17221495779299978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SUM('1:18'!$I$25)</x:f>
        <x:v>40769406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58.692343836348009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30</x:v>
      </x:c>
      <x:c r="C32" s="307"/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58</x:v>
      </x:c>
      <x:c r="C34" s="309"/>
      <x:c r="D34" s="310"/>
    </x:row>
    <x:row r="35" spans="2:4" customHeight="1">
      <x:c r="B35" s="54"/>
      <x:c r="C35" s="309"/>
      <x:c r="D35" s="310"/>
    </x:row>
  </x:sheetData>
  <x:mergeCells count="75">
    <x:mergeCell ref="C35:D35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O36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13.199999999999999"/>
  <x:cols>
    <x:col min="1" max="1" width="8.625" style="53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ht="30" customHeight="1">
      <x:c r="A1" s="51"/>
      <x:c r="B1" s="51"/>
      <x:c r="C1" s="68" t="s">
        <x:v>128</x:v>
      </x:c>
      <x:c r="D1" s="68"/>
      <x:c r="E1" s="68" t="s">
        <x:v>67</x:v>
      </x:c>
      <x:c r="F1" s="68">
        <x:v>19</x:v>
      </x:c>
      <x:c r="G1" s="68" t="s">
        <x:v>18</x:v>
      </x:c>
      <x:c r="H1" s="52" t="s">
        <x:v>126</x:v>
      </x:c>
      <x:c r="I1" s="52">
        <x:f>F1-K1</x:f>
        <x:v>19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3841000</x:v>
      </x:c>
      <x:c r="D2" s="274"/>
      <x:c r="E2" s="277" t="s">
        <x:v>41</x:v>
      </x:c>
      <x:c r="F2" s="278"/>
      <x:c r="G2" s="266">
        <x:v>64900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3405000</x:v>
      </x:c>
      <x:c r="D4" s="261"/>
      <x:c r="E4" s="276" t="s">
        <x:v>149</x:v>
      </x:c>
      <x:c r="F4" s="276"/>
      <x:c r="G4" s="133">
        <x:f>INT(C4*0.0275)</x:f>
        <x:v>93637</x:v>
      </x:c>
      <x:c r="H4" s="54" t="s">
        <x:v>20</x:v>
      </x:c>
      <x:c r="I4" s="124">
        <x:v>1736392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436000</x:v>
      </x:c>
      <x:c r="D5" s="261"/>
      <x:c r="E5" s="260" t="s">
        <x:v>73</x:v>
      </x:c>
      <x:c r="F5" s="260"/>
      <x:c r="G5" s="133">
        <x:f>INT(C5*0.01)</x:f>
        <x:v>4360</x:v>
      </x:c>
      <x:c r="H5" s="54" t="s">
        <x:v>6</x:v>
      </x:c>
      <x:c r="I5" s="124">
        <x:v>272682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450000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50900</x:v>
      </x:c>
      <x:c r="D8" s="261"/>
      <x:c r="E8" s="287" t="s">
        <x:v>113</x:v>
      </x:c>
      <x:c r="F8" s="288"/>
      <x:c r="G8" s="293">
        <x:f>C5+G2-G6-C22</x:f>
        <x:v>50900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>
        <x:v>173000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3</x:v>
      </x:c>
      <x:c r="D12" s="287" t="s">
        <x:v>136</x:v>
      </x:c>
      <x:c r="E12" s="288"/>
      <x:c r="F12" s="291">
        <x:v>5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SUM('1:19'!$C$12)</x:f>
        <x:v>201</x:v>
      </x:c>
      <x:c r="D13" s="279"/>
      <x:c r="E13" s="280"/>
      <x:c r="F13" s="289">
        <x:f>SUM('1:19'!$F$12)</x:f>
        <x:v>48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7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SUM('1:19'!$C$14)</x:f>
        <x:v>216</x:v>
      </x:c>
      <x:c r="D15" s="279"/>
      <x:c r="E15" s="280"/>
      <x:c r="F15" s="289">
        <x:f>SUM('1:19'!$F$14)</x:f>
        <x:v>253</x:v>
      </x:c>
      <x:c r="G15" s="290"/>
      <x:c r="H15" s="54" t="s">
        <x:v>109</x:v>
      </x:c>
      <x:c r="I15" s="58">
        <x:v>86600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1</x:v>
      </x:c>
      <x:c r="D16" s="287" t="s">
        <x:v>120</x:v>
      </x:c>
      <x:c r="E16" s="288"/>
      <x:c r="F16" s="285">
        <x:v>14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SUM('1:19'!$C$16)</x:f>
        <x:v>81</x:v>
      </x:c>
      <x:c r="D17" s="279"/>
      <x:c r="E17" s="280"/>
      <x:c r="F17" s="286">
        <x:f>SUM('1:19'!$F$16)</x:f>
        <x:v>269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14</x:v>
      </x:c>
      <x:c r="D18" s="287" t="s">
        <x:v>133</x:v>
      </x:c>
      <x:c r="E18" s="288"/>
      <x:c r="F18" s="295">
        <x:v>10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SUM('1:19'!$C$18)</x:f>
        <x:v>442</x:v>
      </x:c>
      <x:c r="D19" s="279"/>
      <x:c r="E19" s="280"/>
      <x:c r="F19" s="286">
        <x:f>SUM('1:19'!$F$18)</x:f>
        <x:v>85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52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SUM('1:19'!$F$20)</x:f>
        <x:v>1043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2095674</x:v>
      </x:c>
      <x:c r="J23" s="61" t="s">
        <x:v>122</x:v>
      </x:c>
      <x:c r="K23" s="62">
        <x:f>SUM(K4:K22)</x:f>
        <x:v>14194</x:v>
      </x:c>
      <x:c r="M23" s="88" t="s">
        <x:v>96</x:v>
      </x:c>
      <x:c r="N23" s="282">
        <x:f>C5+C6</x:f>
        <x:v>436000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0.54560635251236655</x:v>
      </x:c>
      <x:c r="J24" s="61" t="s">
        <x:v>8</x:v>
      </x:c>
      <x:c r="K24" s="63">
        <x:f>K23/A25</x:f>
        <x:v>0.0036953918250455611</x:v>
      </x:c>
    </x:row>
    <x:row r="25" spans="1:11" ht="34.149999999999999" customHeight="1">
      <x:c r="A25" s="311">
        <x:f>C2</x:f>
        <x:v>3841000</x:v>
      </x:c>
      <x:c r="B25" s="275"/>
      <x:c r="C25" s="275">
        <x:f>E25/I1</x:f>
        <x:v>4338947.3684210526</x:v>
      </x:c>
      <x:c r="D25" s="275"/>
      <x:c r="E25" s="275">
        <x:f>SUM('1:19'!$A$25)</x:f>
        <x:v>82440000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SUM('1:18'!$K$21)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0.027474126637554584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/>
      <x:c r="G27" s="261"/>
      <x:c r="H27" s="111" t="s">
        <x:v>121</x:v>
      </x:c>
      <x:c r="I27" s="112">
        <x:f>SUM(C27:D34,F27:G32)</x:f>
        <x:v>723129.0322580646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0.18826582459205016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SUM('1:18'!$I$25)</x:f>
        <x:v>40769406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56.379158049694425</x:v>
      </x:c>
      <x:c r="M30" s="66"/>
    </x:row>
    <x:row r="31" spans="1:7" ht="30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130000</x:v>
      </x:c>
      <x:c r="G31" s="310"/>
    </x:row>
    <x:row r="32" spans="1:7" ht="30" customHeight="1">
      <x:c r="A32" s="318"/>
      <x:c r="B32" s="54" t="s">
        <x:v>30</x:v>
      </x:c>
      <x:c r="C32" s="307">
        <x:v>77000</x:v>
      </x:c>
      <x:c r="D32" s="308"/>
      <x:c r="E32" s="55" t="s">
        <x:v>141</x:v>
      </x:c>
      <x:c r="F32" s="309"/>
      <x:c r="G32" s="310"/>
    </x:row>
    <x:row r="33" spans="1:4" ht="30" customHeight="1">
      <x:c r="A33" s="318"/>
      <x:c r="B33" s="54" t="s">
        <x:v>21</x:v>
      </x:c>
      <x:c r="C33" s="307"/>
      <x:c r="D33" s="308"/>
    </x:row>
    <x:row r="34" spans="1:4" ht="30" customHeight="1">
      <x:c r="A34" s="319"/>
      <x:c r="B34" s="54" t="s">
        <x:v>58</x:v>
      </x:c>
      <x:c r="C34" s="309"/>
      <x:c r="D34" s="310"/>
    </x:row>
    <x:row r="35" spans="2:4">
      <x:c r="B35" s="297"/>
      <x:c r="C35" s="300"/>
      <x:c r="D35" s="301"/>
    </x:row>
    <x:row r="36" spans="2:4">
      <x:c r="B36" s="298"/>
      <x:c r="C36" s="302"/>
      <x:c r="D36" s="303"/>
    </x:row>
  </x:sheetData>
  <x:mergeCells count="76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B14:B15"/>
    <x:mergeCell ref="F14:G14"/>
    <x:mergeCell ref="F15:G15"/>
    <x:mergeCell ref="F12:G12"/>
    <x:mergeCell ref="F13:G13"/>
    <x:mergeCell ref="B16:B17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6:D26"/>
    <x:mergeCell ref="E26:G26"/>
    <x:mergeCell ref="B35:B36"/>
    <x:mergeCell ref="C35:D3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D14:E15"/>
    <x:mergeCell ref="D12:E13"/>
    <x:mergeCell ref="D18:E19"/>
    <x:mergeCell ref="D16:E17"/>
    <x:mergeCell ref="B12:B13"/>
    <x:mergeCell ref="B18:B19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O34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20</x:v>
      </x:c>
      <x:c r="G1" s="68" t="s">
        <x:v>19</x:v>
      </x:c>
      <x:c r="H1" s="52" t="s">
        <x:v>126</x:v>
      </x:c>
      <x:c r="I1" s="52">
        <x:f>F1-K1</x:f>
        <x:v>20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5055000</x:v>
      </x:c>
      <x:c r="D2" s="274"/>
      <x:c r="E2" s="277" t="s">
        <x:v>41</x:v>
      </x:c>
      <x:c r="F2" s="278"/>
      <x:c r="G2" s="266">
        <x:v>50900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4355000</x:v>
      </x:c>
      <x:c r="D4" s="261"/>
      <x:c r="E4" s="276" t="s">
        <x:v>149</x:v>
      </x:c>
      <x:c r="F4" s="276"/>
      <x:c r="G4" s="133">
        <x:f>INT(C4*0.0275)</x:f>
        <x:v>119762</x:v>
      </x:c>
      <x:c r="H4" s="54" t="s">
        <x:v>20</x:v>
      </x:c>
      <x:c r="I4" s="124"/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700000</x:v>
      </x:c>
      <x:c r="D5" s="261"/>
      <x:c r="E5" s="260" t="s">
        <x:v>73</x:v>
      </x:c>
      <x:c r="F5" s="260"/>
      <x:c r="G5" s="133">
        <x:f>INT(C5*0.01)</x:f>
        <x:v>7000</x:v>
      </x:c>
      <x:c r="H5" s="54" t="s">
        <x:v>6</x:v>
      </x:c>
      <x:c r="I5" s="124"/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700000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50900</x:v>
      </x:c>
      <x:c r="D8" s="261"/>
      <x:c r="E8" s="287" t="s">
        <x:v>113</x:v>
      </x:c>
      <x:c r="F8" s="288"/>
      <x:c r="G8" s="293">
        <x:f>C5+G2-G6-C22</x:f>
        <x:v>50900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6</x:v>
      </x:c>
      <x:c r="D12" s="287" t="s">
        <x:v>136</x:v>
      </x:c>
      <x:c r="E12" s="288"/>
      <x:c r="F12" s="291">
        <x:v>3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SUM('1:20'!$C$12)</x:f>
        <x:v>207</x:v>
      </x:c>
      <x:c r="D13" s="279"/>
      <x:c r="E13" s="280"/>
      <x:c r="F13" s="289">
        <x:f>SUM('1:20'!$F$12)</x:f>
        <x:v>51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0</x:v>
      </x:c>
      <x:c r="D14" s="287" t="s">
        <x:v>98</x:v>
      </x:c>
      <x:c r="E14" s="288"/>
      <x:c r="F14" s="291">
        <x:v>5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SUM('1:20'!$C$14)</x:f>
        <x:v>216</x:v>
      </x:c>
      <x:c r="D15" s="279"/>
      <x:c r="E15" s="280"/>
      <x:c r="F15" s="289">
        <x:f>SUM('1:20'!$F$14)</x:f>
        <x:v>258</x:v>
      </x:c>
      <x:c r="G15" s="290"/>
      <x:c r="H15" s="54" t="s">
        <x:v>109</x:v>
      </x:c>
      <x:c r="I15" s="58"/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7</x:v>
      </x:c>
      <x:c r="D16" s="287" t="s">
        <x:v>120</x:v>
      </x:c>
      <x:c r="E16" s="288"/>
      <x:c r="F16" s="285">
        <x:v>13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SUM('1:20'!$C$16)</x:f>
        <x:v>88</x:v>
      </x:c>
      <x:c r="D17" s="279"/>
      <x:c r="E17" s="280"/>
      <x:c r="F17" s="286">
        <x:f>SUM('1:20'!$F$16)</x:f>
        <x:v>282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13</x:v>
      </x:c>
      <x:c r="D18" s="287" t="s">
        <x:v>133</x:v>
      </x:c>
      <x:c r="E18" s="288"/>
      <x:c r="F18" s="295">
        <x:v>5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SUM('1:20'!$C$18)</x:f>
        <x:v>455</x:v>
      </x:c>
      <x:c r="D19" s="279"/>
      <x:c r="E19" s="280"/>
      <x:c r="F19" s="286">
        <x:f>SUM('1:20'!$F$18)</x:f>
        <x:v>90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63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SUM('1:20'!$F$20)</x:f>
        <x:v>1106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0</x:v>
      </x:c>
      <x:c r="J23" s="61" t="s">
        <x:v>122</x:v>
      </x:c>
      <x:c r="K23" s="62">
        <x:f>SUM(K4:K22)</x:f>
        <x:v>14194</x:v>
      </x:c>
      <x:c r="M23" s="88" t="s">
        <x:v>96</x:v>
      </x:c>
      <x:c r="N23" s="282">
        <x:f>C5+C6</x:f>
        <x:v>700000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0.0028079129574678538</x:v>
      </x:c>
    </x:row>
    <x:row r="25" spans="1:11" ht="34.149999999999999" customHeight="1">
      <x:c r="A25" s="311">
        <x:f>C2</x:f>
        <x:v>5055000</x:v>
      </x:c>
      <x:c r="B25" s="275"/>
      <x:c r="C25" s="275">
        <x:f>E25/I1</x:f>
        <x:v>4374750</x:v>
      </x:c>
      <x:c r="D25" s="275"/>
      <x:c r="E25" s="275">
        <x:f>SUM('1:20'!$A$25)</x:f>
        <x:v>87495000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SUM('1:20'!$K$21)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0.025886816389507972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/>
      <x:c r="G27" s="261"/>
      <x:c r="H27" s="111" t="s">
        <x:v>121</x:v>
      </x:c>
      <x:c r="I27" s="112">
        <x:f>SUM(C27:D34,F27:G32)</x:f>
        <x:v>787129.0322580646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0.15571296384927094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SUM('1:20'!$I$25)</x:f>
        <x:v>45299340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57.550081554034662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130000</x:v>
      </x:c>
      <x:c r="G31" s="310"/>
    </x:row>
    <x:row r="32" spans="1:7" customHeight="1">
      <x:c r="A32" s="318"/>
      <x:c r="B32" s="54" t="s">
        <x:v>30</x:v>
      </x:c>
      <x:c r="C32" s="307">
        <x:v>63000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78000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O34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21</x:v>
      </x:c>
      <x:c r="G1" s="68" t="s">
        <x:v>50</x:v>
      </x:c>
      <x:c r="H1" s="52" t="s">
        <x:v>126</x:v>
      </x:c>
      <x:c r="I1" s="52">
        <x:f>F1-K1</x:f>
        <x:v>21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4227000</x:v>
      </x:c>
      <x:c r="D2" s="274"/>
      <x:c r="E2" s="277" t="s">
        <x:v>41</x:v>
      </x:c>
      <x:c r="F2" s="278"/>
      <x:c r="G2" s="266">
        <x:v>50900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3490000</x:v>
      </x:c>
      <x:c r="D4" s="261"/>
      <x:c r="E4" s="276" t="s">
        <x:v>149</x:v>
      </x:c>
      <x:c r="F4" s="276"/>
      <x:c r="G4" s="133">
        <x:f>INT(C4*0.0275)</x:f>
        <x:v>95975</x:v>
      </x:c>
      <x:c r="H4" s="54" t="s">
        <x:v>20</x:v>
      </x:c>
      <x:c r="I4" s="124">
        <x:v>2120169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737000</x:v>
      </x:c>
      <x:c r="D5" s="261"/>
      <x:c r="E5" s="260" t="s">
        <x:v>73</x:v>
      </x:c>
      <x:c r="F5" s="260"/>
      <x:c r="G5" s="133">
        <x:f>INT(C5*0.01)</x:f>
        <x:v>7370</x:v>
      </x:c>
      <x:c r="H5" s="54" t="s">
        <x:v>6</x:v>
      </x:c>
      <x:c r="I5" s="124">
        <x:v>119000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700000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196700</x:v>
      </x:c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87900</x:v>
      </x:c>
      <x:c r="D8" s="261"/>
      <x:c r="E8" s="287" t="s">
        <x:v>113</x:v>
      </x:c>
      <x:c r="F8" s="288"/>
      <x:c r="G8" s="293">
        <x:f>C5+G2-G6-C22</x:f>
        <x:v>87900</x:v>
      </x:c>
      <x:c r="H8" s="54" t="s">
        <x:v>46</x:v>
      </x:c>
      <x:c r="I8" s="124">
        <x:v>60000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>
        <x:v>13000</x:v>
      </x:c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4</x:v>
      </x:c>
      <x:c r="D12" s="287" t="s">
        <x:v>136</x:v>
      </x:c>
      <x:c r="E12" s="288"/>
      <x:c r="F12" s="291">
        <x:v>7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SUM('1:21'!$C$12)</x:f>
        <x:v>211</x:v>
      </x:c>
      <x:c r="D13" s="279"/>
      <x:c r="E13" s="280"/>
      <x:c r="F13" s="289">
        <x:f>SUM('1:21'!$F$12)</x:f>
        <x:v>58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14</x:v>
      </x:c>
      <x:c r="D14" s="287" t="s">
        <x:v>98</x:v>
      </x:c>
      <x:c r="E14" s="288"/>
      <x:c r="F14" s="291">
        <x:v>13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SUM('1:21'!$C$14)</x:f>
        <x:v>230</x:v>
      </x:c>
      <x:c r="D15" s="279"/>
      <x:c r="E15" s="280"/>
      <x:c r="F15" s="289">
        <x:f>SUM('1:21'!$F$14)</x:f>
        <x:v>271</x:v>
      </x:c>
      <x:c r="G15" s="290"/>
      <x:c r="H15" s="54" t="s">
        <x:v>109</x:v>
      </x:c>
      <x:c r="I15" s="58">
        <x:v>117450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7</x:v>
      </x:c>
      <x:c r="D16" s="287" t="s">
        <x:v>120</x:v>
      </x:c>
      <x:c r="E16" s="288"/>
      <x:c r="F16" s="285">
        <x:v>10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SUM('1:21'!$C$16)</x:f>
        <x:v>95</x:v>
      </x:c>
      <x:c r="D17" s="279"/>
      <x:c r="E17" s="280"/>
      <x:c r="F17" s="286">
        <x:f>SUM('1:21'!$F$16)</x:f>
        <x:v>292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13</x:v>
      </x:c>
      <x:c r="D18" s="287" t="s">
        <x:v>133</x:v>
      </x:c>
      <x:c r="E18" s="288"/>
      <x:c r="F18" s="295">
        <x:v>3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SUM('1:21'!$C$18)</x:f>
        <x:v>468</x:v>
      </x:c>
      <x:c r="D19" s="279"/>
      <x:c r="E19" s="280"/>
      <x:c r="F19" s="286">
        <x:f>SUM('1:21'!$F$18)</x:f>
        <x:v>93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58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SUM('1:21'!$F$20)</x:f>
        <x:v>1164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2613319</x:v>
      </x:c>
      <x:c r="J23" s="61" t="s">
        <x:v>122</x:v>
      </x:c>
      <x:c r="K23" s="62">
        <x:f>SUM(K4:K22)</x:f>
        <x:v>27194</x:v>
      </x:c>
      <x:c r="M23" s="88" t="s">
        <x:v>96</x:v>
      </x:c>
      <x:c r="N23" s="282">
        <x:f>C5+C6</x:f>
        <x:v>737000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0.61824438135793702</x:v>
      </x:c>
      <x:c r="J24" s="61" t="s">
        <x:v>8</x:v>
      </x:c>
      <x:c r="K24" s="63">
        <x:f>K23/A25</x:f>
        <x:v>0.0064334043056541281</x:v>
      </x:c>
    </x:row>
    <x:row r="25" spans="1:11" ht="34.149999999999999" customHeight="1">
      <x:c r="A25" s="311">
        <x:f>C2</x:f>
        <x:v>4227000</x:v>
      </x:c>
      <x:c r="B25" s="275"/>
      <x:c r="C25" s="275">
        <x:f>E25/I1</x:f>
        <x:v>4367714.2857142854</x:v>
      </x:c>
      <x:c r="D25" s="275"/>
      <x:c r="E25" s="275">
        <x:f>SUM('1:21'!$A$25)</x:f>
        <x:v>91722000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SUM('1:21'!$K$21)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0.024693824818473212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52650</x:v>
      </x:c>
      <x:c r="G27" s="261"/>
      <x:c r="H27" s="111" t="s">
        <x:v>121</x:v>
      </x:c>
      <x:c r="I27" s="112">
        <x:f>SUM(C27:D34,F27:G32)</x:f>
        <x:v>907279.0322580646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0.21463899509298903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SUM('1:21'!$I$25)</x:f>
        <x:v>47564307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52.425224554810285</x:v>
      </x:c>
      <x:c r="M30" s="66"/>
    </x:row>
    <x:row r="31" spans="1:7" customHeight="1">
      <x:c r="A31" s="318"/>
      <x:c r="B31" s="54" t="s">
        <x:v>42</x:v>
      </x:c>
      <x:c r="C31" s="275">
        <x:f>3500000/31</x:f>
        <x:v>112903.22580645161</x:v>
      </x:c>
      <x:c r="D31" s="275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30</x:v>
      </x:c>
      <x:c r="C32" s="307">
        <x:v>70000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136500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C33:D33"/>
    <x:mergeCell ref="A23:B23"/>
    <x:mergeCell ref="C23:G23"/>
    <x:mergeCell ref="A24:B24"/>
    <x:mergeCell ref="C24:D24"/>
    <x:mergeCell ref="E24:G24"/>
    <x:mergeCell ref="F32:G32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G8:G9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34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22</x:v>
      </x:c>
      <x:c r="G1" s="68" t="s">
        <x:v>63</x:v>
      </x:c>
      <x:c r="H1" s="52" t="s">
        <x:v>126</x:v>
      </x:c>
      <x:c r="I1" s="52">
        <x:f>F1-K1</x:f>
        <x:v>22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3236000</x:v>
      </x:c>
      <x:c r="D2" s="274"/>
      <x:c r="E2" s="277" t="s">
        <x:v>41</x:v>
      </x:c>
      <x:c r="F2" s="278"/>
      <x:c r="G2" s="266">
        <x:v>87900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2905500</x:v>
      </x:c>
      <x:c r="D4" s="261"/>
      <x:c r="E4" s="276" t="s">
        <x:v>149</x:v>
      </x:c>
      <x:c r="F4" s="276"/>
      <x:c r="G4" s="133">
        <x:f>INT(C4*0.0275)</x:f>
        <x:v>79901</x:v>
      </x:c>
      <x:c r="H4" s="54" t="s">
        <x:v>20</x:v>
      </x:c>
      <x:c r="I4" s="124">
        <x:v>925965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330500</x:v>
      </x:c>
      <x:c r="D5" s="261"/>
      <x:c r="E5" s="260" t="s">
        <x:v>73</x:v>
      </x:c>
      <x:c r="F5" s="260"/>
      <x:c r="G5" s="133">
        <x:f>INT(C5*0.01)</x:f>
        <x:v>3305</x:v>
      </x:c>
      <x:c r="H5" s="54" t="s">
        <x:v>6</x:v>
      </x:c>
      <x:c r="I5" s="124">
        <x:v>51456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250000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168400</x:v>
      </x:c>
      <x:c r="D8" s="261"/>
      <x:c r="E8" s="287" t="s">
        <x:v>113</x:v>
      </x:c>
      <x:c r="F8" s="288"/>
      <x:c r="G8" s="293">
        <x:f>C5+G2-G6-C22</x:f>
        <x:v>168400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8</x:v>
      </x:c>
      <x:c r="D12" s="287" t="s">
        <x:v>136</x:v>
      </x:c>
      <x:c r="E12" s="288"/>
      <x:c r="F12" s="291">
        <x:v>1</x:v>
      </x:c>
      <x:c r="G12" s="292"/>
      <x:c r="H12" s="54" t="s">
        <x:v>105</x:v>
      </x:c>
      <x:c r="I12" s="58">
        <x:v>53400</x:v>
      </x:c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SUM('1:22'!$C$12)</x:f>
        <x:v>219</x:v>
      </x:c>
      <x:c r="D13" s="279"/>
      <x:c r="E13" s="280"/>
      <x:c r="F13" s="289">
        <x:f>SUM('1:22'!$F$12)</x:f>
        <x:v>59</x:v>
      </x:c>
      <x:c r="G13" s="290"/>
      <x:c r="H13" s="54" t="s">
        <x:v>129</x:v>
      </x:c>
      <x:c r="I13" s="58">
        <x:v>240000</x:v>
      </x:c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20</x:v>
      </x:c>
      <x:c r="D14" s="287" t="s">
        <x:v>98</x:v>
      </x:c>
      <x:c r="E14" s="288"/>
      <x:c r="F14" s="291">
        <x:v>8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SUM('1:22'!$C$14)</x:f>
        <x:v>250</x:v>
      </x:c>
      <x:c r="D15" s="279"/>
      <x:c r="E15" s="280"/>
      <x:c r="F15" s="289">
        <x:f>SUM('1:22'!$F$14)</x:f>
        <x:v>279</x:v>
      </x:c>
      <x:c r="G15" s="290"/>
      <x:c r="H15" s="54" t="s">
        <x:v>109</x:v>
      </x:c>
      <x:c r="I15" s="58">
        <x:v>184700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4</x:v>
      </x:c>
      <x:c r="D16" s="287" t="s">
        <x:v>120</x:v>
      </x:c>
      <x:c r="E16" s="288"/>
      <x:c r="F16" s="285">
        <x:v>3</x:v>
      </x:c>
      <x:c r="G16" s="285"/>
      <x:c r="H16" s="54"/>
      <x:c r="I16" s="58"/>
      <x:c r="J16" s="54" t="s">
        <x:v>100</x:v>
      </x:c>
      <x:c r="K16" s="58">
        <x:v>92317</x:v>
      </x:c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SUM('1:22'!$C$16)</x:f>
        <x:v>99</x:v>
      </x:c>
      <x:c r="D17" s="279"/>
      <x:c r="E17" s="280"/>
      <x:c r="F17" s="286">
        <x:f>SUM('1:22'!$F$16)</x:f>
        <x:v>295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</x:v>
      </x:c>
      <x:c r="D18" s="287" t="s">
        <x:v>133</x:v>
      </x:c>
      <x:c r="E18" s="288"/>
      <x:c r="F18" s="295">
        <x:v>3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SUM('1:22'!$C$18)</x:f>
        <x:v>469</x:v>
      </x:c>
      <x:c r="D19" s="279"/>
      <x:c r="E19" s="280"/>
      <x:c r="F19" s="286">
        <x:f>SUM('1:22'!$F$18)</x:f>
        <x:v>96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49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SUM('1:22'!$F$20)</x:f>
        <x:v>1213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1455521</x:v>
      </x:c>
      <x:c r="J23" s="61" t="s">
        <x:v>122</x:v>
      </x:c>
      <x:c r="K23" s="62">
        <x:f>SUM(K4:K22)</x:f>
        <x:v>106511</x:v>
      </x:c>
      <x:c r="M23" s="88" t="s">
        <x:v>96</x:v>
      </x:c>
      <x:c r="N23" s="282">
        <x:f>C5+C6</x:f>
        <x:v>330500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0.44979017305315205</x:v>
      </x:c>
      <x:c r="J24" s="61" t="s">
        <x:v>8</x:v>
      </x:c>
      <x:c r="K24" s="63">
        <x:f>K23/A25</x:f>
        <x:v>0.032914400494437578</x:v>
      </x:c>
    </x:row>
    <x:row r="25" spans="1:11" ht="34.149999999999999" customHeight="1">
      <x:c r="A25" s="311">
        <x:f>C2</x:f>
        <x:v>3236000</x:v>
      </x:c>
      <x:c r="B25" s="275"/>
      <x:c r="C25" s="275">
        <x:f>E25/I1</x:f>
        <x:v>4316272.7272727275</x:v>
      </x:c>
      <x:c r="D25" s="275"/>
      <x:c r="E25" s="275">
        <x:f>SUM('1:22'!$A$25)</x:f>
        <x:v>94958000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SUM('1:22'!$K$21)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0.023852303123486174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58500</x:v>
      </x:c>
      <x:c r="G27" s="261"/>
      <x:c r="H27" s="111" t="s">
        <x:v>121</x:v>
      </x:c>
      <x:c r="I27" s="112">
        <x:f>SUM(C27:D34,F27:G32)</x:f>
        <x:v>736629.0322580646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0.22763567127875914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SUM('1:22'!$I$25)</x:f>
        <x:v>49829274</x:v>
      </x:c>
      <x:c r="M29" s="66"/>
    </x:row>
    <x:row r="30" spans="1:13" ht="30.949999999999999" customHeight="1">
      <x:c r="A30" s="318"/>
      <x:c r="B30" s="55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67.645004225876363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30</x:v>
      </x:c>
      <x:c r="C32" s="307">
        <x:v>42000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F27:G27"/>
    <x:mergeCell ref="C27:D27"/>
    <x:mergeCell ref="C29:D29"/>
    <x:mergeCell ref="F29:G29"/>
    <x:mergeCell ref="C30:D30"/>
    <x:mergeCell ref="A24:B24"/>
    <x:mergeCell ref="C24:D24"/>
    <x:mergeCell ref="E24:G24"/>
    <x:mergeCell ref="A22:B22"/>
    <x:mergeCell ref="C22:G22"/>
    <x:mergeCell ref="B16:B17"/>
    <x:mergeCell ref="F15:G15"/>
    <x:mergeCell ref="A23:B23"/>
    <x:mergeCell ref="C23:G23"/>
    <x:mergeCell ref="F16:G16"/>
    <x:mergeCell ref="F17:G17"/>
    <x:mergeCell ref="A6:B7"/>
    <x:mergeCell ref="A11:B11"/>
    <x:mergeCell ref="C11:G11"/>
    <x:mergeCell ref="B14:B15"/>
    <x:mergeCell ref="F12:G12"/>
    <x:mergeCell ref="A10:B10"/>
    <x:mergeCell ref="C10:D10"/>
    <x:mergeCell ref="E10:F10"/>
    <x:mergeCell ref="A8:B9"/>
    <x:mergeCell ref="C8:D9"/>
    <x:mergeCell ref="F14:G14"/>
    <x:mergeCell ref="C6:D7"/>
    <x:mergeCell ref="E6:F7"/>
    <x:mergeCell ref="E8:F9"/>
    <x:mergeCell ref="A5:B5"/>
    <x:mergeCell ref="C5:D5"/>
    <x:mergeCell ref="E5:F5"/>
    <x:mergeCell ref="E2:F3"/>
    <x:mergeCell ref="G2:G3"/>
    <x:mergeCell ref="A4:B4"/>
    <x:mergeCell ref="C4:D4"/>
    <x:mergeCell ref="E4:F4"/>
    <x:mergeCell ref="A2:B3"/>
    <x:mergeCell ref="C2:D3"/>
    <x:mergeCell ref="N23:O23"/>
    <x:mergeCell ref="G6:G7"/>
    <x:mergeCell ref="G8:G9"/>
    <x:mergeCell ref="C26:D26"/>
    <x:mergeCell ref="E26:G26"/>
    <x:mergeCell ref="F13:G13"/>
    <x:mergeCell ref="F18:G18"/>
    <x:mergeCell ref="F19:G19"/>
    <x:mergeCell ref="J2:K2"/>
    <x:mergeCell ref="H2:I2"/>
    <x:mergeCell ref="A27:A34"/>
    <x:mergeCell ref="C32:D32"/>
    <x:mergeCell ref="C33:D33"/>
    <x:mergeCell ref="C34:D34"/>
    <x:mergeCell ref="C31:D31"/>
    <x:mergeCell ref="F31:G31"/>
    <x:mergeCell ref="D20:E20"/>
    <x:mergeCell ref="F20:G20"/>
    <x:mergeCell ref="D21:E21"/>
    <x:mergeCell ref="F21:G21"/>
    <x:mergeCell ref="C28:D28"/>
    <x:mergeCell ref="F28:G28"/>
    <x:mergeCell ref="F30:G30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O34"/>
  <x:sheetViews>
    <x:sheetView topLeftCell="A12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" width="8.625" style="53"/>
    <x:col min="17" max="17" width="8.625" style="53" bestFit="1" customWidth="1"/>
    <x:col min="18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23</x:v>
      </x:c>
      <x:c r="G1" s="68" t="s">
        <x:v>27</x:v>
      </x:c>
      <x:c r="H1" s="52" t="s">
        <x:v>126</x:v>
      </x:c>
      <x:c r="I1" s="52">
        <x:f>F1-K1</x:f>
        <x:v>23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3172500</x:v>
      </x:c>
      <x:c r="D2" s="274"/>
      <x:c r="E2" s="277" t="s">
        <x:v>41</x:v>
      </x:c>
      <x:c r="F2" s="278"/>
      <x:c r="G2" s="266">
        <x:v>168400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2356500</x:v>
      </x:c>
      <x:c r="D4" s="261"/>
      <x:c r="E4" s="276" t="s">
        <x:v>149</x:v>
      </x:c>
      <x:c r="F4" s="276"/>
      <x:c r="G4" s="133">
        <x:f>INT(C4*0.0275)</x:f>
        <x:v>64803</x:v>
      </x:c>
      <x:c r="H4" s="54" t="s">
        <x:v>20</x:v>
      </x:c>
      <x:c r="I4" s="124">
        <x:v>1271140</x:v>
      </x:c>
      <x:c r="J4" s="80" t="s">
        <x:v>37</x:v>
      </x:c>
      <x:c r="K4" s="58">
        <x:v>204000</x:v>
      </x:c>
    </x:row>
    <x:row r="5" spans="1:11" ht="30.949999999999999" customHeight="1">
      <x:c r="A5" s="268" t="s">
        <x:v>62</x:v>
      </x:c>
      <x:c r="B5" s="269"/>
      <x:c r="C5" s="261">
        <x:v>816000</x:v>
      </x:c>
      <x:c r="D5" s="261"/>
      <x:c r="E5" s="260" t="s">
        <x:v>73</x:v>
      </x:c>
      <x:c r="F5" s="260"/>
      <x:c r="G5" s="133">
        <x:v>0</x:v>
      </x:c>
      <x:c r="H5" s="54" t="s">
        <x:v>6</x:v>
      </x:c>
      <x:c r="I5" s="124">
        <x:v>253295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775000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398750</x:v>
      </x:c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209400</x:v>
      </x:c>
      <x:c r="D8" s="261"/>
      <x:c r="E8" s="287" t="s">
        <x:v>113</x:v>
      </x:c>
      <x:c r="F8" s="288"/>
      <x:c r="G8" s="293">
        <x:f>C5+G2-G6-C22</x:f>
        <x:v>209400</x:v>
      </x:c>
      <x:c r="H8" s="54" t="s">
        <x:v>46</x:v>
      </x:c>
      <x:c r="I8" s="124">
        <x:v>60000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6</x:v>
      </x:c>
      <x:c r="D12" s="287" t="s">
        <x:v>136</x:v>
      </x:c>
      <x:c r="E12" s="288"/>
      <x:c r="F12" s="291">
        <x:v>4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SUM('1:23'!$C$12)</x:f>
        <x:v>225</x:v>
      </x:c>
      <x:c r="D13" s="279"/>
      <x:c r="E13" s="280"/>
      <x:c r="F13" s="289">
        <x:f>SUM('1:23'!$F$12)</x:f>
        <x:v>63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20</x:v>
      </x:c>
      <x:c r="D14" s="287" t="s">
        <x:v>98</x:v>
      </x:c>
      <x:c r="E14" s="288"/>
      <x:c r="F14" s="291">
        <x:v>5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SUM('1:23'!$C$14)</x:f>
        <x:v>270</x:v>
      </x:c>
      <x:c r="D15" s="279"/>
      <x:c r="E15" s="280"/>
      <x:c r="F15" s="289">
        <x:f>SUM('1:23'!$F$14)</x:f>
        <x:v>284</x:v>
      </x:c>
      <x:c r="G15" s="290"/>
      <x:c r="H15" s="54" t="s">
        <x:v>109</x:v>
      </x:c>
      <x:c r="I15" s="58">
        <x:v>63750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4</x:v>
      </x:c>
      <x:c r="D16" s="287" t="s">
        <x:v>120</x:v>
      </x:c>
      <x:c r="E16" s="288"/>
      <x:c r="F16" s="285">
        <x:v>5</x:v>
      </x:c>
      <x:c r="G16" s="285"/>
      <x:c r="H16" s="54"/>
      <x:c r="I16" s="58"/>
      <x:c r="J16" s="54" t="s">
        <x:v>100</x:v>
      </x:c>
      <x:c r="K16" s="58">
        <x:v>25600</x:v>
      </x:c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SUM('1:23'!$C$16)</x:f>
        <x:v>103</x:v>
      </x:c>
      <x:c r="D17" s="279"/>
      <x:c r="E17" s="280"/>
      <x:c r="F17" s="286">
        <x:f>SUM('1:23'!$F$16)</x:f>
        <x:v>300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</x:v>
      </x:c>
      <x:c r="D18" s="287" t="s">
        <x:v>133</x:v>
      </x:c>
      <x:c r="E18" s="288"/>
      <x:c r="F18" s="295">
        <x:v>2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SUM('1:23'!$C$18)</x:f>
        <x:v>470</x:v>
      </x:c>
      <x:c r="D19" s="279"/>
      <x:c r="E19" s="280"/>
      <x:c r="F19" s="286">
        <x:f>SUM('1:23'!$F$18)</x:f>
        <x:v>98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46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SUM('1:23'!$F$20)</x:f>
        <x:v>1259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2046935</x:v>
      </x:c>
      <x:c r="J23" s="61" t="s">
        <x:v>122</x:v>
      </x:c>
      <x:c r="K23" s="62">
        <x:f>SUM(K4:K22)</x:f>
        <x:v>243794</x:v>
      </x:c>
      <x:c r="M23" s="88" t="s">
        <x:v>96</x:v>
      </x:c>
      <x:c r="N23" s="282">
        <x:f>C5+C6</x:f>
        <x:v>816000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0.64521197793538221</x:v>
      </x:c>
      <x:c r="J24" s="61" t="s">
        <x:v>8</x:v>
      </x:c>
      <x:c r="K24" s="63">
        <x:f>K23/A25</x:f>
        <x:v>0.076846020488573683</x:v>
      </x:c>
    </x:row>
    <x:row r="25" spans="1:11" ht="34.149999999999999" customHeight="1">
      <x:c r="A25" s="311">
        <x:f>C2</x:f>
        <x:v>3172500</x:v>
      </x:c>
      <x:c r="B25" s="275"/>
      <x:c r="C25" s="275">
        <x:f>E25/I1</x:f>
        <x:v>4266543.4782608692</x:v>
      </x:c>
      <x:c r="D25" s="275"/>
      <x:c r="E25" s="275">
        <x:f>SUM('1:23'!$A$25)</x:f>
        <x:v>98130500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SUM('1:23'!$K$21)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0.023081172520266379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52000</x:v>
      </x:c>
      <x:c r="G27" s="261"/>
      <x:c r="H27" s="111" t="s">
        <x:v>121</x:v>
      </x:c>
      <x:c r="I27" s="112">
        <x:f>SUM(C27:D34,F27:G32)</x:f>
        <x:v>733629.0322580646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0.23124634586542619</x:v>
      </x:c>
      <x:c r="M28" s="66" t="s">
        <x:v>64</x:v>
      </x:c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SUM('1:23'!$I$25)</x:f>
        <x:v>52094241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71.008968714960972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30</x:v>
      </x:c>
      <x:c r="C32" s="307"/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45500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O34"/>
  <x:sheetViews>
    <x:sheetView topLeftCell="A22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24</x:v>
      </x:c>
      <x:c r="G1" s="68" t="s">
        <x:v>51</x:v>
      </x:c>
      <x:c r="H1" s="52" t="s">
        <x:v>126</x:v>
      </x:c>
      <x:c r="I1" s="52">
        <x:f>F1-K1</x:f>
        <x:v>24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3759000</x:v>
      </x:c>
      <x:c r="D2" s="274"/>
      <x:c r="E2" s="277" t="s">
        <x:v>41</x:v>
      </x:c>
      <x:c r="F2" s="278"/>
      <x:c r="G2" s="266">
        <x:v>209400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362" t="s">
        <x:v>22</x:v>
      </x:c>
      <x:c r="B4" s="269"/>
      <x:c r="C4" s="261">
        <x:v>3520000</x:v>
      </x:c>
      <x:c r="D4" s="261"/>
      <x:c r="E4" s="276" t="s">
        <x:v>149</x:v>
      </x:c>
      <x:c r="F4" s="276"/>
      <x:c r="G4" s="133">
        <x:f>INT(C4*0.0275)</x:f>
        <x:v>96800</x:v>
      </x:c>
      <x:c r="H4" s="54" t="s">
        <x:v>20</x:v>
      </x:c>
      <x:c r="I4" s="124">
        <x:v>580378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239000</x:v>
      </x:c>
      <x:c r="D5" s="261"/>
      <x:c r="E5" s="260" t="s">
        <x:v>73</x:v>
      </x:c>
      <x:c r="F5" s="260"/>
      <x:c r="G5" s="133">
        <x:f>INT(C5*0.01)</x:f>
        <x:v>2390</x:v>
      </x:c>
      <x:c r="H5" s="54" t="s">
        <x:v>6</x:v>
      </x:c>
      <x:c r="I5" s="124">
        <x:v>322812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380000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161000</x:v>
      </x:c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69500</x:v>
      </x:c>
      <x:c r="D8" s="261"/>
      <x:c r="E8" s="287" t="s">
        <x:v>113</x:v>
      </x:c>
      <x:c r="F8" s="288"/>
      <x:c r="G8" s="293">
        <x:f>C5+G2-G6-C22</x:f>
        <x:v>68400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9</x:v>
      </x:c>
      <x:c r="D12" s="287" t="s">
        <x:v>136</x:v>
      </x:c>
      <x:c r="E12" s="288"/>
      <x:c r="F12" s="291">
        <x:v>3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SUM('1:24'!$C$12)</x:f>
        <x:v>234</x:v>
      </x:c>
      <x:c r="D13" s="279"/>
      <x:c r="E13" s="280"/>
      <x:c r="F13" s="289">
        <x:f>SUM('1:24'!$F$12)</x:f>
        <x:v>66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23</x:v>
      </x:c>
      <x:c r="D14" s="287" t="s">
        <x:v>98</x:v>
      </x:c>
      <x:c r="E14" s="288"/>
      <x:c r="F14" s="291">
        <x:v>4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SUM('1:24'!$C$14)</x:f>
        <x:v>293</x:v>
      </x:c>
      <x:c r="D15" s="279"/>
      <x:c r="E15" s="280"/>
      <x:c r="F15" s="289">
        <x:f>SUM('1:24'!$F$14)</x:f>
        <x:v>288</x:v>
      </x:c>
      <x:c r="G15" s="290"/>
      <x:c r="H15" s="54" t="s">
        <x:v>109</x:v>
      </x:c>
      <x:c r="I15" s="58">
        <x:v>99700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3</x:v>
      </x:c>
      <x:c r="D16" s="287" t="s">
        <x:v>120</x:v>
      </x:c>
      <x:c r="E16" s="288"/>
      <x:c r="F16" s="285">
        <x:v>7</x:v>
      </x:c>
      <x:c r="G16" s="285"/>
      <x:c r="H16" s="54"/>
      <x:c r="I16" s="58"/>
      <x:c r="J16" s="54" t="s">
        <x:v>100</x:v>
      </x:c>
      <x:c r="K16" s="58">
        <x:v>152476</x:v>
      </x:c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SUM('1:24'!$C$16)</x:f>
        <x:v>106</x:v>
      </x:c>
      <x:c r="D17" s="279"/>
      <x:c r="E17" s="280"/>
      <x:c r="F17" s="286">
        <x:f>SUM('1:24'!$F$16)</x:f>
        <x:v>307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6</x:v>
      </x:c>
      <x:c r="D18" s="287" t="s">
        <x:v>133</x:v>
      </x:c>
      <x:c r="E18" s="288"/>
      <x:c r="F18" s="295">
        <x:v>1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SUM('1:24'!$C$18)</x:f>
        <x:v>476</x:v>
      </x:c>
      <x:c r="D19" s="279"/>
      <x:c r="E19" s="280"/>
      <x:c r="F19" s="286">
        <x:f>SUM('1:24'!$F$18)</x:f>
        <x:v>99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57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SUM('1:24'!$F$20)</x:f>
        <x:v>1316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1163890</x:v>
      </x:c>
      <x:c r="J23" s="61" t="s">
        <x:v>122</x:v>
      </x:c>
      <x:c r="K23" s="62">
        <x:f>SUM(K4:K22)</x:f>
        <x:v>166670</x:v>
      </x:c>
      <x:c r="M23" s="88" t="s">
        <x:v>96</x:v>
      </x:c>
      <x:c r="N23" s="282">
        <x:f>C5+C6</x:f>
        <x:v>239000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0.30962756052141527</x:v>
      </x:c>
      <x:c r="J24" s="61" t="s">
        <x:v>8</x:v>
      </x:c>
      <x:c r="K24" s="63">
        <x:f>K23/A25</x:f>
        <x:v>0.044338919925512102</x:v>
      </x:c>
    </x:row>
    <x:row r="25" spans="1:11" ht="34.149999999999999" customHeight="1">
      <x:c r="A25" s="311">
        <x:f>C2</x:f>
        <x:v>3759000</x:v>
      </x:c>
      <x:c r="B25" s="275"/>
      <x:c r="C25" s="275">
        <x:f>E25/I1</x:f>
        <x:v>4245395.833333333</x:v>
      </x:c>
      <x:c r="D25" s="275"/>
      <x:c r="E25" s="275">
        <x:f>SUM('1:24'!$A$25)</x:f>
        <x:v>101889500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SUM('1:24'!$K$21)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0.022229640934541831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46800</x:v>
      </x:c>
      <x:c r="G27" s="261"/>
      <x:c r="H27" s="111" t="s">
        <x:v>121</x:v>
      </x:c>
      <x:c r="I27" s="112">
        <x:f>SUM(C27:D34,F27:G32)</x:f>
        <x:v>682929.0322580646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0.18167838048897703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SUM('1:24'!$I$25)</x:f>
        <x:v>54359208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79.597154949269736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30</x:v>
      </x:c>
      <x:c r="C32" s="307"/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1:G31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2:G32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O34"/>
  <x:sheetViews>
    <x:sheetView tabSelected="1" topLeftCell="A19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25</x:v>
      </x:c>
      <x:c r="G1" s="68" t="s">
        <x:v>29</x:v>
      </x:c>
      <x:c r="H1" s="52" t="s">
        <x:v>126</x:v>
      </x:c>
      <x:c r="I1" s="52">
        <x:f>F1-K1</x:f>
        <x:v>25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4669500</x:v>
      </x:c>
      <x:c r="D2" s="274"/>
      <x:c r="E2" s="277" t="s">
        <x:v>41</x:v>
      </x:c>
      <x:c r="F2" s="278"/>
      <x:c r="G2" s="266">
        <x:v>69500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4175000</x:v>
      </x:c>
      <x:c r="D4" s="261"/>
      <x:c r="E4" s="276" t="s">
        <x:v>149</x:v>
      </x:c>
      <x:c r="F4" s="276"/>
      <x:c r="G4" s="133">
        <x:f>INT(C4*0.0275)</x:f>
        <x:v>114812</x:v>
      </x:c>
      <x:c r="H4" s="54" t="s">
        <x:v>20</x:v>
      </x:c>
      <x:c r="I4" s="124">
        <x:v>851701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494500</x:v>
      </x:c>
      <x:c r="D5" s="261"/>
      <x:c r="E5" s="260" t="s">
        <x:v>73</x:v>
      </x:c>
      <x:c r="F5" s="260"/>
      <x:c r="G5" s="133">
        <x:f>INT(C5*0.01)</x:f>
        <x:v>4945</x:v>
      </x:c>
      <x:c r="H5" s="54" t="s">
        <x:v>6</x:v>
      </x:c>
      <x:c r="I5" s="124">
        <x:v>349192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490000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303590</x:v>
      </x:c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74500</x:v>
      </x:c>
      <x:c r="D8" s="261"/>
      <x:c r="E8" s="287" t="s">
        <x:v>113</x:v>
      </x:c>
      <x:c r="F8" s="288"/>
      <x:c r="G8" s="293">
        <x:f>C5+G2-G6-C22</x:f>
        <x:v>74000</x:v>
      </x:c>
      <x:c r="H8" s="54" t="s">
        <x:v>46</x:v>
      </x:c>
      <x:c r="I8" s="124">
        <x:v>60000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>
        <x:v>88000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11</x:v>
      </x:c>
      <x:c r="D12" s="287" t="s">
        <x:v>136</x:v>
      </x:c>
      <x:c r="E12" s="288"/>
      <x:c r="F12" s="291">
        <x:v>6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SUM('1:25'!$C$12)</x:f>
        <x:v>245</x:v>
      </x:c>
      <x:c r="D13" s="279"/>
      <x:c r="E13" s="280"/>
      <x:c r="F13" s="289">
        <x:f>SUM('1:25'!$F$12)</x:f>
        <x:v>72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18</x:v>
      </x:c>
      <x:c r="D14" s="287" t="s">
        <x:v>98</x:v>
      </x:c>
      <x:c r="E14" s="288"/>
      <x:c r="F14" s="291">
        <x:v>10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SUM('1:25'!$C$14)</x:f>
        <x:v>311</x:v>
      </x:c>
      <x:c r="D15" s="279"/>
      <x:c r="E15" s="280"/>
      <x:c r="F15" s="289">
        <x:f>SUM('1:25'!$F$14)</x:f>
        <x:v>298</x:v>
      </x:c>
      <x:c r="G15" s="290"/>
      <x:c r="H15" s="54" t="s">
        <x:v>109</x:v>
      </x:c>
      <x:c r="I15" s="58">
        <x:v>73600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0</x:v>
      </x:c>
      <x:c r="D16" s="287" t="s">
        <x:v>120</x:v>
      </x:c>
      <x:c r="E16" s="288"/>
      <x:c r="F16" s="285">
        <x:v>8</x:v>
      </x:c>
      <x:c r="G16" s="285"/>
      <x:c r="H16" s="54"/>
      <x:c r="I16" s="58"/>
      <x:c r="J16" s="54" t="s">
        <x:v>100</x:v>
      </x:c>
      <x:c r="K16" s="58">
        <x:v>640362</x:v>
      </x:c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SUM('1:25'!$C$16)</x:f>
        <x:v>106</x:v>
      </x:c>
      <x:c r="D17" s="279"/>
      <x:c r="E17" s="280"/>
      <x:c r="F17" s="286">
        <x:f>SUM('1:25'!$F$16)</x:f>
        <x:v>315</x:v>
      </x:c>
      <x:c r="G17" s="286"/>
      <x:c r="H17" s="54" t="s">
        <x:v>7</x:v>
      </x:c>
      <x:c r="I17" s="58">
        <x:v>4800</x:v>
      </x:c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12</x:v>
      </x:c>
      <x:c r="D18" s="287" t="s">
        <x:v>133</x:v>
      </x:c>
      <x:c r="E18" s="288"/>
      <x:c r="F18" s="295">
        <x:v>5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SUM('1:25'!$C$18)</x:f>
        <x:v>488</x:v>
      </x:c>
      <x:c r="D19" s="279"/>
      <x:c r="E19" s="280"/>
      <x:c r="F19" s="286">
        <x:f>SUM('1:25'!$F$18)</x:f>
        <x:v>104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66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SUM('1:25'!$F$20)</x:f>
        <x:v>1382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1642883</x:v>
      </x:c>
      <x:c r="J23" s="61" t="s">
        <x:v>122</x:v>
      </x:c>
      <x:c r="K23" s="62">
        <x:f>SUM(K4:K22)</x:f>
        <x:v>654556</x:v>
      </x:c>
      <x:c r="M23" s="88" t="s">
        <x:v>96</x:v>
      </x:c>
      <x:c r="N23" s="282">
        <x:f>C5+C6</x:f>
        <x:v>494500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0.35183274440518258</x:v>
      </x:c>
      <x:c r="J24" s="61" t="s">
        <x:v>8</x:v>
      </x:c>
      <x:c r="K24" s="63">
        <x:f>K23/A25</x:f>
        <x:v>0.14017689260092087</x:v>
      </x:c>
    </x:row>
    <x:row r="25" spans="1:11" ht="34.149999999999999" customHeight="1">
      <x:c r="A25" s="311">
        <x:f>C2</x:f>
        <x:v>4669500</x:v>
      </x:c>
      <x:c r="B25" s="275"/>
      <x:c r="C25" s="275">
        <x:f>E25/I1</x:f>
        <x:v>4262360</x:v>
      </x:c>
      <x:c r="D25" s="275"/>
      <x:c r="E25" s="275">
        <x:f>SUM('1:25'!$A$25)</x:f>
        <x:v>106559000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SUM('1:25'!$K$21)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0.021255520415919819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46800</x:v>
      </x:c>
      <x:c r="G27" s="261"/>
      <x:c r="H27" s="111" t="s">
        <x:v>121</x:v>
      </x:c>
      <x:c r="I27" s="112">
        <x:f>SUM(C27:D34,F27:G32)</x:f>
        <x:v>746929.0322580646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0.1599591031712313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SUM('1:25'!$I$25)</x:f>
        <x:v>56624175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75.809310596506975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30</x:v>
      </x:c>
      <x:c r="C32" s="307"/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52000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O34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1.75" style="53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26</x:v>
      </x:c>
      <x:c r="G1" s="68" t="s">
        <x:v>18</x:v>
      </x:c>
      <x:c r="H1" s="52" t="s">
        <x:v>126</x:v>
      </x:c>
      <x:c r="I1" s="52">
        <x:f>F1-K1</x:f>
        <x:v>26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4853500</x:v>
      </x:c>
      <x:c r="D2" s="274"/>
      <x:c r="E2" s="277" t="s">
        <x:v>41</x:v>
      </x:c>
      <x:c r="F2" s="278"/>
      <x:c r="G2" s="266">
        <x:v>74500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3734500</x:v>
      </x:c>
      <x:c r="D4" s="261"/>
      <x:c r="E4" s="276" t="s">
        <x:v>149</x:v>
      </x:c>
      <x:c r="F4" s="276"/>
      <x:c r="G4" s="133">
        <x:f>INT(C4*0.0275)</x:f>
        <x:v>102698</x:v>
      </x:c>
      <x:c r="H4" s="54" t="s">
        <x:v>20</x:v>
      </x:c>
      <x:c r="I4" s="124">
        <x:v>942950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1119000</x:v>
      </x:c>
      <x:c r="D5" s="261"/>
      <x:c r="E5" s="260" t="s">
        <x:v>73</x:v>
      </x:c>
      <x:c r="F5" s="260"/>
      <x:c r="G5" s="133">
        <x:f>INT(C5*0.01)</x:f>
        <x:v>11190</x:v>
      </x:c>
      <x:c r="H5" s="54" t="s">
        <x:v>6</x:v>
      </x:c>
      <x:c r="I5" s="124">
        <x:v>337216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950000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244600</x:v>
      </x:c>
      <x:c r="D8" s="261"/>
      <x:c r="E8" s="287" t="s">
        <x:v>113</x:v>
      </x:c>
      <x:c r="F8" s="288"/>
      <x:c r="G8" s="293">
        <x:f>C5+G2-G6-C22</x:f>
        <x:v>243500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12</x:v>
      </x:c>
      <x:c r="D12" s="287" t="s">
        <x:v>136</x:v>
      </x:c>
      <x:c r="E12" s="288"/>
      <x:c r="F12" s="291">
        <x:v>6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SUM('1:26'!$C$12)</x:f>
        <x:v>257</x:v>
      </x:c>
      <x:c r="D13" s="279"/>
      <x:c r="E13" s="280"/>
      <x:c r="F13" s="289">
        <x:f>SUM('1:26'!$F$12)</x:f>
        <x:v>78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20</x:v>
      </x:c>
      <x:c r="D14" s="287" t="s">
        <x:v>98</x:v>
      </x:c>
      <x:c r="E14" s="288"/>
      <x:c r="F14" s="291">
        <x:v>16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SUM('1:26'!$C$14)</x:f>
        <x:v>331</x:v>
      </x:c>
      <x:c r="D15" s="279"/>
      <x:c r="E15" s="280"/>
      <x:c r="F15" s="289">
        <x:f>SUM('1:26'!$F$14)</x:f>
        <x:v>314</x:v>
      </x:c>
      <x:c r="G15" s="290"/>
      <x:c r="H15" s="54" t="s">
        <x:v>109</x:v>
      </x:c>
      <x:c r="I15" s="58">
        <x:v>121050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3</x:v>
      </x:c>
      <x:c r="D16" s="287" t="s">
        <x:v>120</x:v>
      </x:c>
      <x:c r="E16" s="288"/>
      <x:c r="F16" s="285">
        <x:v>14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SUM('1:26'!$C$16)</x:f>
        <x:v>109</x:v>
      </x:c>
      <x:c r="D17" s="279"/>
      <x:c r="E17" s="280"/>
      <x:c r="F17" s="286">
        <x:f>SUM('1:26'!$F$16)</x:f>
        <x:v>329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15</x:v>
      </x:c>
      <x:c r="D18" s="287" t="s">
        <x:v>133</x:v>
      </x:c>
      <x:c r="E18" s="288"/>
      <x:c r="F18" s="295">
        <x:v>5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SUM('1:26'!$C$18)</x:f>
        <x:v>503</x:v>
      </x:c>
      <x:c r="D19" s="279"/>
      <x:c r="E19" s="280"/>
      <x:c r="F19" s="286">
        <x:f>SUM('1:26'!$F$18)</x:f>
        <x:v>109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59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SUM('1:26'!$F$20)</x:f>
        <x:v>1441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1401216</x:v>
      </x:c>
      <x:c r="J23" s="61" t="s">
        <x:v>122</x:v>
      </x:c>
      <x:c r="K23" s="62">
        <x:f>SUM(K4:K22)</x:f>
        <x:v>14194</x:v>
      </x:c>
      <x:c r="M23" s="88" t="s">
        <x:v>96</x:v>
      </x:c>
      <x:c r="N23" s="282">
        <x:f>C5+C6</x:f>
        <x:v>1119000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0.28870217368909035</x:v>
      </x:c>
      <x:c r="J24" s="61" t="s">
        <x:v>8</x:v>
      </x:c>
      <x:c r="K24" s="63">
        <x:f>K23/A25</x:f>
        <x:v>0.0029244874832595035</x:v>
      </x:c>
    </x:row>
    <x:row r="25" spans="1:11" ht="34.149999999999999" customHeight="1">
      <x:c r="A25" s="311">
        <x:f>C2</x:f>
        <x:v>4853500</x:v>
      </x:c>
      <x:c r="B25" s="275"/>
      <x:c r="C25" s="363">
        <x:f>E25/I1</x:f>
        <x:v>4285096.153846154</x:v>
      </x:c>
      <x:c r="D25" s="275"/>
      <x:c r="E25" s="275">
        <x:f>SUM('1:26'!$A$25)</x:f>
        <x:v>111412500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SUM('1:26'!$K$21)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0.020329559071019857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/>
      <x:c r="G27" s="261"/>
      <x:c r="H27" s="111" t="s">
        <x:v>121</x:v>
      </x:c>
      <x:c r="I27" s="112">
        <x:f>SUM(C27:D34,F27:G32)</x:f>
        <x:v>813129.0322580646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0.16753456933307193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SUM('1:26'!$I$25)</x:f>
        <x:v>58889142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72.422874677668901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142000</x:v>
      </x:c>
      <x:c r="G31" s="310"/>
    </x:row>
    <x:row r="32" spans="1:7" customHeight="1">
      <x:c r="A32" s="318"/>
      <x:c r="B32" s="54" t="s">
        <x:v>30</x:v>
      </x:c>
      <x:c r="C32" s="307">
        <x:v>77000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78000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O34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27</x:v>
      </x:c>
      <x:c r="G1" s="68" t="s">
        <x:v>19</x:v>
      </x:c>
      <x:c r="H1" s="52" t="s">
        <x:v>126</x:v>
      </x:c>
      <x:c r="I1" s="52">
        <x:f>F1-K1</x:f>
        <x:v>27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4484500</x:v>
      </x:c>
      <x:c r="D2" s="274"/>
      <x:c r="E2" s="277" t="s">
        <x:v>41</x:v>
      </x:c>
      <x:c r="F2" s="278"/>
      <x:c r="G2" s="266">
        <x:v>244600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3871500</x:v>
      </x:c>
      <x:c r="D4" s="261"/>
      <x:c r="E4" s="276" t="s">
        <x:v>149</x:v>
      </x:c>
      <x:c r="F4" s="276"/>
      <x:c r="G4" s="133">
        <x:f>INT(C4*0.0275)</x:f>
        <x:v>106466</x:v>
      </x:c>
      <x:c r="H4" s="54" t="s">
        <x:v>20</x:v>
      </x:c>
      <x:c r="I4" s="124"/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613000</x:v>
      </x:c>
      <x:c r="D5" s="261"/>
      <x:c r="E5" s="260" t="s">
        <x:v>73</x:v>
      </x:c>
      <x:c r="F5" s="260"/>
      <x:c r="G5" s="133">
        <x:f>INT(C5*0.01)</x:f>
        <x:v>6130</x:v>
      </x:c>
      <x:c r="H5" s="54" t="s">
        <x:v>6</x:v>
      </x:c>
      <x:c r="I5" s="124"/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750000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107600</x:v>
      </x:c>
      <x:c r="D8" s="261"/>
      <x:c r="E8" s="287" t="s">
        <x:v>113</x:v>
      </x:c>
      <x:c r="F8" s="288"/>
      <x:c r="G8" s="293">
        <x:f>C5+G2-G6-C22</x:f>
        <x:v>107600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>
        <x:v>14194</x:v>
      </x:c>
    </x:row>
    <x:row r="12" spans="1:13" ht="21.949999999999999" customHeight="1">
      <x:c r="A12" s="59" t="s">
        <x:v>49</x:v>
      </x:c>
      <x:c r="B12" s="297" t="s">
        <x:v>43</x:v>
      </x:c>
      <x:c r="C12" s="79">
        <x:v>9</x:v>
      </x:c>
      <x:c r="D12" s="287" t="s">
        <x:v>136</x:v>
      </x:c>
      <x:c r="E12" s="288"/>
      <x:c r="F12" s="291">
        <x:v>7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SUM('1:27'!$C$12)</x:f>
        <x:v>266</x:v>
      </x:c>
      <x:c r="D13" s="279"/>
      <x:c r="E13" s="280"/>
      <x:c r="F13" s="289">
        <x:f>SUM('1:27'!$F$12)</x:f>
        <x:v>85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34</x:v>
      </x:c>
      <x:c r="D14" s="287" t="s">
        <x:v>98</x:v>
      </x:c>
      <x:c r="E14" s="288"/>
      <x:c r="F14" s="291">
        <x:v>5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SUM('1:27'!$C$14)</x:f>
        <x:v>365</x:v>
      </x:c>
      <x:c r="D15" s="279"/>
      <x:c r="E15" s="280"/>
      <x:c r="F15" s="289">
        <x:f>SUM('1:27'!$F$14)</x:f>
        <x:v>319</x:v>
      </x:c>
      <x:c r="G15" s="290"/>
      <x:c r="H15" s="54" t="s">
        <x:v>109</x:v>
      </x:c>
      <x:c r="I15" s="58"/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3</x:v>
      </x:c>
      <x:c r="D16" s="287" t="s">
        <x:v>120</x:v>
      </x:c>
      <x:c r="E16" s="288"/>
      <x:c r="F16" s="285">
        <x:v>18</x:v>
      </x:c>
      <x:c r="G16" s="285"/>
      <x:c r="H16" s="54"/>
      <x:c r="I16" s="58"/>
      <x:c r="J16" s="54" t="s">
        <x:v>100</x:v>
      </x:c>
      <x:c r="K16" s="58">
        <x:v>123000</x:v>
      </x:c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SUM('1:27'!$C$16)</x:f>
        <x:v>112</x:v>
      </x:c>
      <x:c r="D17" s="279"/>
      <x:c r="E17" s="280"/>
      <x:c r="F17" s="286">
        <x:f>SUM('1:27'!$F$16)</x:f>
        <x:v>347</x:v>
      </x:c>
      <x:c r="G17" s="286"/>
      <x:c r="H17" s="54" t="s">
        <x:v>7</x:v>
      </x:c>
      <x:c r="I17" s="58"/>
      <x:c r="J17" s="54" t="s">
        <x:v>93</x:v>
      </x:c>
      <x:c r="K17" s="58">
        <x:v>13200</x:v>
      </x:c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15</x:v>
      </x:c>
      <x:c r="D18" s="287" t="s">
        <x:v>133</x:v>
      </x:c>
      <x:c r="E18" s="288"/>
      <x:c r="F18" s="295">
        <x:v>2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SUM('1:27'!$C$18)</x:f>
        <x:v>518</x:v>
      </x:c>
      <x:c r="D19" s="279"/>
      <x:c r="E19" s="280"/>
      <x:c r="F19" s="286">
        <x:f>SUM('1:27'!$F$18)</x:f>
        <x:v>111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63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SUM('1:27'!$F$20)</x:f>
        <x:v>1504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0</x:v>
      </x:c>
      <x:c r="J23" s="61" t="s">
        <x:v>122</x:v>
      </x:c>
      <x:c r="K23" s="62">
        <x:f>SUM(K4:K22)</x:f>
        <x:v>150394</x:v>
      </x:c>
      <x:c r="M23" s="88" t="s">
        <x:v>96</x:v>
      </x:c>
      <x:c r="N23" s="282">
        <x:f>C5+C6</x:f>
        <x:v>613000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0.03353640316646226</x:v>
      </x:c>
    </x:row>
    <x:row r="25" spans="1:11" ht="34.149999999999999" customHeight="1">
      <x:c r="A25" s="311">
        <x:f>C2</x:f>
        <x:v>4484500</x:v>
      </x:c>
      <x:c r="B25" s="275"/>
      <x:c r="C25" s="275">
        <x:f>E25/I1</x:f>
        <x:v>4292481.4814814813</x:v>
      </x:c>
      <x:c r="D25" s="275"/>
      <x:c r="E25" s="275">
        <x:f>SUM('1:27'!$A$25)</x:f>
        <x:v>115897000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SUM('1:27'!$K$21)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0.019542930360578789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/>
      <x:c r="G27" s="261"/>
      <x:c r="H27" s="111" t="s">
        <x:v>121</x:v>
      </x:c>
      <x:c r="I27" s="112">
        <x:f>SUM(C27:D34,F27:G32)</x:f>
        <x:v>806129.0322580646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0.17975895467901987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SUM('1:27'!$I$25)</x:f>
        <x:v>61154109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75.861439735894351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142000</x:v>
      </x:c>
      <x:c r="G31" s="310"/>
    </x:row>
    <x:row r="32" spans="1:7" customHeight="1">
      <x:c r="A32" s="318"/>
      <x:c r="B32" s="54" t="s">
        <x:v>30</x:v>
      </x:c>
      <x:c r="C32" s="307">
        <x:v>70000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78000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O34"/>
  <x:sheetViews>
    <x:sheetView topLeftCell="A19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28</x:v>
      </x:c>
      <x:c r="G1" s="68" t="s">
        <x:v>50</x:v>
      </x:c>
      <x:c r="H1" s="52" t="s">
        <x:v>126</x:v>
      </x:c>
      <x:c r="I1" s="52">
        <x:f>F1-K1</x:f>
        <x:v>28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3158000</x:v>
      </x:c>
      <x:c r="D2" s="274"/>
      <x:c r="E2" s="277" t="s">
        <x:v>41</x:v>
      </x:c>
      <x:c r="F2" s="278"/>
      <x:c r="G2" s="266">
        <x:v>107600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3158000</x:v>
      </x:c>
      <x:c r="D4" s="261"/>
      <x:c r="E4" s="276" t="s">
        <x:v>149</x:v>
      </x:c>
      <x:c r="F4" s="276"/>
      <x:c r="G4" s="133">
        <x:f>INT(C4*0.0275)</x:f>
        <x:v>86845</x:v>
      </x:c>
      <x:c r="H4" s="54" t="s">
        <x:v>20</x:v>
      </x:c>
      <x:c r="I4" s="124">
        <x:v>1191490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/>
      <x:c r="D5" s="261"/>
      <x:c r="E5" s="260" t="s">
        <x:v>73</x:v>
      </x:c>
      <x:c r="F5" s="260"/>
      <x:c r="G5" s="133">
        <x:f>INT(C5*0.01)</x:f>
        <x:v>0</x:v>
      </x:c>
      <x:c r="H5" s="54" t="s">
        <x:v>6</x:v>
      </x:c>
      <x:c r="I5" s="124">
        <x:v>173930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520000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318420</x:v>
      </x:c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73600</x:v>
      </x:c>
      <x:c r="D8" s="261"/>
      <x:c r="E8" s="287" t="s">
        <x:v>113</x:v>
      </x:c>
      <x:c r="F8" s="288"/>
      <x:c r="G8" s="293">
        <x:f>C5+G2-G6-C22</x:f>
        <x:v>-412400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>
        <x:v>14300</x:v>
      </x:c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>
        <x:v>100000</x:v>
      </x:c>
      <x:c r="J11" s="54" t="s">
        <x:v>85</x:v>
      </x:c>
      <x:c r="K11" s="135"/>
    </x:row>
    <x:row r="12" spans="1:13" ht="21.949999999999999" customHeight="1">
      <x:c r="A12" s="59" t="s">
        <x:v>49</x:v>
      </x:c>
      <x:c r="B12" s="297" t="s">
        <x:v>43</x:v>
      </x:c>
      <x:c r="C12" s="79">
        <x:v>10</x:v>
      </x:c>
      <x:c r="D12" s="287" t="s">
        <x:v>136</x:v>
      </x:c>
      <x:c r="E12" s="288"/>
      <x:c r="F12" s="291">
        <x:v>0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SUM('1:28'!$C$12)</x:f>
        <x:v>276</x:v>
      </x:c>
      <x:c r="D13" s="279"/>
      <x:c r="E13" s="280"/>
      <x:c r="F13" s="289">
        <x:f>SUM('1:28'!$F$12)</x:f>
        <x:v>85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18</x:v>
      </x:c>
      <x:c r="D14" s="287" t="s">
        <x:v>98</x:v>
      </x:c>
      <x:c r="E14" s="288"/>
      <x:c r="F14" s="291">
        <x:v>14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SUM('1:28'!$C$14)</x:f>
        <x:v>383</x:v>
      </x:c>
      <x:c r="D15" s="279"/>
      <x:c r="E15" s="280"/>
      <x:c r="F15" s="289">
        <x:f>SUM('1:28'!$F$14)</x:f>
        <x:v>333</x:v>
      </x:c>
      <x:c r="G15" s="290"/>
      <x:c r="H15" s="54" t="s">
        <x:v>109</x:v>
      </x:c>
      <x:c r="I15" s="58">
        <x:v>215100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5</x:v>
      </x:c>
      <x:c r="D16" s="287" t="s">
        <x:v>120</x:v>
      </x:c>
      <x:c r="E16" s="288"/>
      <x:c r="F16" s="285">
        <x:v>10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SUM('1:28'!$C$16)</x:f>
        <x:v>117</x:v>
      </x:c>
      <x:c r="D17" s="279"/>
      <x:c r="E17" s="280"/>
      <x:c r="F17" s="286">
        <x:f>SUM('1:28'!$F$16)</x:f>
        <x:v>357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6</x:v>
      </x:c>
      <x:c r="D18" s="287" t="s">
        <x:v>133</x:v>
      </x:c>
      <x:c r="E18" s="288"/>
      <x:c r="F18" s="295">
        <x:v>9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SUM('1:28'!$C$18)</x:f>
        <x:v>524</x:v>
      </x:c>
      <x:c r="D19" s="279"/>
      <x:c r="E19" s="280"/>
      <x:c r="F19" s="286">
        <x:f>SUM('1:28'!$F$18)</x:f>
        <x:v>120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55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SUM('1:28'!$F$20)</x:f>
        <x:v>1559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1998940</x:v>
      </x:c>
      <x:c r="J23" s="61" t="s">
        <x:v>122</x:v>
      </x:c>
      <x:c r="K23" s="62">
        <x:f>SUM(K4:K22)</x:f>
        <x:v>14300</x:v>
      </x:c>
      <x:c r="M23" s="88" t="s">
        <x:v>96</x:v>
      </x:c>
      <x:c r="N23" s="282">
        <x:f>C5+C6</x:f>
        <x:v>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0.63297656744775177</x:v>
      </x:c>
      <x:c r="J24" s="61" t="s">
        <x:v>8</x:v>
      </x:c>
      <x:c r="K24" s="63">
        <x:f>K23/A25</x:f>
        <x:v>0.0045281823939202024</x:v>
      </x:c>
    </x:row>
    <x:row r="25" spans="1:11" ht="34.149999999999999" customHeight="1">
      <x:c r="A25" s="311">
        <x:f>C2</x:f>
        <x:v>3158000</x:v>
      </x:c>
      <x:c r="B25" s="275"/>
      <x:c r="C25" s="275">
        <x:f>E25/I1</x:f>
        <x:v>4251964.2857142854</x:v>
      </x:c>
      <x:c r="D25" s="275"/>
      <x:c r="E25" s="275">
        <x:f>SUM('1:28'!$A$25)</x:f>
        <x:v>119055000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SUM('1:28'!$K$21)</x:f>
        <x:v>0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0.019024543278316746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52650</x:v>
      </x:c>
      <x:c r="G27" s="261"/>
      <x:c r="H27" s="111" t="s">
        <x:v>121</x:v>
      </x:c>
      <x:c r="I27" s="112">
        <x:f>SUM(C27:D34,F27:G32)</x:f>
        <x:v>824279.0322580646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0.26101299311528325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SUM('1:28'!$I$25)</x:f>
        <x:v>63419076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76.938844151193706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30</x:v>
      </x:c>
      <x:c r="C32" s="307"/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123500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A1:O34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29</x:v>
      </x:c>
      <x:c r="G1" s="68" t="s">
        <x:v>63</x:v>
      </x:c>
      <x:c r="H1" s="52" t="s">
        <x:v>126</x:v>
      </x:c>
      <x:c r="I1" s="52">
        <x:f>F1-K1</x:f>
        <x:v>29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3430000</x:v>
      </x:c>
      <x:c r="D2" s="274"/>
      <x:c r="E2" s="277" t="s">
        <x:v>41</x:v>
      </x:c>
      <x:c r="F2" s="278"/>
      <x:c r="G2" s="266">
        <x:v>73600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3103000</x:v>
      </x:c>
      <x:c r="D4" s="261"/>
      <x:c r="E4" s="276" t="s">
        <x:v>149</x:v>
      </x:c>
      <x:c r="F4" s="276"/>
      <x:c r="G4" s="133">
        <x:f>INT(C4*0.0275)</x:f>
        <x:v>85332</x:v>
      </x:c>
      <x:c r="H4" s="54" t="s">
        <x:v>20</x:v>
      </x:c>
      <x:c r="I4" s="124">
        <x:v>953575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327000</x:v>
      </x:c>
      <x:c r="D5" s="261"/>
      <x:c r="E5" s="260" t="s">
        <x:v>73</x:v>
      </x:c>
      <x:c r="F5" s="260"/>
      <x:c r="G5" s="133">
        <x:f>INT(C5*0.01)</x:f>
        <x:v>3270</x:v>
      </x:c>
      <x:c r="H5" s="54" t="s">
        <x:v>6</x:v>
      </x:c>
      <x:c r="I5" s="124">
        <x:v>387340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350000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50600</x:v>
      </x:c>
      <x:c r="D8" s="261"/>
      <x:c r="E8" s="287" t="s">
        <x:v>113</x:v>
      </x:c>
      <x:c r="F8" s="288"/>
      <x:c r="G8" s="293">
        <x:f>C5+G2-G6-C22</x:f>
        <x:v>50600</x:v>
      </x:c>
      <x:c r="H8" s="54" t="s">
        <x:v>46</x:v>
      </x:c>
      <x:c r="I8" s="124">
        <x:v>60000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/>
    </x:row>
    <x:row r="12" spans="1:13" ht="21.949999999999999" customHeight="1">
      <x:c r="A12" s="59" t="s">
        <x:v>49</x:v>
      </x:c>
      <x:c r="B12" s="297" t="s">
        <x:v>43</x:v>
      </x:c>
      <x:c r="C12" s="79">
        <x:v>8</x:v>
      </x:c>
      <x:c r="D12" s="287" t="s">
        <x:v>136</x:v>
      </x:c>
      <x:c r="E12" s="288"/>
      <x:c r="F12" s="291">
        <x:v>3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SUM('1:29'!$C$12)</x:f>
        <x:v>284</x:v>
      </x:c>
      <x:c r="D13" s="279"/>
      <x:c r="E13" s="280"/>
      <x:c r="F13" s="289">
        <x:f>SUM('1:29'!$F$12)</x:f>
        <x:v>88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19</x:v>
      </x:c>
      <x:c r="D14" s="287" t="s">
        <x:v>98</x:v>
      </x:c>
      <x:c r="E14" s="288"/>
      <x:c r="F14" s="291">
        <x:v>11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SUM('1:29'!$C$14)</x:f>
        <x:v>402</x:v>
      </x:c>
      <x:c r="D15" s="279"/>
      <x:c r="E15" s="280"/>
      <x:c r="F15" s="289">
        <x:f>SUM('1:29'!$F$14)</x:f>
        <x:v>344</x:v>
      </x:c>
      <x:c r="G15" s="290"/>
      <x:c r="H15" s="54" t="s">
        <x:v>109</x:v>
      </x:c>
      <x:c r="I15" s="58">
        <x:v>122750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4</x:v>
      </x:c>
      <x:c r="D16" s="287" t="s">
        <x:v>120</x:v>
      </x:c>
      <x:c r="E16" s="288"/>
      <x:c r="F16" s="285">
        <x:v>7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SUM('1:29'!$C$16)</x:f>
        <x:v>121</x:v>
      </x:c>
      <x:c r="D17" s="279"/>
      <x:c r="E17" s="280"/>
      <x:c r="F17" s="286">
        <x:f>SUM('1:29'!$F$16)</x:f>
        <x:v>364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7</x:v>
      </x:c>
      <x:c r="D18" s="287" t="s">
        <x:v>133</x:v>
      </x:c>
      <x:c r="E18" s="288"/>
      <x:c r="F18" s="295">
        <x:v>2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SUM('1:29'!$C$18)</x:f>
        <x:v>531</x:v>
      </x:c>
      <x:c r="D19" s="279"/>
      <x:c r="E19" s="280"/>
      <x:c r="F19" s="286">
        <x:f>SUM('1:29'!$F$18)</x:f>
        <x:v>122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/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SUM('1:29'!$F$20)</x:f>
        <x:v>1559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1523665</x:v>
      </x:c>
      <x:c r="J23" s="61" t="s">
        <x:v>122</x:v>
      </x:c>
      <x:c r="K23" s="62">
        <x:f>SUM(K4:K22)</x:f>
        <x:v>0</x:v>
      </x:c>
      <x:c r="M23" s="88" t="s">
        <x:v>96</x:v>
      </x:c>
      <x:c r="N23" s="282">
        <x:f>C5+C6</x:f>
        <x:v>327000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0.44421720116618074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3430000</x:v>
      </x:c>
      <x:c r="B25" s="275"/>
      <x:c r="C25" s="275">
        <x:f>E25/I1</x:f>
        <x:v>4223620.6896551726</x:v>
      </x:c>
      <x:c r="D25" s="275"/>
      <x:c r="E25" s="275">
        <x:f>SUM('1:29'!$A$25)</x:f>
        <x:v>122485000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SUM('1:29'!$K$23)</x:f>
        <x:v>3547678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0.018491790831530391</x:v>
      </x:c>
      <x:c r="J26" s="64" t="s">
        <x:v>131</x:v>
      </x:c>
      <x:c r="K26" s="65">
        <x:f>K25/$E$25</x:f>
        <x:v>0.028964183369392171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46800</x:v>
      </x:c>
      <x:c r="G27" s="261"/>
      <x:c r="H27" s="111" t="s">
        <x:v>121</x:v>
      </x:c>
      <x:c r="I27" s="112">
        <x:f>SUM(C27:D34,F27:G32)</x:f>
        <x:v>831429.0322580646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0.24239913476911504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SUM('1:29'!$I$27)</x:f>
        <x:v>22741541.935483873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27.352354865117579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30</x:v>
      </x:c>
      <x:c r="C32" s="307"/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136500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B16:B17"/>
    <x:mergeCell ref="F16:G16"/>
    <x:mergeCell ref="F17:G17"/>
    <x:mergeCell ref="F18:G18"/>
    <x:mergeCell ref="F19:G19"/>
    <x:mergeCell ref="B14:B15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O34"/>
  <x:sheetViews>
    <x:sheetView topLeftCell="A15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30</x:v>
      </x:c>
      <x:c r="G1" s="68" t="s">
        <x:v>27</x:v>
      </x:c>
      <x:c r="H1" s="52" t="s">
        <x:v>126</x:v>
      </x:c>
      <x:c r="I1" s="52">
        <x:f>F1-K1</x:f>
        <x:v>30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3918000</x:v>
      </x:c>
      <x:c r="D2" s="274"/>
      <x:c r="E2" s="277" t="s">
        <x:v>41</x:v>
      </x:c>
      <x:c r="F2" s="278"/>
      <x:c r="G2" s="266">
        <x:v>50600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3375000</x:v>
      </x:c>
      <x:c r="D4" s="261"/>
      <x:c r="E4" s="276" t="s">
        <x:v>149</x:v>
      </x:c>
      <x:c r="F4" s="276"/>
      <x:c r="G4" s="133">
        <x:f>INT(C4*0.0275)</x:f>
        <x:v>92812</x:v>
      </x:c>
      <x:c r="H4" s="54" t="s">
        <x:v>20</x:v>
      </x:c>
      <x:c r="I4" s="124">
        <x:v>1472797</x:v>
      </x:c>
      <x:c r="J4" s="80" t="s">
        <x:v>37</x:v>
      </x:c>
      <x:c r="K4" s="58">
        <x:v>235000</x:v>
      </x:c>
    </x:row>
    <x:row r="5" spans="1:11" ht="30.949999999999999" customHeight="1">
      <x:c r="A5" s="268" t="s">
        <x:v>62</x:v>
      </x:c>
      <x:c r="B5" s="269"/>
      <x:c r="C5" s="261">
        <x:v>543000</x:v>
      </x:c>
      <x:c r="D5" s="261"/>
      <x:c r="E5" s="260" t="s">
        <x:v>73</x:v>
      </x:c>
      <x:c r="F5" s="260"/>
      <x:c r="G5" s="133">
        <x:f>INT(C5*0.01)</x:f>
        <x:v>5430</x:v>
      </x:c>
      <x:c r="H5" s="54" t="s">
        <x:v>6</x:v>
      </x:c>
      <x:c r="I5" s="124">
        <x:v>188130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470000</x:v>
      </x:c>
      <x:c r="H6" s="54"/>
      <x:c r="I6" s="124"/>
      <x:c r="J6" s="81" t="s">
        <x:v>130</x:v>
      </x:c>
      <x:c r="K6" s="58">
        <x:v>84000</x:v>
      </x:c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119</x:v>
      </x:c>
      <x:c r="K7" s="58"/>
    </x:row>
    <x:row r="8" spans="1:11" ht="21.949999999999999" customHeight="1">
      <x:c r="A8" s="259" t="s">
        <x:v>137</x:v>
      </x:c>
      <x:c r="B8" s="260"/>
      <x:c r="C8" s="261">
        <x:v>124600</x:v>
      </x:c>
      <x:c r="D8" s="261"/>
      <x:c r="E8" s="287" t="s">
        <x:v>113</x:v>
      </x:c>
      <x:c r="F8" s="288"/>
      <x:c r="G8" s="293">
        <x:f>C5+G2-G6-C22</x:f>
        <x:v>123600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>
        <x:v>50000</x:v>
      </x:c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/>
    </x:row>
    <x:row r="12" spans="1:13" ht="21.949999999999999" customHeight="1">
      <x:c r="A12" s="59" t="s">
        <x:v>49</x:v>
      </x:c>
      <x:c r="B12" s="297" t="s">
        <x:v>43</x:v>
      </x:c>
      <x:c r="C12" s="79">
        <x:v>10</x:v>
      </x:c>
      <x:c r="D12" s="287" t="s">
        <x:v>136</x:v>
      </x:c>
      <x:c r="E12" s="288"/>
      <x:c r="F12" s="291">
        <x:v>8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SUM('1:30'!$C$12)</x:f>
        <x:v>294</x:v>
      </x:c>
      <x:c r="D13" s="279"/>
      <x:c r="E13" s="280"/>
      <x:c r="F13" s="289">
        <x:f>SUM('1:30'!$F$12)</x:f>
        <x:v>96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14</x:v>
      </x:c>
      <x:c r="D14" s="287" t="s">
        <x:v>98</x:v>
      </x:c>
      <x:c r="E14" s="288"/>
      <x:c r="F14" s="291">
        <x:v>10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SUM('1:30'!$C$14)</x:f>
        <x:v>416</x:v>
      </x:c>
      <x:c r="D15" s="279"/>
      <x:c r="E15" s="280"/>
      <x:c r="F15" s="289">
        <x:f>SUM('1:30'!$F$14)</x:f>
        <x:v>354</x:v>
      </x:c>
      <x:c r="G15" s="290"/>
      <x:c r="H15" s="54" t="s">
        <x:v>109</x:v>
      </x:c>
      <x:c r="I15" s="58">
        <x:v>102300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6</x:v>
      </x:c>
      <x:c r="D16" s="287" t="s">
        <x:v>120</x:v>
      </x:c>
      <x:c r="E16" s="288"/>
      <x:c r="F16" s="285">
        <x:v>12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SUM('1:30'!$C$16)</x:f>
        <x:v>127</x:v>
      </x:c>
      <x:c r="D17" s="279"/>
      <x:c r="E17" s="280"/>
      <x:c r="F17" s="286">
        <x:f>SUM('1:30'!$F$16)</x:f>
        <x:v>376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9</x:v>
      </x:c>
      <x:c r="D18" s="287" t="s">
        <x:v>133</x:v>
      </x:c>
      <x:c r="E18" s="288"/>
      <x:c r="F18" s="295">
        <x:v>2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SUM('1:30'!$C$18)</x:f>
        <x:v>540</x:v>
      </x:c>
      <x:c r="D19" s="279"/>
      <x:c r="E19" s="280"/>
      <x:c r="F19" s="286">
        <x:f>SUM('1:30'!$F$18)</x:f>
        <x:v>124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54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SUM('1:30'!$F$20)</x:f>
        <x:v>1613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1763227</x:v>
      </x:c>
      <x:c r="J23" s="61" t="s">
        <x:v>122</x:v>
      </x:c>
      <x:c r="K23" s="62">
        <x:f>SUM(K4:K22)</x:f>
        <x:v>319000</x:v>
      </x:c>
      <x:c r="M23" s="88" t="s">
        <x:v>96</x:v>
      </x:c>
      <x:c r="N23" s="282">
        <x:f>C5+C6</x:f>
        <x:v>543000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0.45003241449719245</x:v>
      </x:c>
      <x:c r="J24" s="61" t="s">
        <x:v>8</x:v>
      </x:c>
      <x:c r="K24" s="63">
        <x:f>K23/A25</x:f>
        <x:v>0.081419091373149566</x:v>
      </x:c>
    </x:row>
    <x:row r="25" spans="1:11" ht="34.149999999999999" customHeight="1">
      <x:c r="A25" s="311">
        <x:f>C2</x:f>
        <x:v>3918000</x:v>
      </x:c>
      <x:c r="B25" s="275"/>
      <x:c r="C25" s="275">
        <x:f>E25/I1</x:f>
        <x:v>4213433.333333333</x:v>
      </x:c>
      <x:c r="D25" s="275"/>
      <x:c r="E25" s="275">
        <x:f>SUM('1:30'!$A$25)</x:f>
        <x:v>126403000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SUM('1:30'!$K$23)</x:f>
        <x:v>3866678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0.017918617437877267</x:v>
      </x:c>
      <x:c r="J26" s="64" t="s">
        <x:v>131</x:v>
      </x:c>
      <x:c r="K26" s="65">
        <x:f>K25/$E$25</x:f>
        <x:v>0.030590080931623458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f>13000*5</x:f>
        <x:v>65000</x:v>
      </x:c>
      <x:c r="G27" s="261"/>
      <x:c r="H27" s="111" t="s">
        <x:v>121</x:v>
      </x:c>
      <x:c r="I27" s="112">
        <x:f>SUM(C27:D34,F27:G32)</x:f>
        <x:v>764129.0322580646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0.19503038087240035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SUM('1:30'!$I$27)</x:f>
        <x:v>23505670.967741936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30.761389733198243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30</x:v>
      </x:c>
      <x:c r="C32" s="307">
        <x:v>63000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B16:B17"/>
    <x:mergeCell ref="F16:G16"/>
    <x:mergeCell ref="F17:G17"/>
    <x:mergeCell ref="F18:G18"/>
    <x:mergeCell ref="F19:G19"/>
    <x:mergeCell ref="B14:B15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3"/>
  <x:dimension ref="A1:O34"/>
  <x:sheetViews>
    <x:sheetView topLeftCell="A1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67</x:v>
      </x:c>
      <x:c r="F1" s="68">
        <x:v>31</x:v>
      </x:c>
      <x:c r="G1" s="68" t="s">
        <x:v>51</x:v>
      </x:c>
      <x:c r="H1" s="52" t="s">
        <x:v>126</x:v>
      </x:c>
      <x:c r="I1" s="52">
        <x:f>F1-K1</x:f>
        <x:v>31</x:v>
      </x:c>
      <x:c r="J1" s="52" t="s">
        <x:v>101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5301000</x:v>
      </x:c>
      <x:c r="D2" s="274"/>
      <x:c r="E2" s="277" t="s">
        <x:v>41</x:v>
      </x:c>
      <x:c r="F2" s="278"/>
      <x:c r="G2" s="266">
        <x:v>124600</x:v>
      </x:c>
      <x:c r="H2" s="264" t="s">
        <x:v>6</x:v>
      </x:c>
      <x:c r="I2" s="265"/>
      <x:c r="J2" s="262" t="s">
        <x:v>77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40</x:v>
      </x:c>
      <x:c r="J3" s="57" t="s">
        <x:v>26</x:v>
      </x:c>
      <x:c r="K3" s="56" t="s">
        <x:v>40</x:v>
      </x:c>
    </x:row>
    <x:row r="4" spans="1:11" ht="30.949999999999999" customHeight="1">
      <x:c r="A4" s="268" t="s">
        <x:v>22</x:v>
      </x:c>
      <x:c r="B4" s="269"/>
      <x:c r="C4" s="261">
        <x:v>4720000</x:v>
      </x:c>
      <x:c r="D4" s="261"/>
      <x:c r="E4" s="276" t="s">
        <x:v>149</x:v>
      </x:c>
      <x:c r="F4" s="276"/>
      <x:c r="G4" s="133">
        <x:f>INT(C4*0.0275)</x:f>
        <x:v>129800</x:v>
      </x:c>
      <x:c r="H4" s="54" t="s">
        <x:v>20</x:v>
      </x:c>
      <x:c r="I4" s="124">
        <x:v>689045</x:v>
      </x:c>
      <x:c r="J4" s="80" t="s">
        <x:v>37</x:v>
      </x:c>
      <x:c r="K4" s="58"/>
    </x:row>
    <x:row r="5" spans="1:11" ht="30.949999999999999" customHeight="1">
      <x:c r="A5" s="268" t="s">
        <x:v>62</x:v>
      </x:c>
      <x:c r="B5" s="269"/>
      <x:c r="C5" s="261">
        <x:v>581000</x:v>
      </x:c>
      <x:c r="D5" s="261"/>
      <x:c r="E5" s="260" t="s">
        <x:v>73</x:v>
      </x:c>
      <x:c r="F5" s="260"/>
      <x:c r="G5" s="133">
        <x:f>INT(C5*0.01)</x:f>
        <x:v>5810</x:v>
      </x:c>
      <x:c r="H5" s="54" t="s">
        <x:v>6</x:v>
      </x:c>
      <x:c r="I5" s="124">
        <x:v>240932</x:v>
      </x:c>
      <x:c r="J5" s="81"/>
      <x:c r="K5" s="58"/>
    </x:row>
    <x:row r="6" spans="1:11" ht="21.949999999999999" customHeight="1">
      <x:c r="A6" s="255" t="s">
        <x:v>87</x:v>
      </x:c>
      <x:c r="B6" s="256"/>
      <x:c r="C6" s="300"/>
      <x:c r="D6" s="301"/>
      <x:c r="E6" s="287" t="s">
        <x:v>134</x:v>
      </x:c>
      <x:c r="F6" s="288"/>
      <x:c r="G6" s="281">
        <x:v>620000</x:v>
      </x:c>
      <x:c r="H6" s="54"/>
      <x:c r="I6" s="124"/>
      <x:c r="J6" s="81" t="s">
        <x:v>130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445600</x:v>
      </x:c>
      <x:c r="J7" s="81" t="s">
        <x:v>119</x:v>
      </x:c>
      <x:c r="K7" s="58">
        <x:v>12500</x:v>
      </x:c>
    </x:row>
    <x:row r="8" spans="1:11" ht="21.949999999999999" customHeight="1">
      <x:c r="A8" s="259" t="s">
        <x:v>137</x:v>
      </x:c>
      <x:c r="B8" s="260"/>
      <x:c r="C8" s="261">
        <x:v>85600</x:v>
      </x:c>
      <x:c r="D8" s="261"/>
      <x:c r="E8" s="287" t="s">
        <x:v>113</x:v>
      </x:c>
      <x:c r="F8" s="288"/>
      <x:c r="G8" s="293">
        <x:f>C5+G2-G6-C22</x:f>
        <x:v>85600</x:v>
      </x:c>
      <x:c r="H8" s="54" t="s">
        <x:v>46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146</x:v>
      </x:c>
      <x:c r="B10" s="260"/>
      <x:c r="C10" s="261"/>
      <x:c r="D10" s="261"/>
      <x:c r="E10" s="260" t="s">
        <x:v>90</x:v>
      </x:c>
      <x:c r="F10" s="260"/>
      <x:c r="G10" s="55"/>
      <x:c r="H10" s="54"/>
      <x:c r="I10" s="124"/>
      <x:c r="J10" s="54" t="s">
        <x:v>54</x:v>
      </x:c>
      <x:c r="K10" s="58"/>
    </x:row>
    <x:row r="11" spans="1:11" ht="33" customHeight="1">
      <x:c r="A11" s="259" t="s">
        <x:v>106</x:v>
      </x:c>
      <x:c r="B11" s="260"/>
      <x:c r="C11" s="299"/>
      <x:c r="D11" s="299"/>
      <x:c r="E11" s="299"/>
      <x:c r="F11" s="299"/>
      <x:c r="G11" s="299"/>
      <x:c r="H11" s="54" t="s">
        <x:v>59</x:v>
      </x:c>
      <x:c r="I11" s="58"/>
      <x:c r="J11" s="54" t="s">
        <x:v>85</x:v>
      </x:c>
      <x:c r="K11" s="135"/>
    </x:row>
    <x:row r="12" spans="1:13" ht="21.949999999999999" customHeight="1">
      <x:c r="A12" s="59" t="s">
        <x:v>49</x:v>
      </x:c>
      <x:c r="B12" s="297" t="s">
        <x:v>43</x:v>
      </x:c>
      <x:c r="C12" s="79">
        <x:v>9</x:v>
      </x:c>
      <x:c r="D12" s="287" t="s">
        <x:v>136</x:v>
      </x:c>
      <x:c r="E12" s="288"/>
      <x:c r="F12" s="291">
        <x:v>7</x:v>
      </x:c>
      <x:c r="G12" s="292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8"/>
      <x:c r="C13" s="134">
        <x:f>SUM('1:31'!$C$12)</x:f>
        <x:v>303</x:v>
      </x:c>
      <x:c r="D13" s="279"/>
      <x:c r="E13" s="280"/>
      <x:c r="F13" s="289">
        <x:f>SUM('1:31'!$F$12)</x:f>
        <x:v>103</x:v>
      </x:c>
      <x:c r="G13" s="290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49</x:v>
      </x:c>
      <x:c r="B14" s="297" t="s">
        <x:v>66</x:v>
      </x:c>
      <x:c r="C14" s="79">
        <x:v>16</x:v>
      </x:c>
      <x:c r="D14" s="287" t="s">
        <x:v>98</x:v>
      </x:c>
      <x:c r="E14" s="288"/>
      <x:c r="F14" s="291">
        <x:v>22</x:v>
      </x:c>
      <x:c r="G14" s="292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8"/>
      <x:c r="C15" s="134">
        <x:f>SUM('1:31'!$C$14)</x:f>
        <x:v>432</x:v>
      </x:c>
      <x:c r="D15" s="279"/>
      <x:c r="E15" s="280"/>
      <x:c r="F15" s="289">
        <x:f>SUM('1:31'!$F$14)</x:f>
        <x:v>376</x:v>
      </x:c>
      <x:c r="G15" s="290"/>
      <x:c r="H15" s="54" t="s">
        <x:v>109</x:v>
      </x:c>
      <x:c r="I15" s="58">
        <x:v>124100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49</x:v>
      </x:c>
      <x:c r="B16" s="297" t="s">
        <x:v>52</x:v>
      </x:c>
      <x:c r="C16" s="79">
        <x:v>0</x:v>
      </x:c>
      <x:c r="D16" s="287" t="s">
        <x:v>120</x:v>
      </x:c>
      <x:c r="E16" s="288"/>
      <x:c r="F16" s="285">
        <x:v>20</x:v>
      </x:c>
      <x:c r="G16" s="285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8"/>
      <x:c r="C17" s="134">
        <x:f>SUM('1:31'!$C$16)</x:f>
        <x:v>127</x:v>
      </x:c>
      <x:c r="D17" s="279"/>
      <x:c r="E17" s="280"/>
      <x:c r="F17" s="286">
        <x:f>SUM('1:31'!$F$16)</x:f>
        <x:v>396</x:v>
      </x:c>
      <x:c r="G17" s="286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49</x:v>
      </x:c>
      <x:c r="B18" s="297" t="s">
        <x:v>94</x:v>
      </x:c>
      <x:c r="C18" s="79">
        <x:v>11</x:v>
      </x:c>
      <x:c r="D18" s="287" t="s">
        <x:v>133</x:v>
      </x:c>
      <x:c r="E18" s="288"/>
      <x:c r="F18" s="295">
        <x:v>3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8"/>
      <x:c r="C19" s="134">
        <x:f>SUM('1:31'!$C$18)</x:f>
        <x:v>551</x:v>
      </x:c>
      <x:c r="D19" s="279"/>
      <x:c r="E19" s="280"/>
      <x:c r="F19" s="286">
        <x:f>SUM('1:31'!$F$18)</x:f>
        <x:v>127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116</x:v>
      </x:c>
      <x:c r="E20" s="260"/>
      <x:c r="F20" s="285">
        <x:v>67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117</x:v>
      </x:c>
      <x:c r="E21" s="260"/>
      <x:c r="F21" s="286">
        <x:f>SUM('1:31'!$F$20)</x:f>
        <x:v>1680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86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127</x:v>
      </x:c>
      <x:c r="B23" s="260"/>
      <x:c r="C23" s="315"/>
      <x:c r="D23" s="316"/>
      <x:c r="E23" s="316"/>
      <x:c r="F23" s="316"/>
      <x:c r="G23" s="316"/>
      <x:c r="H23" s="107" t="s">
        <x:v>97</x:v>
      </x:c>
      <x:c r="I23" s="108">
        <x:f>SUM(I4:I22)</x:f>
        <x:v>1499677</x:v>
      </x:c>
      <x:c r="J23" s="61" t="s">
        <x:v>122</x:v>
      </x:c>
      <x:c r="K23" s="62">
        <x:f>SUM(K4:K22)</x:f>
        <x:v>12500</x:v>
      </x:c>
      <x:c r="M23" s="88" t="s">
        <x:v>96</x:v>
      </x:c>
      <x:c r="N23" s="282">
        <x:f>C5+C6</x:f>
        <x:v>581000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89</x:v>
      </x:c>
      <x:c r="D24" s="260"/>
      <x:c r="E24" s="260" t="s">
        <x:v>104</x:v>
      </x:c>
      <x:c r="F24" s="260"/>
      <x:c r="G24" s="260"/>
      <x:c r="H24" s="107" t="s">
        <x:v>8</x:v>
      </x:c>
      <x:c r="I24" s="109">
        <x:f>I23/A25</x:f>
        <x:v>0.28290454631201661</x:v>
      </x:c>
      <x:c r="J24" s="61" t="s">
        <x:v>8</x:v>
      </x:c>
      <x:c r="K24" s="63">
        <x:f>K23/A25</x:f>
        <x:v>0.0023580456517638183</x:v>
      </x:c>
    </x:row>
    <x:row r="25" spans="1:11" ht="34.149999999999999" customHeight="1">
      <x:c r="A25" s="311">
        <x:f>C2</x:f>
        <x:v>5301000</x:v>
      </x:c>
      <x:c r="B25" s="275"/>
      <x:c r="C25" s="275">
        <x:f>E25/I1</x:f>
        <x:v>4248516.1290322579</x:v>
      </x:c>
      <x:c r="D25" s="275"/>
      <x:c r="E25" s="275">
        <x:f>SUM('1:31'!$A$25)</x:f>
        <x:v>131704000</x:v>
      </x:c>
      <x:c r="F25" s="275"/>
      <x:c r="G25" s="275"/>
      <x:c r="H25" s="107" t="s">
        <x:v>34</x:v>
      </x:c>
      <x:c r="I25" s="108">
        <x:f>SUM('1'!$I$23)</x:f>
        <x:v>2264967</x:v>
      </x:c>
      <x:c r="J25" s="61" t="s">
        <x:v>34</x:v>
      </x:c>
      <x:c r="K25" s="62">
        <x:f>SUM('1:31'!$K$23)</x:f>
        <x:v>3879178</x:v>
      </x:c>
    </x:row>
    <x:row r="26" spans="1:11" ht="34.149999999999999" customHeight="1">
      <x:c r="A26" s="259" t="s">
        <x:v>145</x:v>
      </x:c>
      <x:c r="B26" s="260"/>
      <x:c r="C26" s="260"/>
      <x:c r="D26" s="260"/>
      <x:c r="E26" s="261"/>
      <x:c r="F26" s="261"/>
      <x:c r="G26" s="261"/>
      <x:c r="H26" s="107" t="s">
        <x:v>131</x:v>
      </x:c>
      <x:c r="I26" s="110">
        <x:f>I25/$E$25</x:f>
        <x:v>0.01719740478649092</x:v>
      </x:c>
      <x:c r="J26" s="64" t="s">
        <x:v>131</x:v>
      </x:c>
      <x:c r="K26" s="65">
        <x:f>K25/$E$25</x:f>
        <x:v>0.029453759946546802</x:v>
      </x:c>
    </x:row>
    <x:row r="27" spans="1:13" ht="30.949999999999999" customHeight="1">
      <x:c r="A27" s="317" t="s">
        <x:v>144</x:v>
      </x:c>
      <x:c r="B27" s="54" t="s">
        <x:v>45</x:v>
      </x:c>
      <x:c r="C27" s="275">
        <x:f>4000000/31</x:f>
        <x:v>129032.25806451614</x:v>
      </x:c>
      <x:c r="D27" s="275"/>
      <x:c r="E27" s="55" t="s">
        <x:v>150</x:v>
      </x:c>
      <x:c r="F27" s="261">
        <x:v>58500</x:v>
      </x:c>
      <x:c r="G27" s="261"/>
      <x:c r="H27" s="111" t="s">
        <x:v>121</x:v>
      </x:c>
      <x:c r="I27" s="112">
        <x:f>SUM(C27:D34,F27:G32)</x:f>
        <x:v>814629.0322580646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152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0.15367459578533571</x:v>
      </x:c>
      <x:c r="M28" s="66"/>
    </x:row>
    <x:row r="29" spans="1:13" ht="30.949999999999999" customHeight="1">
      <x:c r="A29" s="318"/>
      <x:c r="B29" s="54" t="s">
        <x:v>48</x:v>
      </x:c>
      <x:c r="C29" s="275">
        <x:f>3200000/31</x:f>
        <x:v>103225.80645161291</x:v>
      </x:c>
      <x:c r="D29" s="275"/>
      <x:c r="E29" s="55"/>
      <x:c r="F29" s="261"/>
      <x:c r="G29" s="261"/>
      <x:c r="H29" s="111" t="s">
        <x:v>34</x:v>
      </x:c>
      <x:c r="I29" s="112">
        <x:f>SUM('1:31'!$I$27)</x:f>
        <x:v>24320300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131</x:v>
      </x:c>
      <x:c r="I30" s="113">
        <x:f>I29/$I$27</x:f>
        <x:v>29.854447898311122</x:v>
      </x:c>
      <x:c r="M30" s="66"/>
    </x:row>
    <x:row r="31" spans="1:7" customHeight="1">
      <x:c r="A31" s="318"/>
      <x:c r="B31" s="54" t="s">
        <x:v>42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30</x:v>
      </x:c>
      <x:c r="C32" s="307">
        <x:v>56000</x:v>
      </x:c>
      <x:c r="D32" s="308"/>
      <x:c r="E32" s="55" t="s">
        <x:v>141</x:v>
      </x:c>
      <x:c r="F32" s="309"/>
      <x:c r="G32" s="310"/>
    </x:row>
    <x:row r="33" spans="1:4" customHeight="1">
      <x:c r="A33" s="318"/>
      <x:c r="B33" s="54" t="s">
        <x:v>21</x:v>
      </x:c>
      <x:c r="C33" s="307">
        <x:v>52000</x:v>
      </x:c>
      <x:c r="D33" s="308"/>
    </x:row>
    <x:row r="34" spans="1:4" customHeight="1">
      <x:c r="A34" s="319"/>
      <x:c r="B34" s="54" t="s">
        <x:v>58</x:v>
      </x:c>
      <x:c r="C34" s="309"/>
      <x:c r="D34" s="310"/>
    </x:row>
  </x:sheetData>
  <x:mergeCells count="74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B14:B15"/>
    <x:mergeCell ref="F14:G14"/>
    <x:mergeCell ref="F15:G15"/>
    <x:mergeCell ref="F12:G12"/>
    <x:mergeCell ref="F13:G13"/>
    <x:mergeCell ref="B16:B17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A25:B25"/>
    <x:mergeCell ref="C25:D25"/>
    <x:mergeCell ref="E25:G25"/>
    <x:mergeCell ref="A26:B26"/>
    <x:mergeCell ref="C26:D26"/>
    <x:mergeCell ref="E26:G26"/>
    <x:mergeCell ref="A27:A34"/>
    <x:mergeCell ref="C27:D27"/>
    <x:mergeCell ref="F27:G27"/>
    <x:mergeCell ref="C28:D28"/>
    <x:mergeCell ref="F28:G28"/>
    <x:mergeCell ref="C29:D29"/>
    <x:mergeCell ref="F29:G29"/>
    <x:mergeCell ref="C33:D33"/>
    <x:mergeCell ref="C34:D34"/>
    <x:mergeCell ref="C30:D30"/>
    <x:mergeCell ref="F30:G30"/>
    <x:mergeCell ref="C31:D31"/>
    <x:mergeCell ref="F31:G31"/>
    <x:mergeCell ref="C32:D32"/>
    <x:mergeCell ref="F32:G32"/>
    <x:mergeCell ref="D14:E15"/>
    <x:mergeCell ref="D12:E13"/>
    <x:mergeCell ref="D18:E19"/>
    <x:mergeCell ref="D16:E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A1"/>
  <x:sheetViews>
    <x:sheetView topLeftCell="A1" zoomScale="66" zoomScaleNormal="66" zoomScaleSheetLayoutView="75" workbookViewId="0">
      <x:selection activeCell="A1" activeCellId="0" sqref="A1:A1"/>
    </x:sheetView>
  </x:sheetViews>
  <x:sheetFormatPr defaultColWidth="9" defaultRowHeight="16.5"/>
  <x:sheetData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4" baseType="lpstr">
      <vt:lpstr>월합산</vt:lpstr>
      <vt:lpstr>결산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Chart1</vt:lpstr>
    </vt:vector>
  </ep:TitlesOfParts>
  <ep:TotalTime>319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</dc:creator>
  <cp:lastModifiedBy>신재호</cp:lastModifiedBy>
  <cp:revision>69</cp:revision>
  <cp:lastPrinted>2020-08-02T09:11:11.000</cp:lastPrinted>
  <dcterms:created xsi:type="dcterms:W3CDTF">2017-10-12T05:43:00.000</dcterms:created>
  <dcterms:modified xsi:type="dcterms:W3CDTF">2026-04-27T17:16:10.624</dcterms:modified>
  <cp:version>1000.0100.01</cp:version>
</cp:coreProperties>
</file>