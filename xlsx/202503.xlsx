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harts/chart0.xml" ContentType="application/vnd.openxmlformats-officedocument.drawingml.chart+xml"/>
  <Override PartName="/xl/drawings/drawing0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016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Demand_prediction_MLproject\xlxs\"/>
    </mc:Choice>
  </mc:AlternateContent>
  <x:bookViews>
    <x:workbookView xWindow="0" yWindow="0" windowWidth="13965" windowHeight="11715" firstSheet="23" activeTab="10"/>
  </x:bookViews>
  <x:sheets>
    <x:sheet name="월합산" sheetId="1" state="hidden" r:id="rId4"/>
    <x:sheet name="결산" sheetId="2" r:id="rId5"/>
    <x:sheet name="1" sheetId="3" r:id="rId6"/>
    <x:sheet name="2" sheetId="4" r:id="rId7"/>
    <x:sheet name="3" sheetId="5" r:id="rId8"/>
    <x:sheet name="4" sheetId="6" r:id="rId9"/>
    <x:sheet name="5" sheetId="7" r:id="rId10"/>
    <x:sheet name="6" sheetId="8" r:id="rId11"/>
    <x:sheet name="7" sheetId="9" r:id="rId12"/>
    <x:sheet name="8" sheetId="10" r:id="rId13"/>
    <x:sheet name="9" sheetId="11" r:id="rId14"/>
    <x:sheet name="10" sheetId="12" r:id="rId15"/>
    <x:sheet name="11" sheetId="13" r:id="rId16"/>
    <x:sheet name="12" sheetId="14" r:id="rId17"/>
    <x:sheet name="13" sheetId="15" r:id="rId18"/>
    <x:sheet name="14" sheetId="16" r:id="rId19"/>
    <x:sheet name="15" sheetId="17" r:id="rId20"/>
    <x:sheet name="16" sheetId="18" r:id="rId21"/>
    <x:sheet name="17" sheetId="19" r:id="rId22"/>
    <x:sheet name="18" sheetId="20" r:id="rId23"/>
    <x:sheet name="19" sheetId="21" r:id="rId24"/>
    <x:sheet name="20" sheetId="22" r:id="rId25"/>
    <x:sheet name="21" sheetId="23" r:id="rId26"/>
    <x:sheet name="22" sheetId="24" r:id="rId27"/>
    <x:sheet name="23" sheetId="25" r:id="rId28"/>
    <x:sheet name="24" sheetId="26" r:id="rId29"/>
    <x:sheet name="25" sheetId="27" r:id="rId30"/>
    <x:sheet name="26" sheetId="28" r:id="rId31"/>
    <x:sheet name="27" sheetId="29" r:id="rId32"/>
    <x:sheet name="28" sheetId="30" r:id="rId33"/>
    <x:sheet name="29" sheetId="31" r:id="rId34"/>
    <x:sheet name="30" sheetId="32" r:id="rId35"/>
    <x:sheet name="31" sheetId="33" r:id="rId36"/>
    <x:sheet name="Chart1" sheetId="34" state="hidden" r:id="rId37"/>
  </x:sheets>
  <x:definedNames>
    <x:definedName name="_xlnm.Print_Area" localSheetId="18">'17'!$A$1:$O$34</x:definedName>
  </x:definedName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<x:sst xmlns:r="http://schemas.openxmlformats.org/officeDocument/2006/relationships" xmlns:c="http://schemas.openxmlformats.org/drawingml/2006/chart" xmlns:x="http://schemas.openxmlformats.org/spreadsheetml/2006/main" count="2998" uniqueCount="151">
  <x:si>
    <x:t>3월 테이블수</x:t>
  </x:si>
  <x:si>
    <x:t>홀 파출</x:t>
  </x:si>
  <x:si>
    <x:t>육회</x:t>
  </x:si>
  <x:si>
    <x:t>월</x:t>
  </x:si>
  <x:si>
    <x:t>발매트</x:t>
  </x:si>
  <x:si>
    <x:t>총매출</x:t>
  </x:si>
  <x:si>
    <x:t>V/S</x:t>
  </x:si>
  <x:si>
    <x:t>금액</x:t>
  </x:si>
  <x:si>
    <x:t>매출액</x:t>
  </x:si>
  <x:si>
    <x:t>시재</x:t>
  </x:si>
  <x:si>
    <x:t>천</x:t>
  </x:si>
  <x:si>
    <x:t>카드</x:t>
  </x:si>
  <x:si>
    <x:t>직원C</x:t>
  </x:si>
  <x:si>
    <x:t>세무사</x:t>
  </x:si>
  <x:si>
    <x:t>고정비</x:t>
  </x:si>
  <x:si>
    <x:t>급여</x:t>
  </x:si>
  <x:si>
    <x:t>쌀</x:t>
  </x:si>
  <x:si>
    <x:t>수도</x:t>
  </x:si>
  <x:si>
    <x:t>숯</x:t>
  </x:si>
  <x:si>
    <x:t>누계</x:t>
  </x:si>
  <x:si>
    <x:t>목</x:t>
  </x:si>
  <x:si>
    <x:t>직원D</x:t>
  </x:si>
  <x:si>
    <x:t>목살</x:t>
  </x:si>
  <x:si>
    <x:t>월세</x:t>
  </x:si>
  <x:si>
    <x:t>매출</x:t>
  </x:si>
  <x:si>
    <x:t>총비용</x:t>
  </x:si>
  <x:si>
    <x:t>인터넷</x:t>
  </x:si>
  <x:si>
    <x:t>항목</x:t>
  </x:si>
  <x:si>
    <x:t>합계</x:t>
  </x:si>
  <x:si>
    <x:t>직원B</x:t>
  </x:si>
  <x:si>
    <x:t>업체</x:t>
  </x:si>
  <x:si>
    <x:t>금</x:t>
  </x:si>
  <x:si>
    <x:t>홀파출</x:t>
  </x:si>
  <x:si>
    <x:t>일</x:t>
  </x:si>
  <x:si>
    <x:t>생갈비</x:t>
  </x:si>
  <x:si>
    <x:t>주류</x:t>
  </x:si>
  <x:si>
    <x:t>배달</x:t>
  </x:si>
  <x:si>
    <x:t>참기름</x:t>
  </x:si>
  <x:si>
    <x:t>수</x:t>
  </x:si>
  <x:si>
    <x:t>개수</x:t>
  </x:si>
  <x:si>
    <x:t>알바A</x:t>
  </x:si>
  <x:si>
    <x:t>직원E</x:t>
  </x:si>
  <x:si>
    <x:t>뚝배기</x:t>
  </x:si>
  <x:si>
    <x:t>고기</x:t>
  </x:si>
  <x:si>
    <x:t>직원A</x:t>
  </x:si>
  <x:si>
    <x:t>백이하</x:t>
  </x:si>
  <x:si>
    <x:t>시제</x:t>
  </x:si>
  <x:si>
    <x:t>입금</x:t>
  </x:si>
  <x:si>
    <x:t>화</x:t>
  </x:si>
  <x:si>
    <x:t>토</x:t>
  </x:si>
  <x:si>
    <x:t>현금</x:t>
  </x:si>
  <x:si>
    <x:t>마케팅</x:t>
  </x:si>
  <x:si>
    <x:t>알바X</x:t>
  </x:si>
  <x:si>
    <x:t>오백</x:t>
  </x:si>
  <x:si>
    <x:t>`</x:t>
  </x:si>
  <x:si>
    <x:t>V</x:t>
  </x:si>
  <x:si>
    <x:t>막걸리</x:t>
  </x:si>
  <x:si>
    <x:t>전기세</x:t>
  </x:si>
  <x:si>
    <x:t>만</x:t>
  </x:si>
  <x:si>
    <x:t>일매출</x:t>
  </x:si>
  <x:si>
    <x:t>식자재</x:t>
  </x:si>
  <x:si>
    <x:t>잔금</x:t>
  </x:si>
  <x:si>
    <x:t>파출</x:t>
  </x:si>
  <x:si>
    <x:t>가스비</x:t>
  </x:si>
  <x:si>
    <x:t>F</x:t>
  </x:si>
  <x:si>
    <x:t>포스</x:t>
  </x:si>
  <x:si>
    <x:t>S</x:t>
  </x:si>
  <x:si>
    <x:t>변동비</x:t>
  </x:si>
  <x:si>
    <x:t>인
건
비</x:t>
  </x:si>
  <x:si>
    <x:t>카드할인</x:t>
  </x:si>
  <x:si>
    <x:t>4대보험료</x:t>
  </x:si>
  <x:si>
    <x:t>전   월</x:t>
  </x:si>
  <x:si>
    <x:t>다이소 구매</x:t>
  </x:si>
  <x:si>
    <x:t>종합소득세</x:t>
  </x:si>
  <x:si>
    <x:t>소     계</x:t>
  </x:si>
  <x:si>
    <x:t>통장입금</x:t>
  </x:si>
  <x:si>
    <x:t>금고잔액</x:t>
  </x:si>
  <x:si>
    <x:t>중간출금</x:t>
  </x:si>
  <x:si>
    <x:t>인터넷 주문</x:t>
  </x:si>
  <x:si>
    <x:t>쿠쿠(블루문)</x:t>
  </x:si>
  <x:si>
    <x:t>부탄가스</x:t>
  </x:si>
  <x:si>
    <x:t>목표월매출</x:t>
  </x:si>
  <x:si>
    <x:t>매출대비 비율</x:t>
  </x:si>
  <x:si>
    <x:t>페이결제</x:t>
  </x:si>
  <x:si>
    <x:t>돼지양념갈비</x:t>
  </x:si>
  <x:si>
    <x:t>인건비합계</x:t>
  </x:si>
  <x:si>
    <x:t>화재보험</x:t>
  </x:si>
  <x:si>
    <x:t>식자재2</x:t>
  </x:si>
  <x:si>
    <x:t>세전이익</x:t>
  </x:si>
  <x:si>
    <x:t>2025년</x:t>
  </x:si>
  <x:si>
    <x:t>손익분기점</x:t>
  </x:si>
  <x:si>
    <x:t>일평균매출</x:t>
  </x:si>
  <x:si>
    <x:t>카드매출</x:t>
  </x:si>
  <x:si>
    <x:t>휴무일수</x:t>
  </x:si>
  <x:si>
    <x:t>항목별 소계</x:t>
  </x:si>
  <x:si>
    <x:t>테이블수</x:t>
  </x:si>
  <x:si>
    <x:t>변동비용</x:t>
  </x:si>
  <x:si>
    <x:t>종량재봉투</x:t>
  </x:si>
  <x:si>
    <x:t>할인금액</x:t>
  </x:si>
  <x:si>
    <x:t>기타경비합계</x:t>
  </x:si>
  <x:si>
    <x:t>LA갈비</x:t>
  </x:si>
  <x:si>
    <x:t>변동비율</x:t>
  </x:si>
  <x:si>
    <x:t>불판세척</x:t>
  </x:si>
  <x:si>
    <x:t>실영업일수</x:t>
  </x:si>
  <x:si>
    <x:t>깍두기,계란</x:t>
  </x:si>
  <x:si>
    <x:t>항목 비율</x:t>
  </x:si>
  <x:si>
    <x:t>할인내역</x:t>
  </x:si>
  <x:si>
    <x:t>현금합계</x:t>
  </x:si>
  <x:si>
    <x:t>금고 실잔액</x:t>
  </x:si>
  <x:si>
    <x:t>세후이익</x:t>
  </x:si>
  <x:si>
    <x:t>누적매출</x:t>
  </x:si>
  <x:si>
    <x:t>한우업진살</x:t>
  </x:si>
  <x:si>
    <x:t>매출누계</x:t>
  </x:si>
  <x:si>
    <x:t>페이매출</x:t>
  </x:si>
  <x:si>
    <x:t>음식물스티커</x:t>
  </x:si>
  <x:si>
    <x:t>매출 비율</x:t>
  </x:si>
  <x:si>
    <x:t>세금부가세</x:t>
  </x:si>
  <x:si>
    <x:t>입금내역</x:t>
  </x:si>
  <x:si>
    <x:t>종량제봉투</x:t>
  </x:si>
  <x:si>
    <x:t>합    계</x:t>
  </x:si>
  <x:si>
    <x:t>소갈비살</x:t>
  </x:si>
  <x:si>
    <x:t>출금내역</x:t>
  </x:si>
  <x:si>
    <x:t>LA양념갈비</x:t>
  </x:si>
  <x:si>
    <x:t>코카콜라</x:t>
  </x:si>
  <x:si>
    <x:t>현금매출</x:t>
  </x:si>
  <x:si>
    <x:t>영업일수</x:t>
  </x:si>
  <x:si>
    <x:t>고정비용</x:t>
  </x:si>
  <x:si>
    <x:t>식자재합계</x:t>
  </x:si>
  <x:si>
    <x:t>마감잔금</x:t>
  </x:si>
  <x:si>
    <x:t>현금할인</x:t>
  </x:si>
  <x:si>
    <x:t>중간입금</x:t>
  </x:si>
  <x:si>
    <x:t>코카콜라음료</x:t>
  </x:si>
  <x:si>
    <x:t>누적테이블</x:t>
  </x:si>
  <x:si>
    <x:t>배달료누계</x:t>
  </x:si>
  <x:si>
    <x:t>목표일매출</x:t>
  </x:si>
  <x:si>
    <x:t>누적총매출</x:t>
  </x:si>
  <x:si>
    <x:t>X=F/(1-(V/S))</x:t>
  </x:si>
  <x:si>
    <x:t>카드수수료(2.75%)</x:t>
  </x:si>
  <x:si>
    <x:t>손익분기점 매출액</x:t>
  </x:si>
  <x:si>
    <x:t>월   합  산</x:t>
  </x:si>
  <x:si>
    <x:t>비품 및 기타경비</x:t>
  </x:si>
  <x:si>
    <x:t>비       고</x:t>
  </x:si>
  <x:si>
    <x:t>비품 및 
기타경비</x:t>
  </x:si>
  <x:si>
    <x:t>take
out</x:t>
  </x:si>
  <x:si>
    <x:t>마  감  잔  금</x:t>
  </x:si>
  <x:si>
    <x:t>퇴직금(10%)</x:t>
  </x:si>
  <x:si>
    <x:t>현금수수료(1%)</x:t>
  </x:si>
  <x:si>
    <x:t>손익분기점 매출액 X</x:t>
  </x:si>
  <x:si>
    <x:t>현금수수료 (1%)</x:t>
  </x:si>
  <x:si>
    <x:t>알바B</x:t>
  </x:si>
  <x:si>
    <x:t>3월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</x:si>
</x:sst>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numFmts count="5">
    <x:numFmt numFmtId="164" formatCode="0.0%"/>
    <x:numFmt numFmtId="165" formatCode="#,##0_ "/>
    <x:numFmt numFmtId="166" formatCode="#,##0.00_ "/>
    <x:numFmt numFmtId="167" formatCode="_-* #,##0_-;\-* #,##0_-;_-* &quot;-&quot;???_-;_-@_-"/>
    <x:numFmt numFmtId="168" formatCode="&quot;₩&quot;#,##0_);[Red]\(&quot;₩&quot;#,##0\)"/>
  </x:numFmts>
  <x:fonts count="22"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맑은 고딕"/>
      <x:sz val="11"/>
      <x:color rgb="ff000000"/>
    </x:font>
    <x:font>
      <x:name val="배달의민족 도현"/>
      <x:sz val="10"/>
      <x:color rgb="ff000000"/>
    </x:font>
    <x:font>
      <x:name val="맑은 고딕"/>
      <x:sz val="11"/>
      <x:color rgb="ff000000"/>
      <x:b val="1"/>
    </x:font>
    <x:font>
      <x:name val="맑은 고딕"/>
      <x:sz val="14"/>
      <x:color rgb="ff000000"/>
      <x:b val="1"/>
    </x:font>
    <x:font>
      <x:name val="맑은 고딕"/>
      <x:sz val="14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ff0000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ff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2"/>
          <x:color rgb="ffff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2"/>
          <x:color rgb="ffff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9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9"/>
          <x:color rgb="ff0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c00000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c00000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0"/>
          <x:color rgb="ff000000"/>
          <hs:size val="100"/>
          <hs:ratio val="100"/>
          <hs:spacing val="0"/>
          <hs:offset val="0"/>
        </x:font>
      </mc:Choice>
      <mc:Fallback>
        <x:font>
          <x:name val="맑은 고딕"/>
          <x:sz val="10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맑은 고딕"/>
          <x:sz val="11"/>
          <x:color rgb="ff0d0d0d"/>
          <x:b val="1"/>
          <hs:size val="100"/>
          <hs:ratio val="100"/>
          <hs:spacing val="0"/>
          <hs:offset val="0"/>
        </x:font>
      </mc:Choice>
      <mc:Fallback>
        <x:font>
          <x:name val="맑은 고딕"/>
          <x:sz val="11"/>
          <x:color rgb="ff0d0d0d"/>
          <x:b val="1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배달의민족 도현"/>
          <x:sz val="9"/>
          <x:color rgb="ff000000"/>
          <hs:size val="100"/>
          <hs:ratio val="100"/>
          <hs:spacing val="0"/>
          <hs:offset val="0"/>
        </x:font>
      </mc:Choice>
      <mc:Fallback>
        <x:font>
          <x:name val="배달의민족 도현"/>
          <x:sz val="9"/>
          <x:color rgb="ff000000"/>
        </x:font>
      </mc:Fallback>
    </mc:AlternateContent>
    <mc:AlternateContent xmlns:mc="http://schemas.openxmlformats.org/markup-compatibility/2006">
      <mc:Choice xmlns:hs="http://schemas.haansoft.com/office/spreadsheet/8.0" Requires="hs">
        <x:font hs:extension="1">
          <x:name val="배달의민족 도현"/>
          <x:sz val="24"/>
          <x:color rgb="ff000000"/>
          <hs:size val="100"/>
          <hs:ratio val="100"/>
          <hs:spacing val="0"/>
          <hs:offset val="0"/>
        </x:font>
      </mc:Choice>
      <mc:Fallback>
        <x:font>
          <x:name val="배달의민족 도현"/>
          <x:sz val="24"/>
          <x:color rgb="ff000000"/>
        </x:font>
      </mc:Fallback>
    </mc:AlternateContent>
  </x:fonts>
  <x:fills count="9">
    <x:fill>
      <x:patternFill patternType="none"/>
    </x:fill>
    <x:fill>
      <x:patternFill patternType="gray125"/>
    </x:fill>
    <x:fill>
      <x:patternFill patternType="solid">
        <x:fgColor rgb="ffe6b8b7"/>
        <x:bgColor indexed="64"/>
      </x:patternFill>
    </x:fill>
    <x:fill>
      <x:patternFill patternType="solid">
        <x:fgColor rgb="ff8cb3e4"/>
        <x:bgColor indexed="64"/>
      </x:patternFill>
    </x:fill>
    <x:fill>
      <x:patternFill patternType="solid">
        <x:fgColor rgb="fffadb8e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b7dee8"/>
        <x:bgColor indexed="64"/>
      </x:patternFill>
    </x:fill>
    <x:fill>
      <x:patternFill patternType="solid">
        <x:fgColor rgb="ff92cddd"/>
        <x:bgColor indexed="64"/>
      </x:patternFill>
    </x:fill>
  </x:fills>
  <x:borders count="75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hair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 style="medium">
        <x:color auto="1"/>
      </x:right>
      <x:top style="hair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auto="1"/>
      </x:left>
      <x:right style="medium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medium"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 style="medium"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 style="medium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thin">
        <x:color auto="1"/>
      </x:left>
      <x:right style="thin">
        <x:color auto="1"/>
      </x:right>
      <x:top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medium">
        <x:color auto="1"/>
      </x:top>
      <x:bottom>
        <x:color auto="1"/>
      </x:bottom>
    </x:border>
    <x:border>
      <x:left>
        <x:color auto="1"/>
      </x:left>
      <x:right style="thin"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>
        <x:color auto="1"/>
      </x:bottom>
    </x:border>
    <x:border>
      <x:left>
        <x:color auto="1"/>
      </x:left>
      <x:right>
        <x:color auto="1"/>
      </x:right>
      <x:top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hair">
        <x:color auto="1"/>
      </x:bottom>
    </x:border>
    <x:border>
      <x:left>
        <x:color auto="1"/>
      </x:left>
      <x:right style="thin">
        <x:color auto="1"/>
      </x:right>
      <x:top style="thin">
        <x:color auto="1"/>
      </x:top>
      <x:bottom style="hair">
        <x:color auto="1"/>
      </x:bottom>
    </x:border>
    <x:border>
      <x:left style="thin">
        <x:color auto="1"/>
      </x:left>
      <x:right>
        <x:color auto="1"/>
      </x:right>
      <x:top style="hair">
        <x:color auto="1"/>
      </x:top>
      <x:bottom style="thin">
        <x:color auto="1"/>
      </x:bottom>
    </x:border>
    <x:border>
      <x:left>
        <x:color auto="1"/>
      </x:left>
      <x:right style="thin">
        <x:color auto="1"/>
      </x:right>
      <x:top style="hair">
        <x:color auto="1"/>
      </x:top>
      <x:bottom style="thin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>
        <x:color auto="1"/>
      </x:left>
      <x:right>
        <x:color auto="1"/>
      </x:right>
      <x:top style="thin">
        <x:color auto="1"/>
      </x:top>
      <x:bottom style="medium">
        <x:color auto="1"/>
      </x:bottom>
    </x:border>
    <x:border>
      <x:left style="medium">
        <x:color auto="1"/>
      </x:left>
      <x:right>
        <x:color auto="1"/>
      </x:right>
      <x:top style="thin">
        <x:color auto="1"/>
      </x:top>
      <x:bottom>
        <x:color auto="1"/>
      </x:bottom>
    </x:border>
    <x:border>
      <x:left style="medium">
        <x:color auto="1"/>
      </x:left>
      <x:right>
        <x:color auto="1"/>
      </x:right>
      <x:top style="medium">
        <x:color auto="1"/>
      </x:top>
      <x:bottom style="thin">
        <x:color auto="1"/>
      </x:bottom>
    </x:border>
    <x:border>
      <x:left>
        <x:color auto="1"/>
      </x:left>
      <x:right style="medium">
        <x:color auto="1"/>
      </x:right>
      <x:top style="medium">
        <x:color auto="1"/>
      </x:top>
      <x:bottom style="thin">
        <x:color auto="1"/>
      </x:bottom>
    </x:border>
  </x:borders>
  <x:cellStyleXfs count="4">
    <x:xf numFmtId="0" fontId="0" fillId="0" borderId="0">
      <x:alignment horizontal="general" vertical="center"/>
    </x:xf>
    <x:xf numFmtId="9" fontId="0" fillId="0" borderId="0" applyFont="1" applyFill="1" applyBorder="1" applyAlignment="1" applyProtection="1">
      <x:alignment horizontal="general" vertical="center"/>
    </x:xf>
    <x:xf numFmtId="41" fontId="0" fillId="0" borderId="0" applyFont="1" applyFill="1" applyBorder="1" applyAlignment="1" applyProtection="1">
      <x:alignment horizontal="general" vertical="center"/>
    </x:xf>
    <x:xf numFmtId="41" fontId="0" fillId="0" borderId="0">
      <x:alignment horizontal="general" vertical="center"/>
    </x:xf>
  </x:cellStyleXfs>
  <x:cellXfs count="356">
    <x:xf numFmtId="0" fontId="0" fillId="0" borderId="0" xfId="0">
      <x:alignment horizontal="general" vertical="center"/>
    </x:xf>
    <x:xf numFmtId="0" fontId="0" fillId="0" borderId="0" xfId="0" applyNumberFormat="1">
      <x:alignment horizontal="general" vertical="center"/>
    </x:xf>
    <x:xf numFmtId="0" fontId="6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" xfId="2" applyNumberFormat="1" applyFont="1" applyBorder="1" applyAlignment="1">
          <x:alignment horizontal="center" vertical="center"/>
        </x:xf>
      </mc:Fallback>
    </mc:AlternateContent>
    <x:xf numFmtId="0" fontId="7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7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center"/>
        </x:xf>
      </mc:Fallback>
    </mc:AlternateContent>
    <x:xf numFmtId="41" fontId="0" fillId="0" borderId="1" xfId="2" applyNumberFormat="1" applyBorder="1">
      <x:alignment horizontal="general" vertical="center"/>
    </x:xf>
    <x:xf numFmtId="164" fontId="0" fillId="0" borderId="8" xfId="1" applyNumberFormat="1" applyBorder="1">
      <x:alignment horizontal="general" vertical="center"/>
    </x:xf>
    <x:xf numFmtId="0" fontId="0" fillId="0" borderId="1" xfId="0" applyNumberFormat="1" applyBorder="1">
      <x:alignment horizontal="general" vertical="center"/>
    </x:xf>
    <x:xf numFmtId="165" fontId="0" fillId="0" borderId="1" xfId="0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4" fontId="0" fillId="0" borderId="9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9" xfId="1" applyNumberFormat="1" applyBorder="1" applyAlignment="1">
          <x:alignment horizontal="center" vertical="center"/>
        </x:xf>
      </mc:Fallback>
    </mc:AlternateContent>
    <x:xf numFmtId="164" fontId="8" fillId="0" borderId="9" xfId="1" applyNumberFormat="1" applyFont="1" applyBorder="1">
      <x:alignment horizontal="general" vertical="center"/>
    </x:xf>
    <x:xf numFmtId="164" fontId="9" fillId="0" borderId="10" xfId="1" applyNumberFormat="1" applyFont="1" applyBorder="1">
      <x:alignment horizontal="general" vertical="center"/>
    </x:xf>
    <x:xf numFmtId="0" fontId="1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1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1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13" xfId="0" applyNumberFormat="1" applyFont="1" applyBorder="1" applyAlignment="1">
          <x:alignment horizontal="center" vertical="center"/>
        </x:xf>
      </mc:Fallback>
    </mc:AlternateContent>
    <x:xf numFmtId="41" fontId="12" fillId="0" borderId="14" xfId="2" applyNumberFormat="1" applyFont="1" applyBorder="1">
      <x:alignment horizontal="general" vertical="center"/>
    </x:xf>
    <x:xf numFmtId="41" fontId="12" fillId="0" borderId="15" xfId="2" applyNumberFormat="1" applyFont="1" applyBorder="1">
      <x:alignment horizontal="general" vertical="center"/>
    </x:xf>
    <x:xf numFmtId="41" fontId="10" fillId="0" borderId="16" xfId="2" applyNumberFormat="1" applyFont="1" applyBorder="1">
      <x:alignment horizontal="general" vertical="center"/>
    </x:xf>
    <x:xf numFmtId="165" fontId="13" fillId="0" borderId="17" xfId="0" applyNumberFormat="1" applyFont="1" applyBorder="1">
      <x:alignment horizontal="general" vertical="center"/>
    </x:xf>
    <x:xf numFmtId="164" fontId="13" fillId="0" borderId="18" xfId="1" applyNumberFormat="1" applyFont="1" applyBorder="1">
      <x:alignment horizontal="general" vertical="center"/>
    </x:xf>
    <x:xf numFmtId="164" fontId="13" fillId="0" borderId="19" xfId="1" applyNumberFormat="1" applyFont="1" applyBorder="1">
      <x:alignment horizontal="general" vertical="center"/>
    </x:xf>
    <x:xf numFmtId="41" fontId="12" fillId="0" borderId="7" xfId="2" applyNumberFormat="1" applyFont="1" applyBorder="1">
      <x:alignment horizontal="general" vertical="center"/>
    </x:xf>
    <x:xf numFmtId="41" fontId="12" fillId="0" borderId="1" xfId="2" applyNumberFormat="1" applyFont="1" applyBorder="1">
      <x:alignment horizontal="general" vertical="center"/>
    </x:xf>
    <x:xf numFmtId="165" fontId="13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2" fillId="0" borderId="8" xfId="2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8" xfId="2" applyNumberFormat="1" applyFont="1" applyBorder="1" applyAlignment="1">
          <x:alignment horizontal="right" vertical="center"/>
        </x:xf>
      </mc:Fallback>
    </mc:AlternateContent>
    <x:xf numFmtId="165" fontId="13" fillId="0" borderId="2" xfId="0" applyNumberFormat="1" applyFont="1" applyBorder="1">
      <x:alignment horizontal="general" vertical="center"/>
    </x:xf>
    <x:xf numFmtId="164" fontId="13" fillId="0" borderId="20" xfId="1" applyNumberFormat="1" applyFont="1" applyBorder="1">
      <x:alignment horizontal="general" vertical="center"/>
    </x:xf>
    <x:xf numFmtId="41" fontId="12" fillId="0" borderId="8" xfId="2" applyNumberFormat="1" applyFont="1" applyBorder="1">
      <x:alignment horizontal="general" vertical="center"/>
    </x:xf>
    <x:xf numFmtId="164" fontId="13" fillId="0" borderId="21" xfId="1" applyNumberFormat="1" applyFont="1" applyBorder="1">
      <x:alignment horizontal="general" vertical="center"/>
    </x:xf>
    <x:xf numFmtId="164" fontId="13" fillId="0" borderId="8" xfId="1" applyNumberFormat="1" applyFont="1" applyBorder="1">
      <x:alignment horizontal="general" vertical="center"/>
    </x:xf>
    <x:xf numFmtId="10" fontId="12" fillId="0" borderId="8" xfId="2" applyNumberFormat="1" applyFont="1" applyBorder="1">
      <x:alignment horizontal="general" vertical="center"/>
    </x:xf>
    <x:xf numFmtId="41" fontId="14" fillId="0" borderId="22" xfId="2" applyNumberFormat="1" applyFont="1" applyBorder="1">
      <x:alignment horizontal="general" vertical="center"/>
    </x:xf>
    <x:xf numFmtId="41" fontId="14" fillId="0" borderId="2" xfId="2" applyNumberFormat="1" applyFont="1" applyBorder="1">
      <x:alignment horizontal="general" vertical="center"/>
    </x:xf>
    <x:xf numFmtId="41" fontId="14" fillId="0" borderId="20" xfId="2" applyNumberFormat="1" applyFont="1" applyBorder="1">
      <x:alignment horizontal="general" vertical="center"/>
    </x:xf>
    <x:xf numFmtId="165" fontId="13" fillId="0" borderId="23" xfId="0" applyNumberFormat="1" applyFont="1" applyBorder="1">
      <x:alignment horizontal="general" vertical="center"/>
    </x:xf>
    <x:xf numFmtId="164" fontId="13" fillId="0" borderId="24" xfId="1" applyNumberFormat="1" applyFont="1" applyBorder="1">
      <x:alignment horizontal="general" vertical="center"/>
    </x:xf>
    <x:xf numFmtId="165" fontId="13" fillId="0" borderId="25" xfId="0" applyNumberFormat="1" applyFont="1" applyBorder="1">
      <x:alignment horizontal="general" vertical="center"/>
    </x:xf>
    <x:xf numFmtId="164" fontId="13" fillId="0" borderId="25" xfId="1" applyNumberFormat="1" applyFont="1" applyBorder="1">
      <x:alignment horizontal="general" vertical="center"/>
    </x:xf>
    <x:xf numFmtId="164" fontId="13" fillId="0" borderId="2" xfId="1" applyNumberFormat="1" applyFont="1" applyBorder="1">
      <x:alignment horizontal="general" vertical="center"/>
    </x:xf>
    <x:xf numFmtId="0" fontId="15" fillId="0" borderId="26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0" xfId="0" applyNumberFormat="1" applyFont="1" applyAlignment="1">
          <x:alignment horizontal="center" vertical="center"/>
        </x:xf>
      </mc:Fallback>
    </mc:AlternateContent>
    <x:xf numFmtId="0" fontId="15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" xfId="0" applyNumberFormat="1" applyFont="1" applyBorder="1" applyAlignment="1">
          <x:alignment horizontal="center" vertical="center"/>
        </x:xf>
      </mc:Fallback>
    </mc:AlternateContent>
    <x:xf numFmtId="41" fontId="15" fillId="0" borderId="8" xfId="2" applyNumberFormat="1" applyFont="1" applyBorder="1">
      <x:alignment horizontal="general" vertical="center"/>
    </x:xf>
    <x:xf numFmtId="0" fontId="15" fillId="0" borderId="1" xfId="0" applyNumberFormat="1" applyFont="1" applyBorder="1" applyAlignment="1">
      <x:alignment horizontal="left" vertical="center"/>
    </x:xf>
    <x:xf numFmtId="41" fontId="7" fillId="0" borderId="0" xfId="3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" xfId="0" applyNumberFormat="1" applyFont="1" applyFill="1" applyBorder="1" applyAlignment="1">
          <x:alignment horizontal="center" vertical="center"/>
        </x:xf>
      </mc:Fallback>
    </mc:AlternateContent>
    <x:xf numFmtId="41" fontId="15" fillId="2" borderId="8" xfId="2" applyNumberFormat="1" applyFont="1" applyFill="1" applyBorder="1">
      <x:alignment horizontal="general" vertical="center"/>
    </x:xf>
    <x:xf numFmtId="9" fontId="15" fillId="2" borderId="8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2" borderId="2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2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9" fontId="15" fillId="2" borderId="20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5" fillId="2" borderId="20" xfId="0" applyNumberFormat="1" applyFont="1" applyFill="1" applyBorder="1" applyAlignment="1">
          <x:alignment horizontal="right" vertical="center"/>
        </x:xf>
      </mc:Fallback>
    </mc:AlternateContent>
    <x:xf numFmtId="41" fontId="15" fillId="0" borderId="0" xfId="2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" xfId="0" applyNumberFormat="1" applyFont="1" applyBorder="1" applyAlignment="1">
          <x:alignment horizontal="center" vertical="center"/>
        </x:xf>
      </mc:Fallback>
    </mc:AlternateContent>
    <x:xf numFmtId="0" fontId="0" fillId="0" borderId="0" xfId="0" applyNumberFormat="1" applyAlignment="1">
      <x:alignment horizontal="general" vertical="top" wrapText="1"/>
    </x:xf>
    <x:xf numFmtId="164" fontId="0" fillId="0" borderId="27" xfId="1" applyNumberFormat="1" applyBorder="1">
      <x:alignment horizontal="general" vertical="center"/>
    </x:xf>
    <x:xf numFmtId="164" fontId="0" fillId="0" borderId="23" xfId="1" applyNumberFormat="1" applyBorder="1">
      <x:alignment horizontal="general" vertical="center"/>
    </x:xf>
    <x:xf numFmtId="164" fontId="0" fillId="0" borderId="2" xfId="1" applyNumberFormat="1" applyBorder="1">
      <x:alignment horizontal="general" vertical="center"/>
    </x:xf>
    <x:xf numFmtId="164" fontId="13" fillId="0" borderId="28" xfId="1" applyNumberFormat="1" applyFont="1" applyBorder="1">
      <x:alignment horizontal="general" vertical="center"/>
    </x:xf>
    <x:xf numFmtId="0" fontId="10" fillId="0" borderId="8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0" xfId="0" applyNumberFormat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0" xfId="0" applyNumberFormat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29" xfId="0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9" xfId="0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top" wrapText="1"/>
        </x:xf>
      </mc:Fallback>
    </mc:AlternateContent>
    <x:xf numFmtId="164" fontId="13" fillId="0" borderId="23" xfId="1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0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0" applyNumberFormat="1" applyFont="1" applyBorder="1" applyAlignment="1">
          <x:alignment horizontal="center" vertical="center"/>
        </x:xf>
      </mc:Fallback>
    </mc:AlternateContent>
    <x:xf numFmtId="41" fontId="0" fillId="0" borderId="0" xfId="0" applyNumberFormat="1" applyAlignment="1">
      <x:alignment horizontal="general" vertical="top" wrapText="1"/>
    </x:xf>
    <x:xf numFmtId="165" fontId="0" fillId="0" borderId="27" xfId="0" applyNumberFormat="1" applyBorder="1">
      <x:alignment horizontal="general" vertical="center"/>
    </x:xf>
    <x:xf numFmtId="165" fontId="0" fillId="0" borderId="25" xfId="0" applyNumberFormat="1" applyBorder="1">
      <x:alignment horizontal="general" vertical="center"/>
    </x:xf>
    <x:xf numFmtId="164" fontId="0" fillId="0" borderId="21" xfId="1" applyNumberFormat="1" applyBorder="1">
      <x:alignment horizontal="general" vertical="center"/>
    </x:xf>
    <x:xf numFmtId="165" fontId="0" fillId="0" borderId="2" xfId="0" applyNumberFormat="1" applyBorder="1">
      <x:alignment horizontal="general" vertical="center"/>
    </x:xf>
    <x:xf numFmtId="164" fontId="0" fillId="0" borderId="20" xfId="1" applyNumberFormat="1" applyBorder="1">
      <x:alignment horizontal="general" vertical="center"/>
    </x:xf>
    <x:xf numFmtId="0" fontId="15" fillId="0" borderId="3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3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1" xfId="0" applyNumberFormat="1" applyFont="1" applyBorder="1" applyAlignment="1">
          <x:alignment horizontal="center" vertical="center"/>
        </x:xf>
      </mc:Fallback>
    </mc:AlternateContent>
    <x:xf numFmtId="164" fontId="0" fillId="0" borderId="9" xfId="1" applyNumberFormat="1" applyBorder="1">
      <x:alignment horizontal="general" vertical="center"/>
    </x:xf>
    <x:xf numFmtId="41" fontId="0" fillId="0" borderId="2" xfId="2" applyNumberFormat="1" applyBorder="1">
      <x:alignment horizontal="general" vertical="center"/>
    </x:xf>
    <x:xf numFmtId="41" fontId="0" fillId="0" borderId="0" xfId="2" applyNumberFormat="1">
      <x:alignment horizontal="general" vertical="center"/>
    </x:xf>
    <x:xf numFmtId="165" fontId="0" fillId="0" borderId="0" xfId="0" applyNumberFormat="1">
      <x:alignment horizontal="general" vertical="center"/>
    </x:xf>
    <x:xf numFmtId="165" fontId="10" fillId="0" borderId="0" xfId="0" applyNumberFormat="1" applyFont="1">
      <x:alignment horizontal="general" vertical="center"/>
    </x:xf>
    <x:xf numFmtId="0" fontId="15" fillId="0" borderId="0" xfId="0" applyNumberFormat="1" applyFont="1" applyAlignment="1">
      <x:alignment horizontal="left" vertical="center"/>
    </x:xf>
    <x:xf numFmtId="0" fontId="0" fillId="0" borderId="17" xfId="0" applyNumberFormat="1" applyBorder="1">
      <x:alignment horizontal="general" vertical="center"/>
    </x:xf>
    <x:xf numFmtId="0" fontId="15" fillId="0" borderId="32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7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7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1" fillId="0" borderId="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1" fillId="0" borderId="9" xfId="0" applyNumberFormat="1" applyFont="1" applyBorder="1" applyAlignment="1">
          <x:alignment horizontal="center" vertical="center"/>
        </x:xf>
      </mc:Fallback>
    </mc:AlternateContent>
    <x:xf numFmtId="166" fontId="9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6" fontId="9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6" fontId="9" fillId="0" borderId="0" xfId="0" applyNumberFormat="1" applyFont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0" xfId="0" applyNumberFormat="1" applyFont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0" xfId="0" applyNumberFormat="1" applyFont="1" applyAlignment="1">
          <x:alignment horizontal="center" vertical="center"/>
        </x:xf>
      </mc:Fallback>
    </mc:AlternateContent>
    <x:xf numFmtId="0" fontId="18" fillId="0" borderId="27" xfId="0" applyNumberFormat="1" applyFont="1" applyBorder="1">
      <x:alignment horizontal="general" vertical="center"/>
    </x:xf>
    <x:xf numFmtId="41" fontId="0" fillId="0" borderId="0" xfId="0" applyNumberFormat="1">
      <x:alignment horizontal="general" vertical="center"/>
    </x:xf>
    <x:xf numFmtId="167" fontId="0" fillId="0" borderId="0" xfId="0" applyNumberFormat="1">
      <x:alignment horizontal="general" vertical="center"/>
    </x:xf>
    <x:xf numFmtId="41" fontId="0" fillId="0" borderId="17" xfId="2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3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1" xfId="0" applyNumberFormat="1" applyFont="1" applyFill="1" applyBorder="1" applyAlignment="1">
          <x:alignment horizontal="center" vertical="center"/>
        </x:xf>
      </mc:Fallback>
    </mc:AlternateContent>
    <x:xf numFmtId="41" fontId="15" fillId="3" borderId="8" xfId="2" applyNumberFormat="1" applyFont="1" applyFill="1" applyBorder="1">
      <x:alignment horizontal="general" vertical="center"/>
    </x:xf>
    <x:xf numFmtId="9" fontId="15" fillId="3" borderId="8" xfId="2" applyNumberFormat="1" applyFon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9" fontId="15" fillId="3" borderId="8" xfId="0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9" fontId="15" fillId="3" borderId="8" xfId="0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0" xfId="0" applyNumberFormat="1" applyFont="1" applyFill="1" applyBorder="1" applyAlignment="1">
          <x:alignment horizontal="center" vertical="center"/>
        </x:xf>
      </mc:Fallback>
    </mc:AlternateContent>
    <x:xf numFmtId="41" fontId="15" fillId="4" borderId="8" xfId="0" applyNumberFormat="1" applyFont="1" applyFill="1" applyBorder="1">
      <x:alignment horizontal="general" vertical="center"/>
    </x:xf>
    <x:xf numFmtId="9" fontId="15" fillId="4" borderId="8" xfId="0" applyNumberFormat="1" applyFont="1" applyFill="1" applyBorder="1">
      <x:alignment horizontal="general" vertical="center"/>
    </x:xf>
    <x:xf numFmtId="168" fontId="15" fillId="4" borderId="8" xfId="0" applyNumberFormat="1" applyFont="1" applyFill="1" applyBorder="1">
      <x:alignment horizontal="general" vertical="center"/>
    </x:xf>
    <x:xf numFmtId="165" fontId="13" fillId="0" borderId="27" xfId="0" applyNumberFormat="1" applyFont="1" applyBorder="1">
      <x:alignment horizontal="general" vertical="center"/>
    </x:xf>
    <x:xf numFmtId="164" fontId="13" fillId="0" borderId="33" xfId="1" applyNumberFormat="1" applyFont="1" applyBorder="1">
      <x:alignment horizontal="general" vertical="center"/>
    </x:xf>
    <x:xf numFmtId="164" fontId="13" fillId="0" borderId="34" xfId="1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9" fillId="0" borderId="3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9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9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1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9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9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0" xfId="2" applyNumberFormat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0" xfId="2" applyNumberFormat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1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1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8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8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20" xfId="2" applyNumberForma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20" xfId="2" applyNumberFormat="1" applyBorder="1" applyAlignment="1">
          <x:alignment horizontal="center" vertical="top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1" xfId="2" applyNumberFormat="1" applyFont="1" applyFill="1" applyBorder="1" applyAlignment="1">
          <x:alignment horizontal="center" vertical="center"/>
        </x:xf>
      </mc:Fallback>
    </mc:AlternateContent>
    <x:xf numFmtId="41" fontId="15" fillId="5" borderId="8" xfId="2" applyNumberFormat="1" applyFont="1" applyFill="1" applyBorder="1">
      <x:alignment horizontal="general" vertical="center"/>
    </x:xf>
    <x:xf numFmtId="41" fontId="15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165" fontId="15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15" fillId="0" borderId="8" xfId="0" applyNumberFormat="1" applyFont="1" applyBorder="1" applyAlignment="1">
          <x:alignment horizontal="center" vertical="center"/>
        </x:xf>
      </mc:Fallback>
    </mc:AlternateContent>
    <x:xf numFmtId="0" fontId="0" fillId="0" borderId="1" xfId="0" applyNumberFormat="1" applyFont="1" applyBorder="1">
      <x:alignment horizontal="general" vertical="center"/>
    </x:xf>
    <x:xf numFmtId="0" fontId="0" fillId="0" borderId="0" xfId="0" applyNumberFormat="1" applyFo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22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22" xfId="0" applyNumberFormat="1" applyFont="1" applyBorder="1" applyAlignment="1">
          <x:alignment horizontal="center" vertical="top" wrapText="1"/>
        </x:xf>
      </mc:Fallback>
    </mc:AlternateContent>
    <x:xf numFmtId="165" fontId="0" fillId="6" borderId="2" xfId="0" applyNumberFormat="1" applyFill="1" applyBorder="1">
      <x:alignment horizontal="general" vertical="center"/>
    </x:xf>
    <x:xf numFmtId="41" fontId="0" fillId="6" borderId="2" xfId="2" applyNumberFormat="1" applyFill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0" fillId="0" borderId="7" xfId="0" applyNumberFormat="1" applyFont="1" applyBorder="1" applyAlignment="1" hs:applyExtension="1">
          <x:alignment horizontal="center" vertical="top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7" xfId="0" applyNumberFormat="1" applyFont="1" applyBorder="1" applyAlignment="1">
          <x:alignment horizontal="center" vertical="top" wrapText="1"/>
        </x:xf>
      </mc:Fallback>
    </mc:AlternateContent>
    <x:xf numFmtId="9" fontId="0" fillId="0" borderId="8" xfId="1" applyNumberFormat="1" applyBorder="1">
      <x:alignment horizontal="general" vertical="center"/>
    </x:xf>
    <x:xf numFmtId="9" fontId="0" fillId="0" borderId="27" xfId="1" applyNumberFormat="1" applyBorder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8" fillId="0" borderId="1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1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3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3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8" fillId="0" borderId="39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8" fillId="0" borderId="39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4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4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8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8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1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1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7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7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7" borderId="1" xfId="0" applyNumberForma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7" borderId="1" xfId="0" applyNumberForma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42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42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19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19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8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8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1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1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3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3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4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4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45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45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46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46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2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2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5" fontId="0" fillId="0" borderId="48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5" fontId="0" fillId="0" borderId="48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2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2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3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34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34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164" fontId="0" fillId="0" borderId="28" xfId="1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164" fontId="0" fillId="0" borderId="28" xfId="1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4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4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2" fillId="0" borderId="3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2" fillId="0" borderId="3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49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49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50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50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1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1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13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13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0" fillId="0" borderId="39" xfId="2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0" fillId="0" borderId="39" xfId="2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7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7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0" fillId="0" borderId="35" xfId="0" applyNumberForma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0" fillId="0" borderId="35" xfId="0" applyNumberForma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49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49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3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3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7" fillId="0" borderId="54" xfId="0" applyNumberFormat="1" applyFont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7" fillId="0" borderId="54" xfId="0" applyNumberFormat="1" applyFont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5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5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5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5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1" xfId="2" applyNumberFormat="1" applyFont="1" applyBorder="1" applyAlignment="1">
          <x:alignment horizontal="center" vertical="center"/>
        </x:xf>
      </mc:Fallback>
    </mc:AlternateContent>
    <x:xf numFmtId="0" fontId="6" fillId="0" borderId="33" xfId="0" applyNumberFormat="1" applyFont="1" applyBorder="1" applyAlignment="1">
      <x:alignment horizontal="left" vertical="top"/>
    </x:xf>
    <x:xf numFmtId="0" fontId="6" fillId="0" borderId="57" xfId="0" applyNumberFormat="1" applyFont="1" applyBorder="1" applyAlignment="1">
      <x:alignment horizontal="left" vertical="top"/>
    </x:xf>
    <x:xf numFmtId="0" fontId="6" fillId="0" borderId="58" xfId="0" applyNumberFormat="1" applyFont="1" applyBorder="1" applyAlignment="1">
      <x:alignment horizontal="left" vertical="top"/>
    </x:xf>
    <x:xf numFmtId="0" fontId="6" fillId="0" borderId="24" xfId="0" applyNumberFormat="1" applyFont="1" applyBorder="1" applyAlignment="1">
      <x:alignment horizontal="left" vertical="top"/>
    </x:xf>
    <x:xf numFmtId="0" fontId="6" fillId="0" borderId="0" xfId="0" applyNumberFormat="1" applyFont="1" applyAlignment="1">
      <x:alignment horizontal="left" vertical="top"/>
    </x:xf>
    <x:xf numFmtId="0" fontId="6" fillId="0" borderId="59" xfId="0" applyNumberFormat="1" applyFont="1" applyBorder="1" applyAlignment="1">
      <x:alignment horizontal="left" vertical="top"/>
    </x:xf>
    <x:xf numFmtId="0" fontId="6" fillId="0" borderId="18" xfId="0" applyNumberFormat="1" applyFont="1" applyBorder="1" applyAlignment="1">
      <x:alignment horizontal="left" vertical="top"/>
    </x:xf>
    <x:xf numFmtId="0" fontId="6" fillId="0" borderId="60" xfId="0" applyNumberFormat="1" applyFont="1" applyBorder="1" applyAlignment="1">
      <x:alignment horizontal="left" vertical="top"/>
    </x:xf>
    <x:xf numFmtId="0" fontId="6" fillId="0" borderId="61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6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3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6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3" xfId="2" applyNumberFormat="1" applyFont="1" applyBorder="1" applyAlignment="1">
          <x:alignment horizontal="center" vertical="center"/>
        </x:xf>
      </mc:Fallback>
    </mc:AlternateContent>
    <x:xf numFmtId="0" fontId="6" fillId="0" borderId="1" xfId="0" applyNumberFormat="1" applyFont="1" applyBorder="1" applyAlignment="1">
      <x:alignment horizontal="left" vertical="top"/>
    </x:xf>
    <x:xf numFmtId="0" fontId="6" fillId="0" borderId="64" xfId="0" applyNumberFormat="1" applyFont="1" applyBorder="1" applyAlignment="1">
      <x:alignment horizontal="left" vertical="center"/>
    </x:xf>
    <x:xf numFmtId="0" fontId="6" fillId="0" borderId="65" xfId="0" applyNumberFormat="1" applyFont="1" applyBorder="1" applyAlignment="1">
      <x:alignment horizontal="left" vertical="center"/>
    </x:xf>
    <x:xf numFmtId="0" fontId="20" fillId="0" borderId="66" xfId="0" applyNumberFormat="1" applyFont="1" applyBorder="1" applyAlignment="1">
      <x:alignment horizontal="left" vertical="center"/>
    </x:xf>
    <x:xf numFmtId="0" fontId="20" fillId="0" borderId="67" xfId="0" applyNumberFormat="1" applyFont="1" applyBorder="1" applyAlignment="1">
      <x:alignment horizontal="left" vertical="center"/>
    </x:xf>
    <x:xf numFmtId="41" fontId="6" fillId="0" borderId="62" xfId="2" applyNumberFormat="1" applyFont="1" applyBorder="1" applyAlignment="1">
      <x:alignment horizontal="left" vertical="top"/>
    </x:xf>
    <x:xf numFmtId="41" fontId="6" fillId="0" borderId="68" xfId="2" applyNumberFormat="1" applyFont="1" applyBorder="1" applyAlignment="1">
      <x:alignment horizontal="left" vertical="top"/>
    </x:xf>
    <x:xf numFmtId="41" fontId="6" fillId="0" borderId="30" xfId="2" applyNumberFormat="1" applyFont="1" applyBorder="1" applyAlignment="1">
      <x:alignment horizontal="left" vertical="top"/>
    </x:xf>
    <x:xf numFmtId="41" fontId="6" fillId="0" borderId="69" xfId="2" applyNumberFormat="1" applyFont="1" applyBorder="1" applyAlignment="1">
      <x:alignment horizontal="left" vertical="top"/>
    </x:xf>
    <x:xf numFmtId="0" fontId="6" fillId="0" borderId="62" xfId="0" applyNumberFormat="1" applyFont="1" applyBorder="1" applyAlignment="1">
      <x:alignment horizontal="left" vertical="top"/>
    </x:xf>
    <x:xf numFmtId="0" fontId="6" fillId="0" borderId="68" xfId="0" applyNumberFormat="1" applyFont="1" applyBorder="1" applyAlignment="1">
      <x:alignment horizontal="left" vertical="top"/>
    </x:xf>
    <x:xf numFmtId="0" fontId="6" fillId="0" borderId="30" xfId="0" applyNumberFormat="1" applyFont="1" applyBorder="1" applyAlignment="1">
      <x:alignment horizontal="left" vertical="top"/>
    </x:xf>
    <x:xf numFmtId="0" fontId="6" fillId="0" borderId="69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6" fillId="0" borderId="6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6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4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4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3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3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6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6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21" fillId="0" borderId="26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21" fillId="0" borderId="26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6" fillId="0" borderId="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6" fillId="0" borderId="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7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7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7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7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5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5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6" fillId="0" borderId="2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6" fillId="0" borderId="2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72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2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6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6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2" borderId="7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3" xfId="0" applyNumberFormat="1" applyFont="1" applyFill="1" applyBorder="1" applyAlignment="1">
          <x:alignment horizontal="center" vertical="center"/>
        </x:xf>
      </mc:Fallback>
    </mc:AlternateContent>
    <x:xf numFmtId="0" fontId="7" fillId="2" borderId="74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0" fontId="15" fillId="3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25" xfId="0" applyNumberFormat="1" applyFont="1" applyFill="1" applyBorder="1" applyAlignment="1">
          <x:alignment horizontal="center" vertical="center"/>
        </x:xf>
      </mc:Fallback>
    </mc:AlternateContent>
    <x:xf numFmtId="0" fontId="7" fillId="3" borderId="21" xfId="0" applyNumberFormat="1" applyFont="1" applyFill="1" applyBorder="1" applyAlignment="1">
      <x:alignment horizontal="general" vertical="center"/>
    </x:xf>
    <mc:AlternateContent xmlns:mc="http://schemas.openxmlformats.org/markup-compatibility/2006">
      <mc:Choice xmlns:hs="http://schemas.haansoft.com/office/spreadsheet/8.0" Requires="hs">
        <x:xf numFmtId="41" fontId="15" fillId="0" borderId="4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4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29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29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25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25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7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7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5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5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5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5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4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4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27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27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3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8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0" xfId="0" applyNumberFormat="1" applyFont="1" applyBorder="1" applyAlignment="1">
          <x:alignment horizontal="center" vertical="center"/>
        </x:xf>
      </mc:Fallback>
    </mc:AlternateContent>
    <x:xf numFmtId="41" fontId="15" fillId="0" borderId="1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0" fontId="15" fillId="0" borderId="1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3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62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62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5" borderId="30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5" borderId="30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0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2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2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2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27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17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17" xfId="0" applyNumberFormat="1" applyFont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1" fontId="15" fillId="0" borderId="3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63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63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44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44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6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6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7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7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5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5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62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62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30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30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6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6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3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3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7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7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62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62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30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30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6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1" xfId="2" applyNumberFormat="1" applyFont="1" applyFill="1" applyBorder="1" applyAlignment="1">
          <x:alignment horizontal="center" vertical="center"/>
        </x:xf>
      </mc:Fallback>
    </mc:AlternateContent>
    <x:xf numFmtId="0" fontId="15" fillId="0" borderId="1" xfId="0" applyNumberFormat="1" applyFont="1" applyBorder="1" applyAlignment="1">
      <x:alignment horizontal="left" vertical="top" wrapText="1"/>
    </x:xf>
    <x:xf numFmtId="0" fontId="15" fillId="0" borderId="1" xfId="0" applyNumberFormat="1" applyFont="1" applyBorder="1" applyAlignment="1">
      <x:alignment horizontal="left" vertical="top"/>
    </x:xf>
    <mc:AlternateContent xmlns:mc="http://schemas.openxmlformats.org/markup-compatibility/2006">
      <mc:Choice xmlns:hs="http://schemas.haansoft.com/office/spreadsheet/8.0" Requires="hs">
        <x:xf numFmtId="0" fontId="15" fillId="4" borderId="7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7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2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2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3" xfId="0" applyNumberFormat="1" applyFont="1" applyFill="1" applyBorder="1" applyAlignment="1" hs:applyExtension="1">
          <x:alignment horizontal="center" vertical="center" wrapTex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3" xfId="0" applyNumberFormat="1" applyFont="1" applyFill="1" applyBorder="1" applyAlignment="1">
          <x:alignment horizontal="center" vertical="center" wrapTex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3" fontId="15" fillId="0" borderId="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3" fontId="15" fillId="0" borderId="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6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6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8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8" xfId="0" applyNumberFormat="1" applyFont="1" applyBorder="1" applyAlignment="1">
          <x:alignment horizontal="center" vertical="center"/>
        </x:xf>
      </mc:Fallback>
    </mc:AlternateContent>
    <x:xf numFmtId="0" fontId="15" fillId="0" borderId="62" xfId="0" applyNumberFormat="1" applyFont="1" applyBorder="1" applyAlignment="1">
      <x:alignment horizontal="left" vertical="top" wrapText="1"/>
    </x:xf>
    <x:xf numFmtId="0" fontId="15" fillId="0" borderId="68" xfId="0" applyNumberFormat="1" applyFont="1" applyBorder="1" applyAlignment="1">
      <x:alignment horizontal="left" vertical="top" wrapText="1"/>
    </x:xf>
    <x:xf numFmtId="0" fontId="15" fillId="0" borderId="30" xfId="0" applyNumberFormat="1" applyFont="1" applyBorder="1" applyAlignment="1">
      <x:alignment horizontal="left" vertical="top" wrapText="1"/>
    </x:xf>
    <mc:AlternateContent xmlns:mc="http://schemas.openxmlformats.org/markup-compatibility/2006">
      <mc:Choice xmlns:hs="http://schemas.haansoft.com/office/spreadsheet/8.0" Requires="hs">
        <x:xf numFmtId="0" fontId="15" fillId="2" borderId="7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2" borderId="7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2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2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0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1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1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5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5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43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43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8" borderId="4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8" borderId="4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55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55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53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53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18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18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44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44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3" borderId="56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56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3" borderId="74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3" borderId="74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1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1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4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41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4" borderId="30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4" borderId="30" xfId="0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62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62" xfId="0" applyNumberFormat="1" applyFont="1" applyBorder="1" applyAlignment="1">
          <x:alignment horizontal="center" vertical="center" shrinkToFit="1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30" xfId="0" applyNumberFormat="1" applyFont="1" applyBorder="1" applyAlignment="1" hs:applyExtension="1">
          <x:alignment horizontal="center" vertical="center" shrinkToFit="1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30" xfId="0" applyNumberFormat="1" applyFont="1" applyBorder="1" applyAlignment="1">
          <x:alignment horizontal="center" vertical="center" shrinkToFit="1"/>
        </x:xf>
      </mc:Fallback>
    </mc:AlternateContent>
    <x:xf numFmtId="0" fontId="15" fillId="0" borderId="62" xfId="0" applyNumberFormat="1" applyFont="1" applyBorder="1" applyAlignment="1">
      <x:alignment horizontal="left" vertical="center" wrapText="1"/>
    </x:xf>
    <x:xf numFmtId="0" fontId="15" fillId="0" borderId="68" xfId="0" applyNumberFormat="1" applyFont="1" applyBorder="1" applyAlignment="1">
      <x:alignment horizontal="left" vertical="center" wrapText="1"/>
    </x:xf>
    <x:xf numFmtId="0" fontId="15" fillId="0" borderId="30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0" fontId="15" fillId="0" borderId="72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72" xfId="0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0" borderId="43" xfId="0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0" borderId="43" xfId="0" applyNumberFormat="1" applyFont="1" applyBorder="1" applyAlignment="1">
          <x:alignment horizontal="center" vertical="center"/>
        </x:xf>
      </mc:Fallback>
    </mc:AlternateContent>
    <x:xf numFmtId="41" fontId="15" fillId="0" borderId="62" xfId="2" applyNumberFormat="1" applyFont="1" applyBorder="1" applyAlignment="1">
      <x:alignment horizontal="left" vertical="center"/>
    </x:xf>
    <x:xf numFmtId="41" fontId="15" fillId="0" borderId="68" xfId="2" applyNumberFormat="1" applyFont="1" applyBorder="1" applyAlignment="1">
      <x:alignment horizontal="left" vertical="center"/>
    </x:xf>
    <x:xf numFmtId="41" fontId="15" fillId="0" borderId="30" xfId="2" applyNumberFormat="1" applyFont="1" applyBorder="1" applyAlignment="1">
      <x:alignment horizontal="left" vertical="center"/>
    </x:xf>
    <mc:AlternateContent xmlns:mc="http://schemas.openxmlformats.org/markup-compatibility/2006">
      <mc:Choice xmlns:hs="http://schemas.haansoft.com/office/spreadsheet/8.0" Requires="hs">
        <x:xf numFmtId="41" fontId="15" fillId="0" borderId="68" xfId="2" applyNumberFormat="1" applyFont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68" xfId="2" applyNumberFormat="1" applyFont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5" borderId="4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5" borderId="4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1" fontId="15" fillId="0" borderId="1" xfId="2" applyNumberFormat="1" applyFont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0" borderId="1" xfId="2" applyNumberFormat="1" applyFont="1" applyBorder="1" applyAlignment="1">
          <x:alignment horizontal="right" vertical="center"/>
        </x:xf>
      </mc:Fallback>
    </mc:AlternateContent>
    <x:xf numFmtId="3" fontId="15" fillId="0" borderId="1" xfId="0" applyNumberFormat="1" applyFont="1" applyBorder="1" applyAlignment="1">
      <x:alignment horizontal="left" vertical="center" wrapText="1"/>
    </x:xf>
    <mc:AlternateContent xmlns:mc="http://schemas.openxmlformats.org/markup-compatibility/2006">
      <mc:Choice xmlns:hs="http://schemas.haansoft.com/office/spreadsheet/8.0" Requires="hs">
        <x:xf numFmtId="41" fontId="15" fillId="6" borderId="1" xfId="2" applyNumberFormat="1" applyFont="1" applyFill="1" applyBorder="1" applyAlignment="1" hs:applyExtension="1">
          <x:alignment horizontal="right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1" fontId="15" fillId="6" borderId="1" xfId="2" applyNumberFormat="1" applyFont="1" applyFill="1" applyBorder="1" applyAlignment="1">
          <x:alignment horizontal="right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43" fontId="15" fillId="5" borderId="1" xfId="2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43" fontId="15" fillId="5" borderId="1" xfId="2" applyNumberFormat="1" applyFont="1" applyFill="1" applyBorder="1" applyAlignment="1">
          <x:alignment horizontal="center" vertical="center"/>
        </x:xf>
      </mc:Fallback>
    </mc:AlternateContent>
    <mc:AlternateContent xmlns:mc="http://schemas.openxmlformats.org/markup-compatibility/2006">
      <mc:Choice xmlns:hs="http://schemas.haansoft.com/office/spreadsheet/8.0" Requires="hs">
        <x:xf numFmtId="0" fontId="15" fillId="6" borderId="1" xfId="0" applyNumberFormat="1" applyFont="1" applyFill="1" applyBorder="1" applyAlignment="1" hs:applyExtension="1">
          <x:alignment horizontal="center" vertical="center"/>
          <hs:parashape hs:lineSpacingType="betweenLines" hs:lineSpacing="75" hs:breakNonLatinWord="breakWord" hs:breakLatinWord="keepWord" hs:condense="0" hs:textAlignment="baseLine"/>
        </x:xf>
      </mc:Choice>
      <mc:Fallback>
        <x:xf numFmtId="0" fontId="15" fillId="6" borderId="1" xfId="0" applyNumberFormat="1" applyFont="1" applyFill="1" applyBorder="1" applyAlignment="1">
          <x:alignment horizontal="center" vertical="center"/>
        </x:xf>
      </mc:Fallback>
    </mc:AlternateContent>
  </x:cellXfs>
  <x:cellStyles count="4">
    <x:cellStyle name="표준" xfId="0" builtinId="0"/>
    <x:cellStyle name="백분율" xfId="1" builtinId="5"/>
    <x:cellStyle name="쉼표 [0]" xfId="2" builtinId="6"/>
    <x:cellStyle name="쉼표 [0] 3" xfId="3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9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10" Type="http://schemas.openxmlformats.org/officeDocument/2006/relationships/worksheet" Target="worksheets/sheet7.xml"  /><Relationship Id="rId11" Type="http://schemas.openxmlformats.org/officeDocument/2006/relationships/worksheet" Target="worksheets/sheet8.xml"  /><Relationship Id="rId12" Type="http://schemas.openxmlformats.org/officeDocument/2006/relationships/worksheet" Target="worksheets/sheet9.xml"  /><Relationship Id="rId13" Type="http://schemas.openxmlformats.org/officeDocument/2006/relationships/worksheet" Target="worksheets/sheet10.xml"  /><Relationship Id="rId14" Type="http://schemas.openxmlformats.org/officeDocument/2006/relationships/worksheet" Target="worksheets/sheet11.xml"  /><Relationship Id="rId15" Type="http://schemas.openxmlformats.org/officeDocument/2006/relationships/worksheet" Target="worksheets/sheet12.xml"  /><Relationship Id="rId16" Type="http://schemas.openxmlformats.org/officeDocument/2006/relationships/worksheet" Target="worksheets/sheet13.xml"  /><Relationship Id="rId17" Type="http://schemas.openxmlformats.org/officeDocument/2006/relationships/worksheet" Target="worksheets/sheet14.xml"  /><Relationship Id="rId18" Type="http://schemas.openxmlformats.org/officeDocument/2006/relationships/worksheet" Target="worksheets/sheet15.xml"  /><Relationship Id="rId19" Type="http://schemas.openxmlformats.org/officeDocument/2006/relationships/worksheet" Target="worksheets/sheet16.xml"  /><Relationship Id="rId2" Type="http://schemas.openxmlformats.org/officeDocument/2006/relationships/styles" Target="styles.xml"  /><Relationship Id="rId20" Type="http://schemas.openxmlformats.org/officeDocument/2006/relationships/worksheet" Target="worksheets/sheet17.xml"  /><Relationship Id="rId21" Type="http://schemas.openxmlformats.org/officeDocument/2006/relationships/worksheet" Target="worksheets/sheet18.xml"  /><Relationship Id="rId22" Type="http://schemas.openxmlformats.org/officeDocument/2006/relationships/worksheet" Target="worksheets/sheet19.xml"  /><Relationship Id="rId23" Type="http://schemas.openxmlformats.org/officeDocument/2006/relationships/worksheet" Target="worksheets/sheet20.xml"  /><Relationship Id="rId24" Type="http://schemas.openxmlformats.org/officeDocument/2006/relationships/worksheet" Target="worksheets/sheet21.xml"  /><Relationship Id="rId25" Type="http://schemas.openxmlformats.org/officeDocument/2006/relationships/worksheet" Target="worksheets/sheet22.xml"  /><Relationship Id="rId26" Type="http://schemas.openxmlformats.org/officeDocument/2006/relationships/worksheet" Target="worksheets/sheet23.xml"  /><Relationship Id="rId27" Type="http://schemas.openxmlformats.org/officeDocument/2006/relationships/worksheet" Target="worksheets/sheet24.xml"  /><Relationship Id="rId28" Type="http://schemas.openxmlformats.org/officeDocument/2006/relationships/worksheet" Target="worksheets/sheet25.xml"  /><Relationship Id="rId29" Type="http://schemas.openxmlformats.org/officeDocument/2006/relationships/worksheet" Target="worksheets/sheet26.xml"  /><Relationship Id="rId3" Type="http://schemas.openxmlformats.org/officeDocument/2006/relationships/sharedStrings" Target="sharedStrings.xml"  /><Relationship Id="rId30" Type="http://schemas.openxmlformats.org/officeDocument/2006/relationships/worksheet" Target="worksheets/sheet27.xml"  /><Relationship Id="rId31" Type="http://schemas.openxmlformats.org/officeDocument/2006/relationships/worksheet" Target="worksheets/sheet28.xml"  /><Relationship Id="rId32" Type="http://schemas.openxmlformats.org/officeDocument/2006/relationships/worksheet" Target="worksheets/sheet29.xml"  /><Relationship Id="rId33" Type="http://schemas.openxmlformats.org/officeDocument/2006/relationships/worksheet" Target="worksheets/sheet30.xml"  /><Relationship Id="rId34" Type="http://schemas.openxmlformats.org/officeDocument/2006/relationships/worksheet" Target="worksheets/sheet31.xml"  /><Relationship Id="rId35" Type="http://schemas.openxmlformats.org/officeDocument/2006/relationships/worksheet" Target="worksheets/sheet32.xml"  /><Relationship Id="rId36" Type="http://schemas.openxmlformats.org/officeDocument/2006/relationships/worksheet" Target="worksheets/sheet33.xml"  /><Relationship Id="rId37" Type="http://schemas.openxmlformats.org/officeDocument/2006/relationships/worksheet" Target="worksheets/sheet34.xml"  /><Relationship Id="rId4" Type="http://schemas.openxmlformats.org/officeDocument/2006/relationships/worksheet" Target="worksheets/sheet1.xml"  /><Relationship Id="rId5" Type="http://schemas.openxmlformats.org/officeDocument/2006/relationships/worksheet" Target="worksheets/sheet2.xml"  /><Relationship Id="rId6" Type="http://schemas.openxmlformats.org/officeDocument/2006/relationships/worksheet" Target="worksheets/sheet3.xml"  /><Relationship Id="rId7" Type="http://schemas.openxmlformats.org/officeDocument/2006/relationships/worksheet" Target="worksheets/sheet4.xml"  /><Relationship Id="rId8" Type="http://schemas.openxmlformats.org/officeDocument/2006/relationships/worksheet" Target="worksheets/sheet5.xml"  /><Relationship Id="rId9" Type="http://schemas.openxmlformats.org/officeDocument/2006/relationships/worksheet" Target="worksheets/sheet6.xml"  /></Relationships>
</file>

<file path=xl/charts/chart0.xml><?xml version="1.0" encoding="utf-8"?>
<c:chartSpace xmlns:r="http://schemas.openxmlformats.org/officeDocument/2006/relationships" xmlns:a="http://schemas.openxmlformats.org/drawingml/2006/main" xmlns:c="http://schemas.openxmlformats.org/drawingml/2006/chart">
  <c:date1904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roundedCorners val="0"/>
  <c:chart>
    <c:title>
      <c:layout/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'10'!$C$1:$C$11</c:f>
              <c:strCache>
                <c:ptCount val="1"/>
                <c:pt idx="0">
                  <c:v>2025년3,205,0002,807,244397,75661,350214,000</c:v>
                </c:pt>
              </c:strCache>
            </c:strRef>
          </c:tx>
          <c:spPr>
            <a:solidFill>
              <a:schemeClr val="accent1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8">
                    <c:v>직원E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3205000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'10'!$C$12:$C$34</c:f>
              <c:numCache>
                <c:formatCode>General</c:formatCode>
                <c:ptCount val="23"/>
                <c:pt idx="0">
                  <c:v>4</c:v>
                </c:pt>
                <c:pt idx="1">
                  <c:v>196</c:v>
                </c:pt>
                <c:pt idx="2">
                  <c:v>34</c:v>
                </c:pt>
                <c:pt idx="3">
                  <c:v>553</c:v>
                </c:pt>
                <c:pt idx="4">
                  <c:v>4</c:v>
                </c:pt>
                <c:pt idx="5">
                  <c:v>62</c:v>
                </c:pt>
                <c:pt idx="6">
                  <c:v>26</c:v>
                </c:pt>
                <c:pt idx="7">
                  <c:v>336</c:v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>0</c:v>
                </c:pt>
                <c:pt idx="13">
                  <c:v>4179250</c:v>
                </c:pt>
                <c:pt idx="14">
                  <c:v/>
                </c:pt>
                <c:pt idx="15">
                  <c:v>129032.258064516</c:v>
                </c:pt>
                <c:pt idx="16">
                  <c:v>122580.64516129</c:v>
                </c:pt>
                <c:pt idx="17">
                  <c:v>103225.806451613</c:v>
                </c:pt>
                <c:pt idx="18">
                  <c:v>109677.419354839</c:v>
                </c:pt>
                <c:pt idx="19">
                  <c:v>112903.225806452</c:v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1"/>
          <c:order val="1"/>
          <c:tx>
            <c:strRef>
              <c:f>'10'!$D$1:$D$11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8">
                    <c:v>직원E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3205000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'10'!$D$12:$D$34</c:f>
              <c:numCache>
                <c:formatCode>General</c:formatCode>
                <c:ptCount val="23"/>
                <c:pt idx="0">
                  <c:v>0</c:v>
                </c:pt>
                <c:pt idx="1">
                  <c:v/>
                </c:pt>
                <c:pt idx="2">
                  <c:v>0</c:v>
                </c:pt>
                <c:pt idx="3">
                  <c:v/>
                </c:pt>
                <c:pt idx="4">
                  <c:v>0</c:v>
                </c:pt>
                <c:pt idx="5">
                  <c:v/>
                </c:pt>
                <c:pt idx="6">
                  <c:v>0</c:v>
                </c:pt>
                <c:pt idx="7">
                  <c:v/>
                </c:pt>
                <c:pt idx="8">
                  <c:v>0</c:v>
                </c:pt>
                <c:pt idx="9">
                  <c:v>0</c:v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2"/>
          <c:order val="2"/>
          <c:tx>
            <c:strRef>
              <c:f>'10'!$E$1:$E$11</c:f>
              <c:strCache>
                <c:ptCount val="1"/>
                <c:pt idx="0">
                  <c:v>3시재카드수수료(2.75%)현금수수료(1%)통장입금마감잔금카드할인</c:v>
                </c:pt>
              </c:strCache>
            </c:strRef>
          </c:tx>
          <c:spPr>
            <a:solidFill>
              <a:schemeClr val="accent3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8">
                    <c:v>직원E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3205000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'10'!$E$12:$E$34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>0</c:v>
                </c:pt>
                <c:pt idx="13">
                  <c:v>41792500</c:v>
                </c:pt>
                <c:pt idx="14">
                  <c:v/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/>
                </c:pt>
                <c:pt idx="19">
                  <c:v>0</c:v>
                </c:pt>
                <c:pt idx="20">
                  <c:v>0</c:v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3"/>
          <c:order val="3"/>
          <c:tx>
            <c:strRef>
              <c:f>'10'!$F$1:$F$11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4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8">
                    <c:v>직원E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3205000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'10'!$F$12:$F$34</c:f>
              <c:numCache>
                <c:formatCode>General</c:formatCode>
                <c:ptCount val="23"/>
                <c:pt idx="0">
                  <c:v>8</c:v>
                </c:pt>
                <c:pt idx="1">
                  <c:v>71</c:v>
                </c:pt>
                <c:pt idx="2">
                  <c:v>12</c:v>
                </c:pt>
                <c:pt idx="3">
                  <c:v>249</c:v>
                </c:pt>
                <c:pt idx="4">
                  <c:v>8</c:v>
                </c:pt>
                <c:pt idx="5">
                  <c:v>122</c:v>
                </c:pt>
                <c:pt idx="6">
                  <c:v>15</c:v>
                </c:pt>
                <c:pt idx="7">
                  <c:v>122</c:v>
                </c:pt>
                <c:pt idx="8">
                  <c:v>53</c:v>
                </c:pt>
                <c:pt idx="9">
                  <c:v>591</c:v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>52000</c:v>
                </c:pt>
                <c:pt idx="17">
                  <c:v/>
                </c:pt>
                <c:pt idx="18">
                  <c:v/>
                </c:pt>
                <c:pt idx="19">
                  <c:v>120000</c:v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4"/>
          <c:order val="4"/>
          <c:tx>
            <c:strRef>
              <c:f>'10'!$G$1:$G$11</c:f>
              <c:strCache>
                <c:ptCount val="1"/>
                <c:pt idx="0">
                  <c:v>월123,55077,1993,977460,00061,306</c:v>
                </c:pt>
              </c:strCache>
            </c:strRef>
          </c:tx>
          <c:spPr>
            <a:solidFill>
              <a:schemeClr val="accent5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8">
                    <c:v>직원E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3205000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'10'!$G$12:$G$34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/>
                </c:pt>
                <c:pt idx="12">
                  <c:v/>
                </c:pt>
                <c:pt idx="13">
                  <c:v/>
                </c:pt>
                <c:pt idx="14">
                  <c:v/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5"/>
          <c:order val="5"/>
          <c:tx>
            <c:strRef>
              <c:f>'10'!$H$1:$H$11</c:f>
              <c:strCache>
                <c:ptCount val="1"/>
                <c:pt idx="0">
                  <c:v>실영업일수식자재업체고기식자재주류쌀참기름</c:v>
                </c:pt>
              </c:strCache>
            </c:strRef>
          </c:tx>
          <c:spPr>
            <a:solidFill>
              <a:schemeClr val="accent6"/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8">
                    <c:v>직원E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3205000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'10'!$H$12:$H$34</c:f>
              <c:numCache>
                <c:formatCode>General</c:formatCode>
                <c:ptCount val="2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/>
                </c:pt>
                <c:pt idx="5">
                  <c:v>0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6"/>
          <c:order val="6"/>
          <c:tx>
            <c:strRef>
              <c:f>'10'!$I$1:$I$11</c:f>
              <c:strCache>
                <c:ptCount val="1"/>
                <c:pt idx="0">
                  <c:v>10금액424,010426,708276,60056,000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8">
                    <c:v>직원E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3205000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'10'!$I$13:$I$34</c:f>
              <c:numCache>
                <c:formatCode>General</c:formatCode>
                <c:ptCount val="22"/>
                <c:pt idx="0">
                  <c:v/>
                </c:pt>
                <c:pt idx="1">
                  <c:v/>
                </c:pt>
                <c:pt idx="2">
                  <c:v>188400</c:v>
                </c:pt>
                <c:pt idx="3">
                  <c:v/>
                </c:pt>
                <c:pt idx="4">
                  <c:v/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>1371718</c:v>
                </c:pt>
                <c:pt idx="11">
                  <c:v>0.427993135725429</c:v>
                </c:pt>
                <c:pt idx="12">
                  <c:v>0</c:v>
                </c:pt>
                <c:pt idx="13">
                  <c:v>0</c:v>
                </c:pt>
                <c:pt idx="14">
                  <c:v>749419.35483871</c:v>
                </c:pt>
                <c:pt idx="15">
                  <c:v>0.233828191837351</c:v>
                </c:pt>
                <c:pt idx="16">
                  <c:v>71148041</c:v>
                </c:pt>
                <c:pt idx="17">
                  <c:v>94.937554709022</c:v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</c:numCache>
            </c:numRef>
          </c:val>
        </c:ser>
        <c:ser>
          <c:idx val="7"/>
          <c:order val="7"/>
          <c:tx>
            <c:strRef>
              <c:f>'10'!$J$1:$J$11</c:f>
              <c:strCache>
                <c:ptCount val="1"/>
                <c:pt idx="0">
                  <c:v>휴무일수비품 및 기타경비업체숯음식물스티커종량제봉투뚝배기발매트불판세척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8">
                    <c:v>직원E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3205000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'10'!$J$12:$J$34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ser>
          <c:idx val="8"/>
          <c:order val="8"/>
          <c:tx>
            <c:strRef>
              <c:f>'10'!$K$1:$K$11</c:f>
              <c:strCache>
                <c:ptCount val="1"/>
                <c:pt idx="0">
                  <c:v>금액13,00014,194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 w="9525">
              <a:noFill/>
            </a:ln>
            <a:effectLst/>
          </c:spPr>
          <c:invertIfNegative val="0"/>
          <c:cat>
            <c:multiLvlStrRef>
              <c:f>'10'!$A$12:$B$34</c:f>
              <c:multiLvlStrCache>
                <c:ptCount val="22"/>
                <c:lvl>
                  <c:pt idx="0">
                    <c:v>목살</c:v>
                  </c:pt>
                  <c:pt idx="2">
                    <c:v>생갈비</c:v>
                  </c:pt>
                  <c:pt idx="4">
                    <c:v>육회</c:v>
                  </c:pt>
                  <c:pt idx="6">
                    <c:v>소갈비살</c:v>
                  </c:pt>
                  <c:pt idx="15">
                    <c:v>직원A</c:v>
                  </c:pt>
                  <c:pt idx="16">
                    <c:v>직원B</c:v>
                  </c:pt>
                  <c:pt idx="17">
                    <c:v>직원D</c:v>
                  </c:pt>
                  <c:pt idx="18">
                    <c:v>직원E</c:v>
                  </c:pt>
                  <c:pt idx="19">
                    <c:v>직원C</c:v>
                  </c:pt>
                  <c:pt idx="20">
                    <c:v>알바A</c:v>
                  </c:pt>
                  <c:pt idx="21">
                    <c:v>알바B</c:v>
                  </c:pt>
                </c:lvl>
                <c:lvl>
                  <c:pt idx="0">
                    <c:v>개수</c:v>
                  </c:pt>
                  <c:pt idx="1">
                    <c:v>매출누계</c:v>
                  </c:pt>
                  <c:pt idx="2">
                    <c:v>개수</c:v>
                  </c:pt>
                  <c:pt idx="3">
                    <c:v>매출누계</c:v>
                  </c:pt>
                  <c:pt idx="4">
                    <c:v>개수</c:v>
                  </c:pt>
                  <c:pt idx="5">
                    <c:v>매출누계</c:v>
                  </c:pt>
                  <c:pt idx="6">
                    <c:v>개수</c:v>
                  </c:pt>
                  <c:pt idx="7">
                    <c:v>매출누계</c:v>
                  </c:pt>
                  <c:pt idx="10">
                    <c:v>중간출금</c:v>
                  </c:pt>
                  <c:pt idx="11">
                    <c:v>출금내역</c:v>
                  </c:pt>
                  <c:pt idx="12">
                    <c:v>일매출</c:v>
                  </c:pt>
                  <c:pt idx="13">
                    <c:v>3205000</c:v>
                  </c:pt>
                  <c:pt idx="14">
                    <c:v>전   월</c:v>
                  </c:pt>
                  <c:pt idx="15">
                    <c:v>인
건
비</c:v>
                  </c:pt>
                </c:lvl>
              </c:multiLvlStrCache>
            </c:multiLvlStrRef>
          </c:cat>
          <c:val>
            <c:numRef>
              <c:f>'10'!$K$12:$K$34</c:f>
              <c:numCache>
                <c:formatCode>General</c:formatCode>
                <c:ptCount val="23"/>
                <c:pt idx="0">
                  <c:v/>
                </c:pt>
                <c:pt idx="1">
                  <c:v/>
                </c:pt>
                <c:pt idx="2">
                  <c:v/>
                </c:pt>
                <c:pt idx="3">
                  <c:v/>
                </c:pt>
                <c:pt idx="4">
                  <c:v>381140</c:v>
                </c:pt>
                <c:pt idx="5">
                  <c:v/>
                </c:pt>
                <c:pt idx="6">
                  <c:v/>
                </c:pt>
                <c:pt idx="7">
                  <c:v/>
                </c:pt>
                <c:pt idx="8">
                  <c:v/>
                </c:pt>
                <c:pt idx="9">
                  <c:v/>
                </c:pt>
                <c:pt idx="10">
                  <c:v/>
                </c:pt>
                <c:pt idx="11">
                  <c:v>408334</c:v>
                </c:pt>
                <c:pt idx="12">
                  <c:v>0.127405304212168</c:v>
                </c:pt>
                <c:pt idx="13">
                  <c:v>0</c:v>
                </c:pt>
                <c:pt idx="14">
                  <c:v>0</c:v>
                </c:pt>
                <c:pt idx="15">
                  <c:v/>
                </c:pt>
                <c:pt idx="16">
                  <c:v/>
                </c:pt>
                <c:pt idx="17">
                  <c:v/>
                </c:pt>
                <c:pt idx="18">
                  <c:v/>
                </c:pt>
                <c:pt idx="19">
                  <c:v/>
                </c:pt>
                <c:pt idx="20">
                  <c:v/>
                </c:pt>
                <c:pt idx="21">
                  <c:v/>
                </c:pt>
                <c:pt idx="22">
                  <c:v/>
                </c:pt>
              </c:numCache>
            </c:numRef>
          </c:val>
        </c:ser>
        <c:dLbls>
          <c:delete val="0"/>
          <c:dLblPos val="outEnd"/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219"/>
        <c:overlap val="-27"/>
        <c:axId val="367527704"/>
        <c:axId val="367533104"/>
      </c:barChart>
      <c:catAx>
        <c:axId val="367527704"/>
        <c:scaling>
          <c:orientation val="minMax"/>
        </c:scaling>
        <c:axPos val="b"/>
        <c:crossAx val="367533104"/>
        <c:delete val="0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/>
          </a:p>
        </c:txPr>
        <c:crosses val="autoZero"/>
        <c:auto val="1"/>
        <c:lblAlgn val="ctr"/>
        <c:lblOffset val="100"/>
        <c:tickMarkSkip val="1"/>
        <c:noMultiLvlLbl val="0"/>
      </c:catAx>
      <c:valAx>
        <c:axId val="367533104"/>
        <c:scaling>
          <c:orientation val="minMax"/>
        </c:scaling>
        <c:axPos val="l"/>
        <c:crossAx val="367527704"/>
        <c:delete val="0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/>
          </a:p>
        </c:txPr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 w="9525">
          <a:noFill/>
        </a:ln>
        <a:effectLst/>
      </c:spPr>
      <c:txPr>
        <a:bodyPr rot="0" vert="horz" wrap="none" lIns="0" tIns="0" rIns="0" bIns="0" anchor="ctr" anchorCtr="1"/>
        <a:p>
          <a:pPr algn="l">
            <a:defRPr sz="9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/>
        </a:p>
      </c:txPr>
    </c:legend>
    <c:plotVisOnly val="0"/>
    <c:dispBlanksAs val="gap"/>
  </c:chart>
  <c:txPr>
    <a:bodyPr rot="0" vert="horz" wrap="none" lIns="0" tIns="0" rIns="0" bIns="0" anchor="ctr" anchorCtr="1"/>
    <a:p>
      <a:pPr algn="l">
        <a:defRPr b="0" i="0" u="none"/>
      </a:pPr>
      <a:endParaRPr/>
    </a:p>
  </c:txPr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extLst>
    <c:ext uri="CC8EB2C9-7E31-499d-B8F2-F6CE61031016">
      <ho:hncChartStyle xmlns:ho="http://schemas.haansoft.com/office/8.0" layoutIndex="-1" colorIndex="-1" styleIndex="-1"/>
    </c:ext>
  </c:extLst>
</c:chartSpace>
</file>

<file path=xl/drawings/_rels/drawing0.xml.rels><?xml version="1.0" encoding="UTF-8" standalone="yes" ?><Relationships xmlns="http://schemas.openxmlformats.org/package/2006/relationships"><Relationship Id="rId1" Type="http://schemas.openxmlformats.org/officeDocument/2006/relationships/chart" Target="../charts/chart0.xml"  /></Relationships>
</file>

<file path=xl/drawings/drawing0.xml><?xml version="1.0" encoding="utf-8"?>
<xdr:wsDr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>
  <xdr:twoCellAnchor editAs="absolute">
    <xdr:from>
      <xdr:col>0</xdr:col>
      <xdr:colOff>0</xdr:colOff>
      <xdr:row>0</xdr:row>
      <xdr:rowOff>0</xdr:rowOff>
    </xdr:from>
    <xdr:to>
      <xdr:col>12</xdr:col>
      <xdr:colOff>447675</xdr:colOff>
      <xdr:row>30</xdr:row>
      <xdr:rowOff>19050</xdr:rowOff>
    </xdr:to>
    <xdr:graphicFrame fPublished="0">
      <xdr:nvGraphicFramePr>
        <xdr:cNvPr id="2" name="차트 1"/>
        <xdr:cNvGraphicFramePr/>
      </xdr:nvGraphicFramePr>
      <xdr:xfrm>
        <a:off x="0" y="0"/>
        <a:ext cx="8760113" cy="6508750"/>
      </xdr:xfrm>
      <a:graphic>
        <a:graphicData uri="http://schemas.openxmlformats.org/drawingml/2006/chart">
          <c:chart r:id="rId1"/>
        </a:graphicData>
      </a:graphic>
    </xdr:graphicFrame>
    <xdr:clientData fLocksWithSheet="1" fPrintsWithSheet="1"/>
  </xdr:twoCellAnchor>
</xdr:wsDr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4.xml.rels><?xml version="1.0" encoding="UTF-8" standalone="yes" ?><Relationships xmlns="http://schemas.openxmlformats.org/package/2006/relationships"><Relationship Id="rId1" Type="http://schemas.openxmlformats.org/officeDocument/2006/relationships/drawing" Target="../drawings/drawing0.xml"  /></Relationships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K21"/>
  <x:sheetViews>
    <x:sheetView topLeftCell="A1" zoomScaleNormal="100" zoomScaleSheetLayoutView="75" workbookViewId="0">
      <x:selection activeCell="N10" activeCellId="0" sqref="N10:N10"/>
    </x:sheetView>
  </x:sheetViews>
  <x:sheetFormatPr defaultColWidth="8.625" defaultRowHeight="30" customHeight="1"/>
  <x:cols>
    <x:col min="1" max="1" width="8.625" style="2" customWidth="1"/>
    <x:col min="2" max="2" width="4.625" style="2" customWidth="1"/>
    <x:col min="3" max="3" width="10.625" style="2" customWidth="1"/>
    <x:col min="4" max="4" width="3.625" style="2" customWidth="1"/>
    <x:col min="5" max="5" width="8.625" style="2" customWidth="1"/>
    <x:col min="6" max="6" width="4.625" style="2" customWidth="1"/>
    <x:col min="7" max="7" width="12.625" style="2" customWidth="1"/>
    <x:col min="8" max="8" width="8.625" style="2" customWidth="1"/>
    <x:col min="9" max="10" width="4.625" style="2" customWidth="1"/>
    <x:col min="11" max="11" width="12.625" style="2" customWidth="1"/>
    <x:col min="12" max="16384" width="8.625" style="2"/>
  </x:cols>
  <x:sheetData>
    <x:row r="1" spans="1:11" customHeight="1">
      <x:c r="A1" s="243" t="s">
        <x:v>139</x:v>
      </x:c>
      <x:c r="B1" s="243"/>
      <x:c r="C1" s="243"/>
      <x:c r="D1" s="243"/>
      <x:c r="E1" s="243"/>
      <x:c r="F1" s="243"/>
      <x:c r="G1" s="243"/>
      <x:c r="H1" s="243"/>
      <x:c r="I1" s="243"/>
      <x:c r="J1" s="243"/>
      <x:c r="K1" s="243"/>
    </x:row>
    <x:row r="2" spans="1:11" ht="30.949999999999999" customHeight="1">
      <x:c r="A2" s="197" t="s">
        <x:v>24</x:v>
      </x:c>
      <x:c r="B2" s="198"/>
      <x:c r="C2" s="199">
        <x:f>C3+G3+C5</x:f>
        <x:v>0</x:v>
      </x:c>
      <x:c r="D2" s="200"/>
      <x:c r="E2" s="201" t="s">
        <x:v>46</x:v>
      </x:c>
      <x:c r="F2" s="202"/>
      <x:c r="G2" s="6"/>
      <x:c r="H2" s="203" t="s">
        <x:v>141</x:v>
      </x:c>
      <x:c r="I2" s="204"/>
      <x:c r="J2" s="204"/>
      <x:c r="K2" s="205"/>
    </x:row>
    <x:row r="3" spans="1:11" ht="30.949999999999999" customHeight="1">
      <x:c r="A3" s="206" t="s">
        <x:v>92</x:v>
      </x:c>
      <x:c r="B3" s="207"/>
      <x:c r="C3" s="208">
        <x:f>SUM('1'!C3)</x:f>
        <x:v>0</x:v>
      </x:c>
      <x:c r="D3" s="208"/>
      <x:c r="E3" s="207" t="s">
        <x:v>124</x:v>
      </x:c>
      <x:c r="F3" s="207"/>
      <x:c r="G3" s="7">
        <x:f>SUM('1'!G3)</x:f>
        <x:v>0</x:v>
      </x:c>
      <x:c r="H3" s="209"/>
      <x:c r="I3" s="210"/>
      <x:c r="J3" s="210"/>
      <x:c r="K3" s="211"/>
    </x:row>
    <x:row r="4" spans="1:11" ht="30.949999999999999" customHeight="1">
      <x:c r="A4" s="218" t="s">
        <x:v>76</x:v>
      </x:c>
      <x:c r="B4" s="219"/>
      <x:c r="C4" s="220">
        <x:f>C21</x:f>
        <x:v>0</x:v>
      </x:c>
      <x:c r="D4" s="220"/>
      <x:c r="E4" s="221" t="s">
        <x:v>47</x:v>
      </x:c>
      <x:c r="F4" s="219"/>
      <x:c r="G4" s="8">
        <x:f>C17</x:f>
        <x:v>0</x:v>
      </x:c>
      <x:c r="H4" s="212"/>
      <x:c r="I4" s="213"/>
      <x:c r="J4" s="213"/>
      <x:c r="K4" s="214"/>
    </x:row>
    <x:row r="5" spans="1:11" ht="30.949999999999999" customHeight="1">
      <x:c r="A5" s="206" t="s">
        <x:v>98</x:v>
      </x:c>
      <x:c r="B5" s="207"/>
      <x:c r="C5" s="222">
        <x:f>C6+G6</x:f>
        <x:v>0</x:v>
      </x:c>
      <x:c r="D5" s="223"/>
      <x:c r="E5" s="221" t="s">
        <x:v>61</x:v>
      </x:c>
      <x:c r="F5" s="219"/>
      <x:c r="G5" s="8">
        <x:f>C4-G4</x:f>
        <x:v>0</x:v>
      </x:c>
      <x:c r="H5" s="212"/>
      <x:c r="I5" s="213"/>
      <x:c r="J5" s="213"/>
      <x:c r="K5" s="214"/>
    </x:row>
    <x:row r="6" spans="1:11" ht="30.949999999999999" customHeight="1">
      <x:c r="A6" s="206" t="s">
        <x:v>129</x:v>
      </x:c>
      <x:c r="B6" s="207"/>
      <x:c r="C6" s="208">
        <x:f>SUM('1'!C7)</x:f>
        <x:v>0</x:v>
      </x:c>
      <x:c r="D6" s="208"/>
      <x:c r="E6" s="207" t="s">
        <x:v>69</x:v>
      </x:c>
      <x:c r="F6" s="207"/>
      <x:c r="G6" s="7">
        <x:f>SUM('1'!G7)</x:f>
        <x:v>0</x:v>
      </x:c>
      <x:c r="H6" s="212"/>
      <x:c r="I6" s="213"/>
      <x:c r="J6" s="213"/>
      <x:c r="K6" s="214"/>
    </x:row>
    <x:row r="7" spans="1:11" ht="30.949999999999999" customHeight="1">
      <x:c r="A7" s="206" t="s">
        <x:v>106</x:v>
      </x:c>
      <x:c r="B7" s="207"/>
      <x:c r="C7" s="224"/>
      <x:c r="D7" s="224"/>
      <x:c r="E7" s="224"/>
      <x:c r="F7" s="224"/>
      <x:c r="G7" s="224"/>
      <x:c r="H7" s="215"/>
      <x:c r="I7" s="216"/>
      <x:c r="J7" s="216"/>
      <x:c r="K7" s="217"/>
    </x:row>
    <x:row r="8" spans="1:11" ht="30.949999999999999" customHeight="1">
      <x:c r="A8" s="206"/>
      <x:c r="B8" s="207"/>
      <x:c r="C8" s="224"/>
      <x:c r="D8" s="224"/>
      <x:c r="E8" s="224"/>
      <x:c r="F8" s="224"/>
      <x:c r="G8" s="224"/>
      <x:c r="H8" s="5" t="s">
        <x:v>143</x:v>
      </x:c>
      <x:c r="I8" s="225" t="s">
        <x:v>112</x:v>
      </x:c>
      <x:c r="J8" s="226"/>
      <x:c r="K8" s="9">
        <x:f>SUM('1'!K9)</x:f>
        <x:v>0</x:v>
      </x:c>
    </x:row>
    <x:row r="9" spans="1:11" ht="30.949999999999999" customHeight="1">
      <x:c r="A9" s="206"/>
      <x:c r="B9" s="207"/>
      <x:c r="C9" s="224"/>
      <x:c r="D9" s="224"/>
      <x:c r="E9" s="224"/>
      <x:c r="F9" s="224"/>
      <x:c r="G9" s="224"/>
      <x:c r="H9" s="207" t="s">
        <x:v>36</x:v>
      </x:c>
      <x:c r="I9" s="225" t="s">
        <x:v>112</x:v>
      </x:c>
      <x:c r="J9" s="226"/>
      <x:c r="K9" s="9">
        <x:f>SUM('1'!K10)</x:f>
        <x:v>0</x:v>
      </x:c>
    </x:row>
    <x:row r="10" spans="1:11" ht="30.949999999999999" customHeight="1">
      <x:c r="A10" s="206"/>
      <x:c r="B10" s="207"/>
      <x:c r="C10" s="224"/>
      <x:c r="D10" s="224"/>
      <x:c r="E10" s="224"/>
      <x:c r="F10" s="224"/>
      <x:c r="G10" s="224"/>
      <x:c r="H10" s="207"/>
      <x:c r="I10" s="227" t="s">
        <x:v>133</x:v>
      </x:c>
      <x:c r="J10" s="228"/>
      <x:c r="K10" s="10">
        <x:f>SUM('1'!K11)</x:f>
        <x:v>14194</x:v>
      </x:c>
    </x:row>
    <x:row r="11" spans="1:11" ht="32.100000000000001" customHeight="1">
      <x:c r="A11" s="218" t="s">
        <x:v>77</x:v>
      </x:c>
      <x:c r="B11" s="219"/>
      <x:c r="C11" s="229"/>
      <x:c r="D11" s="230"/>
      <x:c r="E11" s="230"/>
      <x:c r="F11" s="230"/>
      <x:c r="G11" s="231"/>
      <x:c r="H11" s="3" t="s">
        <x:v>130</x:v>
      </x:c>
      <x:c r="I11" s="229"/>
      <x:c r="J11" s="230"/>
      <x:c r="K11" s="232"/>
    </x:row>
    <x:row r="12" spans="1:11" ht="69.950000000000003" customHeight="1">
      <x:c r="A12" s="218" t="s">
        <x:v>121</x:v>
      </x:c>
      <x:c r="B12" s="219"/>
      <x:c r="C12" s="233"/>
      <x:c r="D12" s="234"/>
      <x:c r="E12" s="234"/>
      <x:c r="F12" s="234"/>
      <x:c r="G12" s="235"/>
      <x:c r="H12" s="3" t="s">
        <x:v>117</x:v>
      </x:c>
      <x:c r="I12" s="233"/>
      <x:c r="J12" s="234"/>
      <x:c r="K12" s="236"/>
    </x:row>
    <x:row r="13" spans="1:11" ht="30.949999999999999" customHeight="1">
      <x:c r="A13" s="206" t="s">
        <x:v>125</x:v>
      </x:c>
      <x:c r="B13" s="207"/>
      <x:c r="C13" s="221" t="s">
        <x:v>91</x:v>
      </x:c>
      <x:c r="D13" s="219"/>
      <x:c r="E13" s="221" t="s">
        <x:v>135</x:v>
      </x:c>
      <x:c r="F13" s="237"/>
      <x:c r="G13" s="219"/>
      <x:c r="H13" s="207" t="s">
        <x:v>134</x:v>
      </x:c>
      <x:c r="I13" s="207"/>
      <x:c r="J13" s="207" t="s">
        <x:v>81</x:v>
      </x:c>
      <x:c r="K13" s="238"/>
    </x:row>
    <x:row r="14" spans="1:11" ht="30.949999999999999" customHeight="1">
      <x:c r="A14" s="239">
        <x:f>C2</x:f>
        <x:v>0</x:v>
      </x:c>
      <x:c r="B14" s="240"/>
      <x:c r="C14" s="241" t="e">
        <x:f>ROUNDDOWN((E14/A14),-4)</x:f>
        <x:v>#DIV/0!</x:v>
      </x:c>
      <x:c r="D14" s="240"/>
      <x:c r="E14" s="241">
        <x:f>C2</x:f>
        <x:v>0</x:v>
      </x:c>
      <x:c r="F14" s="242"/>
      <x:c r="G14" s="240"/>
      <x:c r="H14" s="233"/>
      <x:c r="I14" s="235"/>
      <x:c r="J14" s="233"/>
      <x:c r="K14" s="236"/>
    </x:row>
    <x:row r="15" spans="1:11" ht="30.949999999999999" customHeight="1">
      <x:c r="A15" s="206" t="s">
        <x:v>71</x:v>
      </x:c>
      <x:c r="B15" s="207"/>
      <x:c r="C15" s="221"/>
      <x:c r="D15" s="219"/>
      <x:c r="E15" s="221"/>
      <x:c r="F15" s="237"/>
      <x:c r="G15" s="219"/>
      <x:c r="H15" s="233"/>
      <x:c r="I15" s="235"/>
      <x:c r="J15" s="233"/>
      <x:c r="K15" s="236"/>
    </x:row>
    <x:row r="16" spans="1:11" ht="30.949999999999999" customHeight="1">
      <x:c r="A16" s="218" t="s">
        <x:v>144</x:v>
      </x:c>
      <x:c r="B16" s="237"/>
      <x:c r="C16" s="237"/>
      <x:c r="D16" s="237"/>
      <x:c r="E16" s="237"/>
      <x:c r="F16" s="219"/>
      <x:c r="G16" s="207" t="s">
        <x:v>144</x:v>
      </x:c>
      <x:c r="H16" s="207"/>
      <x:c r="I16" s="207"/>
      <x:c r="J16" s="207"/>
      <x:c r="K16" s="238"/>
    </x:row>
    <x:row r="17" spans="1:11" ht="30.949999999999999" customHeight="1">
      <x:c r="A17" s="206" t="s">
        <x:v>58</x:v>
      </x:c>
      <x:c r="B17" s="207"/>
      <x:c r="C17" s="208"/>
      <x:c r="D17" s="208"/>
      <x:c r="E17" s="208"/>
      <x:c r="F17" s="208"/>
      <x:c r="G17" s="3" t="s">
        <x:v>58</x:v>
      </x:c>
      <x:c r="H17" s="208"/>
      <x:c r="I17" s="208"/>
      <x:c r="J17" s="208"/>
      <x:c r="K17" s="244"/>
    </x:row>
    <x:row r="18" spans="1:11" ht="30.949999999999999" customHeight="1">
      <x:c r="A18" s="206" t="s">
        <x:v>10</x:v>
      </x:c>
      <x:c r="B18" s="207"/>
      <x:c r="C18" s="208"/>
      <x:c r="D18" s="208"/>
      <x:c r="E18" s="208"/>
      <x:c r="F18" s="208"/>
      <x:c r="G18" s="3" t="s">
        <x:v>10</x:v>
      </x:c>
      <x:c r="H18" s="208"/>
      <x:c r="I18" s="208"/>
      <x:c r="J18" s="208"/>
      <x:c r="K18" s="244"/>
    </x:row>
    <x:row r="19" spans="1:11" ht="30.949999999999999" customHeight="1">
      <x:c r="A19" s="206" t="s">
        <x:v>53</x:v>
      </x:c>
      <x:c r="B19" s="207"/>
      <x:c r="C19" s="208"/>
      <x:c r="D19" s="208"/>
      <x:c r="E19" s="208"/>
      <x:c r="F19" s="208"/>
      <x:c r="G19" s="3" t="s">
        <x:v>53</x:v>
      </x:c>
      <x:c r="H19" s="208"/>
      <x:c r="I19" s="208"/>
      <x:c r="J19" s="208"/>
      <x:c r="K19" s="244"/>
    </x:row>
    <x:row r="20" spans="1:11" ht="30.949999999999999" customHeight="1">
      <x:c r="A20" s="206" t="s">
        <x:v>45</x:v>
      </x:c>
      <x:c r="B20" s="207"/>
      <x:c r="C20" s="208"/>
      <x:c r="D20" s="208"/>
      <x:c r="E20" s="208"/>
      <x:c r="F20" s="208"/>
      <x:c r="G20" s="3" t="s">
        <x:v>45</x:v>
      </x:c>
      <x:c r="H20" s="208"/>
      <x:c r="I20" s="208"/>
      <x:c r="J20" s="208"/>
      <x:c r="K20" s="244"/>
    </x:row>
    <x:row r="21" spans="1:11" ht="30.949999999999999" customHeight="1">
      <x:c r="A21" s="245" t="s">
        <x:v>28</x:v>
      </x:c>
      <x:c r="B21" s="246"/>
      <x:c r="C21" s="247">
        <x:f>SUM(C17:E20)</x:f>
        <x:v>0</x:v>
      </x:c>
      <x:c r="D21" s="248"/>
      <x:c r="E21" s="248"/>
      <x:c r="F21" s="249"/>
      <x:c r="G21" s="4" t="s">
        <x:v>28</x:v>
      </x:c>
      <x:c r="H21" s="250">
        <x:f>SUM(H17:K20)</x:f>
        <x:v>0</x:v>
      </x:c>
      <x:c r="I21" s="250"/>
      <x:c r="J21" s="250"/>
      <x:c r="K21" s="251"/>
    </x:row>
  </x:sheetData>
  <x:mergeCells count="62">
    <x:mergeCell ref="A2:B2"/>
    <x:mergeCell ref="C2:D2"/>
    <x:mergeCell ref="E2:F2"/>
    <x:mergeCell ref="H2:K2"/>
    <x:mergeCell ref="A3:B3"/>
    <x:mergeCell ref="C3:D3"/>
    <x:mergeCell ref="E3:F3"/>
    <x:mergeCell ref="H3:K7"/>
    <x:mergeCell ref="A4:B4"/>
    <x:mergeCell ref="C4:D4"/>
    <x:mergeCell ref="E4:F4"/>
    <x:mergeCell ref="A5:B5"/>
    <x:mergeCell ref="C5:D5"/>
    <x:mergeCell ref="E5:F5"/>
    <x:mergeCell ref="A6:B6"/>
    <x:mergeCell ref="C6:D6"/>
    <x:mergeCell ref="E6:F6"/>
    <x:mergeCell ref="A7:B10"/>
    <x:mergeCell ref="C7:G10"/>
    <x:mergeCell ref="I8:J8"/>
    <x:mergeCell ref="H9:H10"/>
    <x:mergeCell ref="I9:J9"/>
    <x:mergeCell ref="I10:J10"/>
    <x:mergeCell ref="A11:B11"/>
    <x:mergeCell ref="C11:G11"/>
    <x:mergeCell ref="I11:K11"/>
    <x:mergeCell ref="A12:B12"/>
    <x:mergeCell ref="C12:G12"/>
    <x:mergeCell ref="I12:K12"/>
    <x:mergeCell ref="E13:G13"/>
    <x:mergeCell ref="H13:I13"/>
    <x:mergeCell ref="J13:K13"/>
    <x:mergeCell ref="A14:B14"/>
    <x:mergeCell ref="C14:D14"/>
    <x:mergeCell ref="E14:G14"/>
    <x:mergeCell ref="H14:I14"/>
    <x:mergeCell ref="J14:K14"/>
    <x:mergeCell ref="A1:K1"/>
    <x:mergeCell ref="A19:B19"/>
    <x:mergeCell ref="C19:F19"/>
    <x:mergeCell ref="H19:K19"/>
    <x:mergeCell ref="A20:B20"/>
    <x:mergeCell ref="C20:F20"/>
    <x:mergeCell ref="H20:K20"/>
    <x:mergeCell ref="A17:B17"/>
    <x:mergeCell ref="C17:F17"/>
    <x:mergeCell ref="H17:K17"/>
    <x:mergeCell ref="A18:B18"/>
    <x:mergeCell ref="C18:F18"/>
    <x:mergeCell ref="A16:F16"/>
    <x:mergeCell ref="G16:K16"/>
    <x:mergeCell ref="A13:B13"/>
    <x:mergeCell ref="C13:D13"/>
    <x:mergeCell ref="H18:K18"/>
    <x:mergeCell ref="J15:K15"/>
    <x:mergeCell ref="A21:B21"/>
    <x:mergeCell ref="C21:F21"/>
    <x:mergeCell ref="H21:K21"/>
    <x:mergeCell ref="A15:B15"/>
    <x:mergeCell ref="C15:D15"/>
    <x:mergeCell ref="E15:G15"/>
    <x:mergeCell ref="H15:I15"/>
  </x:mergeCells>
  <x:pageMargins left="0.52958333492279053" right="0.47972223162651062" top="0.97000002861022949" bottom="0.49000000953674316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xl/worksheets/sheet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">
    <x:pageSetUpPr autoPageBreaks="1" fitToPage="1"/>
  </x:sheetPr>
  <x:dimension ref="A1:U58"/>
  <x:sheetViews>
    <x:sheetView topLeftCell="A1" zoomScaleNormal="100" zoomScaleSheetLayoutView="75" workbookViewId="0">
      <x:selection activeCell="D19" activeCellId="0" sqref="D19:D31"/>
    </x:sheetView>
  </x:sheetViews>
  <x:sheetFormatPr defaultColWidth="9" defaultRowHeight="16.5" customHeight="1"/>
  <x:cols>
    <x:col min="1" max="1" width="13.75" style="1" customWidth="1"/>
    <x:col min="2" max="2" width="13.875" style="1" customWidth="1"/>
    <x:col min="3" max="3" width="13.375" style="1" customWidth="1"/>
    <x:col min="4" max="4" width="20.625" style="1" customWidth="1"/>
    <x:col min="5" max="5" width="16" style="1" customWidth="1"/>
    <x:col min="6" max="6" width="11.375" style="1" customWidth="1"/>
    <x:col min="7" max="7" width="20.625" style="1" customWidth="1"/>
    <x:col min="8" max="8" width="15.25" style="1" customWidth="1"/>
    <x:col min="9" max="9" width="14.875" style="1" customWidth="1"/>
    <x:col min="10" max="10" width="14" style="1" customWidth="1"/>
    <x:col min="11" max="11" width="14.25" style="1" customWidth="1"/>
    <x:col min="12" max="12" width="4.25" style="1" customWidth="1"/>
    <x:col min="13" max="13" width="13.125" style="1" customWidth="1"/>
    <x:col min="14" max="14" width="13" style="1" customWidth="1"/>
    <x:col min="16" max="16" width="12.125" style="1" bestFit="1" customWidth="1"/>
    <x:col min="20" max="20" width="13" style="1" bestFit="1" customWidth="1"/>
    <x:col min="21" max="21" width="10.875" style="1" bestFit="1" customWidth="1"/>
  </x:cols>
  <x:sheetData>
    <x:row r="1" spans="5:5" customHeight="1">
      <x:c r="E1" s="141" t="s">
        <x:v>150</x:v>
      </x:c>
    </x:row>
    <x:row r="2" spans="1:2" ht="16.399999999999999">
      <x:c r="A2" s="11"/>
      <x:c r="B2" s="11"/>
    </x:row>
    <x:row r="3" ht="16.399999999999999"/>
    <x:row r="4" spans="1:16" customHeight="1">
      <x:c r="A4" s="174" t="s">
        <x:v>126</x:v>
      </x:c>
      <x:c r="B4" s="175"/>
      <x:c r="C4" s="175"/>
      <x:c r="D4" s="175"/>
      <x:c r="E4" s="176"/>
      <x:c r="F4" s="174" t="s">
        <x:v>96</x:v>
      </x:c>
      <x:c r="G4" s="175"/>
      <x:c r="H4" s="175"/>
      <x:c r="I4" s="175"/>
      <x:c r="J4" s="175"/>
      <x:c r="K4" s="176"/>
      <x:c r="M4" s="70"/>
      <x:c r="N4" s="70"/>
      <x:c r="O4" s="70"/>
      <x:c r="P4" s="70"/>
    </x:row>
    <x:row r="5" spans="1:16" s="15" customFormat="1" ht="17.149999999999999">
      <x:c r="A5" s="177" t="s">
        <x:v>27</x:v>
      </x:c>
      <x:c r="B5" s="178"/>
      <x:c r="C5" s="13"/>
      <x:c r="D5" s="13" t="s">
        <x:v>94</x:v>
      </x:c>
      <x:c r="E5" s="14" t="s">
        <x:v>82</x:v>
      </x:c>
      <x:c r="F5" s="12" t="s">
        <x:v>27</x:v>
      </x:c>
      <x:c r="G5" s="13" t="s">
        <x:v>30</x:v>
      </x:c>
      <x:c r="H5" s="13" t="s">
        <x:v>7</x:v>
      </x:c>
      <x:c r="I5" s="14"/>
      <x:c r="J5" s="13" t="s">
        <x:v>94</x:v>
      </x:c>
      <x:c r="K5" s="14"/>
      <x:c r="M5" s="77" t="s">
        <x:v>75</x:v>
      </x:c>
      <x:c r="N5" s="128">
        <x:f>SUM('1:31'!G6)</x:f>
        <x:v>19883900</x:v>
      </x:c>
      <x:c r="O5" s="70"/>
      <x:c r="P5" s="70"/>
    </x:row>
    <x:row r="6" spans="1:16" ht="16.399999999999999">
      <x:c r="A6" s="153" t="s">
        <x:v>23</x:v>
      </x:c>
      <x:c r="B6" s="154"/>
      <x:c r="C6" s="16">
        <x:v>6985000</x:v>
      </x:c>
      <x:c r="D6" s="16">
        <x:f>C6</x:f>
        <x:v>6985000</x:v>
      </x:c>
      <x:c r="E6" s="146">
        <x:f>D6/$B$45</x:f>
        <x:v>0.04898368496162302</x:v>
      </x:c>
      <x:c r="F6" s="169" t="s">
        <x:v>60</x:v>
      </x:c>
      <x:c r="G6" s="67" t="s">
        <x:v>43</x:v>
      </x:c>
      <x:c r="H6" s="16">
        <x:f>SUM('1:31'!I4)</x:f>
        <x:v>35791345</x:v>
      </x:c>
      <x:c r="I6" s="71">
        <x:f>H6/$B$45</x:f>
        <x:v>0.25099383934613617</x:v>
      </x:c>
      <x:c r="J6" s="172">
        <x:f>SUM(H6:H18)</x:f>
        <x:v>50495567</x:v>
      </x:c>
      <x:c r="K6" s="179">
        <x:f>J6/$B$45</x:f>
        <x:v>0.35411008530945276</x:v>
      </x:c>
      <x:c r="M6" s="76"/>
      <x:c r="N6" s="129"/>
      <x:c r="O6" s="70"/>
      <x:c r="P6" s="70"/>
    </x:row>
    <x:row r="7" spans="1:16" ht="16.75">
      <x:c r="A7" s="153" t="s">
        <x:v>51</x:v>
      </x:c>
      <x:c r="B7" s="154"/>
      <x:c r="C7" s="16">
        <x:v>2600000</x:v>
      </x:c>
      <x:c r="D7" s="16">
        <x:f>C7</x:f>
        <x:v>2600000</x:v>
      </x:c>
      <x:c r="E7" s="17">
        <x:f t="shared" ref="E7:E17" si="0">D7/$B$45</x:f>
        <x:v>0.018233010866173207</x:v>
      </x:c>
      <x:c r="F7" s="170"/>
      <x:c r="G7" s="67" t="s">
        <x:v>60</x:v>
      </x:c>
      <x:c r="H7" s="16">
        <x:f>SUM('1:31'!I5)</x:f>
        <x:v>4707832</x:v>
      </x:c>
      <x:c r="I7" s="71">
        <x:f>H7/$B$45</x:f>
        <x:v>0.033014596927737672</x:v>
      </x:c>
      <x:c r="J7" s="159"/>
      <x:c r="K7" s="168"/>
      <x:c r="M7" s="78" t="s">
        <x:v>34</x:v>
      </x:c>
      <x:c r="N7" s="130">
        <x:f>SUM('31'!C15)</x:f>
        <x:v>1580</x:v>
      </x:c>
      <x:c r="O7" s="70"/>
      <x:c r="P7" s="70"/>
    </x:row>
    <x:row r="8" spans="1:16" ht="16.399999999999999">
      <x:c r="A8" s="153" t="s">
        <x:v>65</x:v>
      </x:c>
      <x:c r="B8" s="154"/>
      <x:c r="C8" s="16">
        <x:v>154000</x:v>
      </x:c>
      <x:c r="D8" s="16">
        <x:f t="shared" ref="D8:D17" si="1">C8</x:f>
        <x:v>154000</x:v>
      </x:c>
      <x:c r="E8" s="17">
        <x:f>D8/$B$45</x:f>
        <x:v>0.0010799552589964129</x:v>
      </x:c>
      <x:c r="F8" s="170"/>
      <x:c r="G8" s="67" t="s">
        <x:v>35</x:v>
      </x:c>
      <x:c r="H8" s="16">
        <x:f>SUM('1:31'!I7)</x:f>
        <x:v>5161840</x:v>
      </x:c>
      <x:c r="I8" s="147">
        <x:f>H8/$B$45</x:f>
        <x:v>0.03619841723440289</x:v>
      </x:c>
      <x:c r="J8" s="159"/>
      <x:c r="K8" s="168"/>
      <x:c r="M8" s="79" t="s">
        <x:v>22</x:v>
      </x:c>
      <x:c r="N8" s="131">
        <x:f>SUM('31'!C13)</x:f>
        <x:v>553</x:v>
      </x:c>
      <x:c r="O8" s="70"/>
      <x:c r="P8" s="70"/>
    </x:row>
    <x:row r="9" spans="1:16" ht="16.399999999999999">
      <x:c r="A9" s="155" t="s">
        <x:v>17</x:v>
      </x:c>
      <x:c r="B9" s="154"/>
      <x:c r="C9" s="16">
        <x:v>670000</x:v>
      </x:c>
      <x:c r="D9" s="16">
        <x:f t="shared" si="1"/>
        <x:v>670000</x:v>
      </x:c>
      <x:c r="E9" s="17">
        <x:f t="shared" si="0"/>
        <x:v>0.0046985066462830955</x:v>
      </x:c>
      <x:c r="F9" s="170"/>
      <x:c r="G9" s="67" t="s">
        <x:v>16</x:v>
      </x:c>
      <x:c r="H9" s="16">
        <x:f>SUM('1:31'!I8)</x:f>
        <x:v>728000</x:v>
      </x:c>
      <x:c r="I9" s="147">
        <x:f>H9/$B$45</x:f>
        <x:v>0.0051052430425284978</x:v>
      </x:c>
      <x:c r="J9" s="159"/>
      <x:c r="K9" s="168"/>
      <x:c r="M9" s="79" t="s">
        <x:v>2</x:v>
      </x:c>
      <x:c r="N9" s="131">
        <x:f>SUM('31'!C17)</x:f>
        <x:v>213</x:v>
      </x:c>
      <x:c r="O9" s="70"/>
      <x:c r="P9" s="70"/>
    </x:row>
    <x:row r="10" spans="1:16" ht="16.399999999999999">
      <x:c r="A10" s="153" t="s">
        <x:v>86</x:v>
      </x:c>
      <x:c r="B10" s="154"/>
      <x:c r="C10" s="16">
        <x:v>66000</x:v>
      </x:c>
      <x:c r="D10" s="16">
        <x:f t="shared" si="1"/>
        <x:v>66000</x:v>
      </x:c>
      <x:c r="E10" s="17">
        <x:f t="shared" si="0"/>
        <x:v>0.00046283796814131984</x:v>
      </x:c>
      <x:c r="F10" s="170"/>
      <x:c r="G10" s="67" t="s">
        <x:v>37</x:v>
      </x:c>
      <x:c r="H10" s="16">
        <x:f>SUM('1:31'!I11)</x:f>
        <x:v>100000</x:v>
      </x:c>
      <x:c r="I10" s="71">
        <x:f>H10/$B$45</x:f>
        <x:v>0.00070126964869896946</x:v>
      </x:c>
      <x:c r="J10" s="159"/>
      <x:c r="K10" s="168"/>
      <x:c r="M10" s="79" t="s">
        <x:v>100</x:v>
      </x:c>
      <x:c r="N10" s="131">
        <x:f>SUM('31'!F13)</x:f>
        <x:v>285</x:v>
      </x:c>
      <x:c r="O10" s="70"/>
      <x:c r="P10" s="70"/>
    </x:row>
    <x:row r="11" spans="1:16" ht="16.399999999999999">
      <x:c r="A11" s="153" t="s">
        <x:v>13</x:v>
      </x:c>
      <x:c r="B11" s="154"/>
      <x:c r="C11" s="16">
        <x:v>330000</x:v>
      </x:c>
      <x:c r="D11" s="16">
        <x:f t="shared" si="1"/>
        <x:v>330000</x:v>
      </x:c>
      <x:c r="E11" s="17">
        <x:f t="shared" si="0"/>
        <x:v>0.0023141898407065993</x:v>
      </x:c>
      <x:c r="F11" s="170"/>
      <x:c r="G11" s="67" t="s">
        <x:v>80</x:v>
      </x:c>
      <x:c r="H11" s="16">
        <x:f>SUM('1:31'!I12)</x:f>
        <x:v>0</x:v>
      </x:c>
      <x:c r="I11" s="71">
        <x:f t="shared" ref="I11:I12" si="2">H11/$B$45</x:f>
        <x:v>0</x:v>
      </x:c>
      <x:c r="J11" s="159"/>
      <x:c r="K11" s="168"/>
      <x:c r="M11" s="79" t="s">
        <x:v>84</x:v>
      </x:c>
      <x:c r="N11" s="131">
        <x:f>SUM('31'!F15)</x:f>
        <x:v>634</x:v>
      </x:c>
      <x:c r="O11" s="70"/>
      <x:c r="P11" s="70"/>
    </x:row>
    <x:row r="12" spans="1:16" ht="16.399999999999999">
      <x:c r="A12" s="153" t="s">
        <x:v>26</x:v>
      </x:c>
      <x:c r="B12" s="154"/>
      <x:c r="C12" s="16">
        <x:v>48000</x:v>
      </x:c>
      <x:c r="D12" s="16">
        <x:f t="shared" si="1"/>
        <x:v>48000</x:v>
      </x:c>
      <x:c r="E12" s="17">
        <x:f t="shared" si="0"/>
        <x:v>0.00033660943137550533</x:v>
      </x:c>
      <x:c r="F12" s="170"/>
      <x:c r="G12" s="54" t="s">
        <x:v>123</x:v>
      </x:c>
      <x:c r="H12" s="16">
        <x:f>SUM('1:31'!I13)</x:f>
        <x:v>240000</x:v>
      </x:c>
      <x:c r="I12" s="71">
        <x:f t="shared" si="2"/>
        <x:v>0.0016830471568775268</x:v>
      </x:c>
      <x:c r="J12" s="159"/>
      <x:c r="K12" s="168"/>
      <x:c r="M12" s="79" t="s">
        <x:v>111</x:v>
      </x:c>
      <x:c r="N12" s="131">
        <x:f>SUM('31'!F17)</x:f>
        <x:v>515</x:v>
      </x:c>
      <x:c r="O12" s="70"/>
      <x:c r="P12" s="70"/>
    </x:row>
    <x:row r="13" spans="1:16" ht="16.399999999999999">
      <x:c r="A13" s="155" t="s">
        <x:v>79</x:v>
      </x:c>
      <x:c r="B13" s="154"/>
      <x:c r="C13" s="16">
        <x:v>66000</x:v>
      </x:c>
      <x:c r="D13" s="16">
        <x:f t="shared" si="1"/>
        <x:v>66000</x:v>
      </x:c>
      <x:c r="E13" s="17">
        <x:f t="shared" si="0"/>
        <x:v>0.00046283796814131984</x:v>
      </x:c>
      <x:c r="F13" s="170"/>
      <x:c r="G13" s="54" t="s">
        <x:v>104</x:v>
      </x:c>
      <x:c r="H13" s="16">
        <x:f>SUM('1:31'!I14)</x:f>
        <x:v>0</x:v>
      </x:c>
      <x:c r="I13" s="71">
        <x:f>H13/$B$45</x:f>
        <x:v>0</x:v>
      </x:c>
      <x:c r="J13" s="159"/>
      <x:c r="K13" s="168"/>
      <x:c r="M13" s="145" t="s">
        <x:v>120</x:v>
      </x:c>
      <x:c r="N13" s="131">
        <x:f>SUM('31'!C19)</x:f>
        <x:v>1211</x:v>
      </x:c>
      <x:c r="O13" s="70"/>
      <x:c r="P13" s="70"/>
    </x:row>
    <x:row r="14" spans="1:16" ht="16.399999999999999">
      <x:c r="A14" s="153"/>
      <x:c r="B14" s="154"/>
      <x:c r="C14" s="16"/>
      <x:c r="D14" s="16">
        <x:f t="shared" si="1"/>
        <x:v>0</x:v>
      </x:c>
      <x:c r="E14" s="17">
        <x:f t="shared" si="0"/>
        <x:v>0</x:v>
      </x:c>
      <x:c r="F14" s="170"/>
      <x:c r="G14" s="54" t="s">
        <x:v>56</x:v>
      </x:c>
      <x:c r="H14" s="16">
        <x:f>SUM('1:31'!I17)</x:f>
        <x:v>35400</x:v>
      </x:c>
      <x:c r="I14" s="71">
        <x:f>H14/$B$45</x:f>
        <x:v>0.00024824945563943517</x:v>
      </x:c>
      <x:c r="J14" s="159"/>
      <x:c r="K14" s="168"/>
      <x:c r="M14" s="133" t="s">
        <x:v>122</x:v>
      </x:c>
      <x:c r="N14" s="131">
        <x:f>SUM('31'!F19)</x:f>
        <x:v>445</x:v>
      </x:c>
      <x:c r="O14" s="70"/>
      <x:c r="P14" s="70"/>
    </x:row>
    <x:row r="15" spans="1:16" ht="16.75">
      <x:c r="A15" s="153"/>
      <x:c r="B15" s="154"/>
      <x:c r="C15" s="16"/>
      <x:c r="D15" s="16">
        <x:f t="shared" si="1"/>
        <x:v>0</x:v>
      </x:c>
      <x:c r="E15" s="17">
        <x:f t="shared" si="0"/>
        <x:v>0</x:v>
      </x:c>
      <x:c r="F15" s="170"/>
      <x:c r="G15" s="69" t="s">
        <x:v>87</x:v>
      </x:c>
      <x:c r="H15" s="93">
        <x:f>SUM('1:31'!I15)</x:f>
        <x:v>3731150</x:v>
      </x:c>
      <x:c r="I15" s="73">
        <x:f>H15/$B$45</x:f>
        <x:v>0.0261654224974316</x:v>
      </x:c>
      <x:c r="J15" s="159"/>
      <x:c r="K15" s="168"/>
      <x:c r="M15" s="142" t="s">
        <x:v>0</x:v>
      </x:c>
      <x:c r="N15" s="132">
        <x:f>SUM('31'!F21)</x:f>
        <x:v>1999</x:v>
      </x:c>
      <x:c r="O15" s="70"/>
      <x:c r="P15" s="70"/>
    </x:row>
    <x:row r="16" spans="1:16" ht="16.399999999999999">
      <x:c r="A16" s="156" t="s">
        <x:v>57</x:v>
      </x:c>
      <x:c r="B16" s="157"/>
      <x:c r="C16" s="16"/>
      <x:c r="D16" s="16">
        <x:f t="shared" si="1"/>
        <x:v>0</x:v>
      </x:c>
      <x:c r="E16" s="17">
        <x:f t="shared" si="0"/>
        <x:v>0</x:v>
      </x:c>
      <x:c r="F16" s="170"/>
      <x:c r="J16" s="159"/>
      <x:c r="K16" s="168"/>
      <x:c r="M16" s="76"/>
      <x:c r="N16" s="129"/>
      <x:c r="O16" s="70"/>
      <x:c r="P16" s="70"/>
    </x:row>
    <x:row r="17" spans="1:16" ht="16.399999999999999">
      <x:c r="A17" s="156" t="s">
        <x:v>63</x:v>
      </x:c>
      <x:c r="B17" s="157"/>
      <x:c r="C17" s="16"/>
      <x:c r="D17" s="16">
        <x:f t="shared" si="1"/>
        <x:v>0</x:v>
      </x:c>
      <x:c r="E17" s="17">
        <x:f t="shared" si="0"/>
        <x:v>0</x:v>
      </x:c>
      <x:c r="F17" s="170"/>
      <x:c r="J17" s="159"/>
      <x:c r="K17" s="168"/>
      <x:c r="M17" s="70"/>
      <x:c r="N17" s="70"/>
      <x:c r="O17" s="70"/>
      <x:c r="P17" s="70"/>
    </x:row>
    <x:row r="18" spans="1:14" ht="17.149999999999999">
      <x:c r="A18" s="185" t="s">
        <x:v>74</x:v>
      </x:c>
      <x:c r="B18" s="186"/>
      <x:c r="C18" s="187">
        <x:f>SUM(D6:D17)</x:f>
        <x:v>10919000</x:v>
      </x:c>
      <x:c r="D18" s="188"/>
      <x:c r="E18" s="92">
        <x:f>SUM(E6:E17)</x:f>
        <x:v>0.076571632941440496</x:v>
      </x:c>
      <x:c r="F18" s="171"/>
      <x:c r="J18" s="173"/>
      <x:c r="K18" s="180"/>
      <x:c r="M18" s="84"/>
      <x:c r="N18" s="70"/>
    </x:row>
    <x:row r="19" spans="1:14" ht="17.449999999999999" customHeight="1">
      <x:c r="A19" s="189" t="s">
        <x:v>15</x:v>
      </x:c>
      <x:c r="B19" s="98" t="s">
        <x:v>44</x:v>
      </x:c>
      <x:c r="C19" s="108">
        <x:v>4000000</x:v>
      </x:c>
      <x:c r="D19" s="159">
        <x:f>SUM(C19:C30)</x:f>
        <x:v>23493350</x:v>
      </x:c>
      <x:c r="E19" s="162">
        <x:f>D19/$B$45</x:f>
        <x:v>0.16475173301261933</x:v>
      </x:c>
      <x:c r="F19" s="195" t="s">
        <x:v>142</x:v>
      </x:c>
      <x:c r="G19" s="82" t="s">
        <x:v>18</x:v>
      </x:c>
      <x:c r="H19" s="16">
        <x:f>SUM('1:31'!K4)</x:f>
        <x:v>2248000</x:v>
      </x:c>
      <x:c r="I19" s="72">
        <x:f t="shared" ref="I19:I22" si="3">H19/$B$45</x:f>
        <x:v>0.015764541702752835</x:v>
      </x:c>
      <x:c r="J19" s="158">
        <x:f>SUM(H19:H32)</x:f>
        <x:v>4441658</x:v>
      </x:c>
      <x:c r="K19" s="167">
        <x:f>J19/$B$45</x:f>
        <x:v>0.031147999453009674</x:v>
      </x:c>
      <x:c r="M19" s="70"/>
      <x:c r="N19" s="70"/>
    </x:row>
    <x:row r="20" spans="1:16" ht="16.399999999999999">
      <x:c r="A20" s="189"/>
      <x:c r="B20" s="140" t="s">
        <x:v>29</x:v>
      </x:c>
      <x:c r="C20" s="16">
        <x:v>3800000</x:v>
      </x:c>
      <x:c r="D20" s="159"/>
      <x:c r="E20" s="163"/>
      <x:c r="F20" s="196"/>
      <x:c r="G20" s="83" t="s">
        <x:v>114</x:v>
      </x:c>
      <x:c r="H20" s="16">
        <x:f>SUM('1:31'!K6)</x:f>
        <x:v>308000</x:v>
      </x:c>
      <x:c r="I20" s="71">
        <x:f t="shared" si="3"/>
        <x:v>0.0021599105179928258</x:v>
      </x:c>
      <x:c r="J20" s="159"/>
      <x:c r="K20" s="168"/>
      <x:c r="M20" s="70"/>
      <x:c r="N20" s="70"/>
      <x:c r="P20" s="94"/>
    </x:row>
    <x:row r="21" spans="1:16" ht="16.399999999999999">
      <x:c r="A21" s="189"/>
      <x:c r="B21" s="140" t="s">
        <x:v>12</x:v>
      </x:c>
      <x:c r="C21" s="16">
        <x:v>3500000</x:v>
      </x:c>
      <x:c r="D21" s="159"/>
      <x:c r="E21" s="163"/>
      <x:c r="F21" s="196"/>
      <x:c r="G21" s="83" t="s">
        <x:v>97</x:v>
      </x:c>
      <x:c r="H21" s="16">
        <x:f>SUM('1:31'!K7)</x:f>
        <x:v>37500</x:v>
      </x:c>
      <x:c r="I21" s="71">
        <x:f t="shared" si="3"/>
        <x:v>0.00026297611826211353</x:v>
      </x:c>
      <x:c r="J21" s="159"/>
      <x:c r="K21" s="168"/>
      <x:c r="M21" s="70"/>
      <x:c r="N21" s="70"/>
      <x:c r="P21" s="94"/>
    </x:row>
    <x:row r="22" spans="1:16" ht="16.399999999999999">
      <x:c r="A22" s="189"/>
      <x:c r="B22" s="140" t="s">
        <x:v>21</x:v>
      </x:c>
      <x:c r="C22" s="16">
        <x:v>3200000</x:v>
      </x:c>
      <x:c r="D22" s="159"/>
      <x:c r="E22" s="163"/>
      <x:c r="F22" s="196"/>
      <x:c r="G22" s="54" t="s">
        <x:v>42</x:v>
      </x:c>
      <x:c r="H22" s="16">
        <x:f>SUM('1:31'!K9)</x:f>
        <x:v>0</x:v>
      </x:c>
      <x:c r="I22" s="71">
        <x:f t="shared" si="3"/>
        <x:v>0</x:v>
      </x:c>
      <x:c r="J22" s="159"/>
      <x:c r="K22" s="168"/>
      <x:c r="M22" s="70"/>
      <x:c r="N22" s="70"/>
      <x:c r="P22" s="94"/>
    </x:row>
    <x:row r="23" spans="1:16" ht="16.399999999999999">
      <x:c r="A23" s="189"/>
      <x:c r="B23" s="1" t="s">
        <x:v>41</x:v>
      </x:c>
      <x:c r="C23" s="16">
        <x:v>3400000</x:v>
      </x:c>
      <x:c r="D23" s="159"/>
      <x:c r="E23" s="163"/>
      <x:c r="F23" s="196"/>
      <x:c r="G23" s="54" t="s">
        <x:v>4</x:v>
      </x:c>
      <x:c r="H23" s="16">
        <x:f>SUM('1:31'!K10)</x:f>
        <x:v>44000</x:v>
      </x:c>
      <x:c r="I23" s="71">
        <x:f>H23/$B$45</x:f>
        <x:v>0.0003085586454275466</x:v>
      </x:c>
      <x:c r="J23" s="159"/>
      <x:c r="K23" s="168"/>
      <x:c r="M23" s="70"/>
      <x:c r="N23" s="70"/>
      <x:c r="P23" s="94"/>
    </x:row>
    <x:row r="24" spans="1:16" ht="16.399999999999999">
      <x:c r="A24" s="189"/>
      <x:c r="B24" s="140"/>
      <x:c r="C24" s="16"/>
      <x:c r="D24" s="159"/>
      <x:c r="E24" s="163"/>
      <x:c r="F24" s="196"/>
      <x:c r="G24" s="54" t="s">
        <x:v>102</x:v>
      </x:c>
      <x:c r="H24" s="16">
        <x:f>SUM('1:31'!K11)</x:f>
        <x:v>440014</x:v>
      </x:c>
      <x:c r="I24" s="71">
        <x:f>H24/$B$45</x:f>
        <x:v>0.0030856846320262837</x:v>
      </x:c>
      <x:c r="J24" s="159"/>
      <x:c r="K24" s="168"/>
      <x:c r="M24" s="70"/>
      <x:c r="N24" s="70"/>
      <x:c r="P24" s="15"/>
    </x:row>
    <x:row r="25" spans="1:14" ht="16.399999999999999">
      <x:c r="A25" s="189"/>
      <x:c r="B25" s="140" t="s">
        <x:v>40</x:v>
      </x:c>
      <x:c r="C25" s="16">
        <x:f>SUM('1:31'!C32)</x:f>
        <x:v>962500</x:v>
      </x:c>
      <x:c r="D25" s="159"/>
      <x:c r="E25" s="163"/>
      <x:c r="F25" s="196"/>
      <x:c r="G25" s="54" t="s">
        <x:v>140</x:v>
      </x:c>
      <x:c r="H25" s="16">
        <x:f>SUM('1:31'!K15)</x:f>
        <x:v>0</x:v>
      </x:c>
      <x:c r="I25" s="71">
        <x:f>H25/$B$45</x:f>
        <x:v>0</x:v>
      </x:c>
      <x:c r="J25" s="159"/>
      <x:c r="K25" s="168"/>
      <x:c r="M25" s="70"/>
      <x:c r="N25" s="70"/>
    </x:row>
    <x:row r="26" spans="1:21" ht="16.399999999999999">
      <x:c r="A26" s="189"/>
      <x:c r="B26" s="140" t="s">
        <x:v>149</x:v>
      </x:c>
      <x:c r="C26" s="16">
        <x:f>SUM('1:31'!C33)</x:f>
        <x:v>58500</x:v>
      </x:c>
      <x:c r="D26" s="159"/>
      <x:c r="E26" s="163"/>
      <x:c r="F26" s="196"/>
      <x:c r="G26" s="54" t="s">
        <x:v>78</x:v>
      </x:c>
      <x:c r="H26" s="16">
        <x:f>SUM('1:31'!K16)</x:f>
        <x:v>1364144</x:v>
      </x:c>
      <x:c r="I26" s="71">
        <x:f>H26/$B$45</x:f>
        <x:v>0.0095663278365480699</x:v>
      </x:c>
      <x:c r="J26" s="159"/>
      <x:c r="K26" s="168"/>
      <x:c r="M26" s="70"/>
      <x:c r="N26" s="70"/>
      <x:c r="P26" s="94"/>
      <x:c r="T26" s="107"/>
      <x:c r="U26" s="106"/>
    </x:row>
    <x:row r="27" spans="1:21" ht="16.399999999999999">
      <x:c r="A27" s="189"/>
      <x:c r="D27" s="159"/>
      <x:c r="E27" s="163"/>
      <x:c r="F27" s="196"/>
      <x:c r="G27" s="54" t="s">
        <x:v>72</x:v>
      </x:c>
      <x:c r="H27" s="16">
        <x:f>SUM('1:31'!K17)</x:f>
        <x:v>0</x:v>
      </x:c>
      <x:c r="I27" s="71">
        <x:f>H27/$B$45</x:f>
        <x:v>0</x:v>
      </x:c>
      <x:c r="J27" s="159"/>
      <x:c r="K27" s="168"/>
      <x:c r="M27" s="70"/>
      <x:c r="N27" s="70"/>
      <x:c r="P27" s="94"/>
      <x:c r="T27" s="107"/>
      <x:c r="U27" s="106"/>
    </x:row>
    <x:row r="28" spans="1:21" ht="16.399999999999999">
      <x:c r="A28" s="189"/>
      <x:c r="B28" s="140" t="s">
        <x:v>52</x:v>
      </x:c>
      <x:c r="C28" s="16">
        <x:f>SUM('1:31'!F28)+SUM('1:31'!F29)</x:f>
        <x:v>610350</x:v>
      </x:c>
      <x:c r="D28" s="159"/>
      <x:c r="E28" s="163"/>
      <x:c r="F28" s="196"/>
      <x:c r="G28" s="54"/>
      <x:c r="H28" s="16"/>
      <x:c r="I28" s="71"/>
      <x:c r="J28" s="159"/>
      <x:c r="K28" s="168"/>
      <x:c r="P28" s="94"/>
      <x:c r="T28" s="107"/>
      <x:c r="U28" s="106"/>
    </x:row>
    <x:row r="29" spans="1:21" ht="16.399999999999999">
      <x:c r="A29" s="189"/>
      <x:c r="B29" s="140" t="s">
        <x:v>32</x:v>
      </x:c>
      <x:c r="C29" s="16">
        <x:f>SUM('1:31'!F32)</x:f>
        <x:v>132000</x:v>
      </x:c>
      <x:c r="D29" s="159"/>
      <x:c r="E29" s="163"/>
      <x:c r="F29" s="196"/>
      <x:c r="J29" s="159"/>
      <x:c r="K29" s="168"/>
      <x:c r="P29" s="94"/>
      <x:c r="T29" s="107"/>
      <x:c r="U29" s="106"/>
    </x:row>
    <x:row r="30" spans="1:21" ht="16.399999999999999">
      <x:c r="A30" s="189"/>
      <x:c r="B30" s="140" t="s">
        <x:v>62</x:v>
      </x:c>
      <x:c r="C30" s="16">
        <x:f>SUM('1:31'!F31)</x:f>
        <x:v>3830000</x:v>
      </x:c>
      <x:c r="D30" s="159"/>
      <x:c r="E30" s="163"/>
      <x:c r="F30" s="196"/>
      <x:c r="J30" s="159"/>
      <x:c r="K30" s="168"/>
      <x:c r="P30" s="94"/>
      <x:c r="T30" s="107"/>
      <x:c r="U30" s="106"/>
    </x:row>
    <x:row r="31" spans="1:11" ht="16.399999999999999">
      <x:c r="A31" s="190"/>
      <x:c r="B31" s="140" t="s">
        <x:v>28</x:v>
      </x:c>
      <x:c r="C31" s="16">
        <x:f>SUM(C19:C30)</x:f>
        <x:v>23493350</x:v>
      </x:c>
      <x:c r="D31" s="164"/>
      <x:c r="E31" s="163"/>
      <x:c r="F31" s="196"/>
      <x:c r="J31" s="159"/>
      <x:c r="K31" s="168"/>
    </x:row>
    <x:row r="32" spans="1:11" ht="16.399999999999999">
      <x:c r="A32" s="165" t="s">
        <x:v>145</x:v>
      </x:c>
      <x:c r="B32" s="166"/>
      <x:c r="C32" s="19">
        <x:f>SUM(C19:C23)*0.1</x:f>
        <x:v>1790000</x:v>
      </x:c>
      <x:c r="D32" s="16">
        <x:f>C32</x:f>
        <x:v>1790000</x:v>
      </x:c>
      <x:c r="E32" s="168">
        <x:f>(D32:D33)/$B$45</x:f>
        <x:v>0.012552726711711554</x:v>
      </x:c>
      <x:c r="F32" s="196"/>
      <x:c r="G32" s="105"/>
      <x:c r="H32" s="85"/>
      <x:c r="I32" s="71"/>
      <x:c r="J32" s="159"/>
      <x:c r="K32" s="168"/>
    </x:row>
    <x:row r="33" spans="1:11" ht="16.75">
      <x:c r="A33" s="183" t="s">
        <x:v>70</x:v>
      </x:c>
      <x:c r="B33" s="184"/>
      <x:c r="C33" s="143"/>
      <x:c r="D33" s="144">
        <x:f>C33</x:f>
        <x:v>0</x:v>
      </x:c>
      <x:c r="E33" s="180"/>
      <x:c r="F33" s="191" t="s">
        <x:v>148</x:v>
      </x:c>
      <x:c r="G33" s="192"/>
      <x:c r="H33" s="86">
        <x:f>SUM('1:31'!$G$5)</x:f>
        <x:v>182606</x:v>
      </x:c>
      <x:c r="I33" s="86"/>
      <x:c r="J33" s="86">
        <x:f>H33</x:f>
        <x:v>182606</x:v>
      </x:c>
      <x:c r="K33" s="87">
        <x:f>J33/$B$45</x:f>
        <x:v>0.0012805604547032402</x:v>
      </x:c>
    </x:row>
    <x:row r="34" spans="1:11" ht="21.399999999999999">
      <x:c r="A34" s="160" t="s">
        <x:v>74</x:v>
      </x:c>
      <x:c r="B34" s="161"/>
      <x:c r="C34" s="148">
        <x:f>SUM(C6:D17,C19:C24,C32:C33)</x:f>
        <x:v>41528000</x:v>
      </x:c>
      <x:c r="D34" s="149"/>
      <x:c r="E34" s="20">
        <x:f>SUM(E19:E33)</x:f>
        <x:v>0.1773044597243309</x:v>
      </x:c>
      <x:c r="F34" s="193" t="s">
        <x:v>137</x:v>
      </x:c>
      <x:c r="G34" s="194"/>
      <x:c r="H34" s="88">
        <x:f>SUM('1:31'!$G$4)</x:f>
        <x:v>3392853</x:v>
      </x:c>
      <x:c r="I34" s="88"/>
      <x:c r="J34" s="88">
        <x:f>H34</x:f>
        <x:v>3392853</x:v>
      </x:c>
      <x:c r="K34" s="89">
        <x:f>J34/$B$45</x:f>
        <x:v>0.023793048313972446</x:v>
      </x:c>
    </x:row>
    <x:row r="35" spans="1:11" ht="21.399999999999999">
      <x:c r="A35" s="151" t="s">
        <x:v>119</x:v>
      </x:c>
      <x:c r="B35" s="152"/>
      <x:c r="E35" s="21">
        <x:f>E18+E34</x:f>
        <x:v>0.25387609266577138</x:v>
      </x:c>
      <x:c r="F35" s="151"/>
      <x:c r="G35" s="152"/>
      <x:c r="H35" s="148">
        <x:f>SUM(J6:J34)</x:f>
        <x:v>58512684</x:v>
      </x:c>
      <x:c r="I35" s="149"/>
      <x:c r="J35" s="150"/>
      <x:c r="K35" s="22">
        <x:f>SUM(K6:K34)</x:f>
        <x:v>0.41033169353113813</x:v>
      </x:c>
    </x:row>
    <x:row r="36" spans="6:11" ht="20.649999999999999">
      <x:c r="F36" s="104"/>
      <x:c r="G36" s="104"/>
      <x:c r="H36" s="103"/>
      <x:c r="I36" s="103"/>
      <x:c r="J36" s="103"/>
      <x:c r="K36" s="102"/>
    </x:row>
    <x:row r="37" spans="1:4" ht="17.800000000000001">
      <x:c r="A37" s="23"/>
      <x:c r="B37" s="23"/>
      <x:c r="C37" s="23"/>
      <x:c r="D37" s="23"/>
    </x:row>
    <x:row r="38" spans="1:11" ht="18.199999999999999">
      <x:c r="A38" s="24" t="s">
        <x:v>27</x:v>
      </x:c>
      <x:c r="B38" s="25" t="s">
        <x:v>7</x:v>
      </x:c>
      <x:c r="C38" s="26" t="s">
        <x:v>105</x:v>
      </x:c>
      <x:c r="D38" s="101" t="s">
        <x:v>115</x:v>
      </x:c>
      <x:c r="F38" s="27" t="s">
        <x:v>90</x:v>
      </x:c>
      <x:c r="G38" s="28"/>
      <x:c r="H38" s="28"/>
      <x:c r="I38" s="28"/>
      <x:c r="J38" s="28"/>
      <x:c r="K38" s="29"/>
    </x:row>
    <x:row r="39" spans="1:11" ht="17.800000000000001">
      <x:c r="A39" s="120" t="s">
        <x:v>126</x:v>
      </x:c>
      <x:c r="B39" s="30">
        <x:f>$C$34</x:f>
        <x:v>41528000</x:v>
      </x:c>
      <x:c r="C39" s="31">
        <x:f>B39/$B$41</x:f>
        <x:v>0.41511111619348784</x:v>
      </x:c>
      <x:c r="D39" s="32">
        <x:f>B39/$B$45</x:f>
        <x:v>0.29122325971170804</x:v>
      </x:c>
      <x:c r="F39" s="33" t="s">
        <x:v>147</x:v>
      </x:c>
      <x:c r="G39" s="34"/>
      <x:c r="H39" s="34"/>
      <x:c r="I39" s="34"/>
      <x:c r="J39" s="34"/>
      <x:c r="K39" s="75"/>
    </x:row>
    <x:row r="40" spans="1:11" ht="17.800000000000001">
      <x:c r="A40" s="121" t="s">
        <x:v>96</x:v>
      </x:c>
      <x:c r="B40" s="35">
        <x:f>$H$35</x:f>
        <x:v>58512684</x:v>
      </x:c>
      <x:c r="C40" s="31">
        <x:f>B40/$B$41</x:f>
        <x:v>0.58488888380651216</x:v>
      </x:c>
      <x:c r="D40" s="32">
        <x:f>B40/$B$45</x:f>
        <x:v>0.41033169353113813</x:v>
      </x:c>
      <x:c r="F40" s="181" t="s">
        <x:v>14</x:v>
      </x:c>
      <x:c r="G40" s="182"/>
      <x:c r="H40" s="34" t="s">
        <x:v>64</x:v>
      </x:c>
      <x:c r="I40" s="34"/>
      <x:c r="J40" s="34"/>
      <x:c r="K40" s="36">
        <x:f>$C$34</x:f>
        <x:v>41528000</x:v>
      </x:c>
    </x:row>
    <x:row r="41" spans="1:11" ht="17.800000000000001">
      <x:c r="A41" s="122" t="s">
        <x:v>25</x:v>
      </x:c>
      <x:c r="B41" s="117">
        <x:f>SUM(B39:B40)</x:f>
        <x:v>100040684</x:v>
      </x:c>
      <x:c r="C41" s="118">
        <x:f>SUM(C39:C40)</x:f>
        <x:v>1</x:v>
      </x:c>
      <x:c r="D41" s="119">
        <x:f>SUM(D39:D40)</x:f>
        <x:v>0.70155495324284622</x:v>
      </x:c>
      <x:c r="F41" s="181" t="s">
        <x:v>67</x:v>
      </x:c>
      <x:c r="G41" s="182"/>
      <x:c r="H41" s="34" t="s">
        <x:v>55</x:v>
      </x:c>
      <x:c r="I41" s="34"/>
      <x:c r="J41" s="34"/>
      <x:c r="K41" s="39">
        <x:f>$H$35</x:f>
        <x:v>58512684</x:v>
      </x:c>
    </x:row>
    <x:row r="42" spans="1:11" customHeight="1">
      <x:c r="A42" s="123" t="s">
        <x:v>92</x:v>
      </x:c>
      <x:c r="B42" s="48">
        <x:f>SUM('1:31'!C4)</x:f>
        <x:v>123376844</x:v>
      </x:c>
      <x:c r="C42" s="49"/>
      <x:c r="D42" s="40">
        <x:f>B42/$B$45</x:f>
        <x:v>0.86520436049467564</x:v>
      </x:c>
      <x:c r="F42" s="181" t="s">
        <x:v>8</x:v>
      </x:c>
      <x:c r="G42" s="182"/>
      <x:c r="H42" s="34" t="s">
        <x:v>66</x:v>
      </x:c>
      <x:c r="I42" s="34"/>
      <x:c r="J42" s="34"/>
      <x:c r="K42" s="39">
        <x:f>$B$45</x:f>
        <x:v>142598500</x:v>
      </x:c>
    </x:row>
    <x:row r="43" spans="1:11" customHeight="1">
      <x:c r="A43" s="121" t="s">
        <x:v>124</x:v>
      </x:c>
      <x:c r="B43" s="35">
        <x:f>SUM('1:31'!C5)</x:f>
        <x:v>19221656</x:v>
      </x:c>
      <x:c r="C43" s="35"/>
      <x:c r="D43" s="41">
        <x:f>B43/$B$45</x:f>
        <x:v>0.13479563950532439</x:v>
      </x:c>
      <x:c r="F43" s="181" t="s">
        <x:v>101</x:v>
      </x:c>
      <x:c r="G43" s="182"/>
      <x:c r="H43" s="34" t="s">
        <x:v>6</x:v>
      </x:c>
      <x:c r="I43" s="34"/>
      <x:c r="J43" s="34"/>
      <x:c r="K43" s="42">
        <x:f>(K41)/K42</x:f>
        <x:v>0.41033169353113813</x:v>
      </x:c>
    </x:row>
    <x:row r="44" spans="1:11" customHeight="1">
      <x:c r="A44" s="121" t="s">
        <x:v>113</x:v>
      </x:c>
      <x:c r="B44" s="35">
        <x:f>SUM('1:31'!C6)</x:f>
        <x:v>0</x:v>
      </x:c>
      <x:c r="C44" s="18"/>
      <x:c r="D44" s="41">
        <x:f>B44/$B$45</x:f>
        <x:v>0</x:v>
      </x:c>
      <x:c r="F44" s="43" t="s">
        <x:v>138</x:v>
      </x:c>
      <x:c r="G44" s="44"/>
      <x:c r="H44" s="44" t="s">
        <x:v>136</x:v>
      </x:c>
      <x:c r="I44" s="44"/>
      <x:c r="J44" s="44"/>
      <x:c r="K44" s="45">
        <x:f>K40/(1-K43)</x:f>
        <x:v>70426033.660659239</x:v>
      </x:c>
    </x:row>
    <x:row r="45" spans="1:4" customHeight="1">
      <x:c r="A45" s="124" t="s">
        <x:v>5</x:v>
      </x:c>
      <x:c r="B45" s="37">
        <x:f>SUM(B42:B44)</x:f>
        <x:v>142598500</x:v>
      </x:c>
      <x:c r="C45" s="50"/>
      <x:c r="D45" s="38"/>
    </x:row>
    <x:row r="46" spans="1:4" customHeight="1">
      <x:c r="A46" s="125" t="s">
        <x:v>88</x:v>
      </x:c>
      <x:c r="B46" s="46">
        <x:f>B45-B41</x:f>
        <x:v>42557816</x:v>
      </x:c>
      <x:c r="C46" s="47"/>
      <x:c r="D46" s="74">
        <x:f>B46/B45</x:f>
        <x:v>0.29844504675715383</x:v>
      </x:c>
    </x:row>
    <x:row r="47" spans="1:13" ht="20.100000000000001" customHeight="1">
      <x:c r="A47" s="123" t="s">
        <x:v>116</x:v>
      </x:c>
      <x:c r="B47" s="48">
        <x:f>INT(B45*0.05)</x:f>
        <x:v>7129925</x:v>
      </x:c>
      <x:c r="C47" s="49"/>
      <x:c r="D47" s="40">
        <x:f>B47/B45</x:f>
        <x:v>0.05</x:v>
      </x:c>
      <x:c r="E47" s="23"/>
      <x:c r="F47" s="23"/>
      <x:c r="G47" s="23"/>
      <x:c r="H47" s="23"/>
      <x:c r="I47" s="23"/>
      <x:c r="J47" s="23"/>
      <x:c r="K47" s="23"/>
      <x:c r="M47" s="23"/>
    </x:row>
    <x:row r="48" spans="1:13" customHeight="1">
      <x:c r="A48" s="125" t="s">
        <x:v>73</x:v>
      </x:c>
      <x:c r="B48" s="30">
        <x:f>INT(B45*0.02)</x:f>
        <x:v>2851970</x:v>
      </x:c>
      <x:c r="C48" s="80"/>
      <x:c r="D48" s="32">
        <x:f>B48/B45</x:f>
        <x:v>0.020000000000000001</x:v>
      </x:c>
      <x:c r="E48" s="23"/>
      <x:c r="F48" s="23"/>
      <x:c r="G48" s="23"/>
      <x:c r="H48" s="23"/>
      <x:c r="I48" s="23"/>
      <x:c r="J48" s="23"/>
      <x:c r="K48" s="23"/>
      <x:c r="M48" s="23"/>
    </x:row>
    <x:row r="49" spans="1:6" s="23" customFormat="1" customHeight="1">
      <x:c r="A49" s="124" t="s">
        <x:v>109</x:v>
      </x:c>
      <x:c r="B49" s="37">
        <x:f>B46-B47-B48</x:f>
        <x:v>32575921</x:v>
      </x:c>
      <x:c r="C49" s="50"/>
      <x:c r="D49" s="74">
        <x:f>B49/B45</x:f>
        <x:v>0.22844504675715382</x:v>
      </x:c>
      <x:c r="E49" s="95"/>
      <x:c r="F49" s="96"/>
    </x:row>
    <x:row r="50" spans="1:5" s="23" customFormat="1" customHeight="1">
      <x:c r="A50" s="100"/>
      <x:c r="B50" s="1"/>
      <x:c r="C50" s="1"/>
      <x:c r="D50" s="1"/>
      <x:c r="E50" s="1"/>
    </x:row>
    <x:row r="51" spans="1:5" s="23" customFormat="1" customHeight="1">
      <x:c r="A51" s="100"/>
      <x:c r="B51" s="1"/>
      <x:c r="C51" s="1"/>
      <x:c r="D51" s="1"/>
      <x:c r="E51" s="95"/>
    </x:row>
    <x:row r="52" spans="1:5" s="23" customFormat="1" customHeight="1">
      <x:c r="A52" s="1"/>
      <x:c r="B52" s="1"/>
      <x:c r="C52" s="1"/>
      <x:c r="D52" s="1"/>
      <x:c r="E52" s="1"/>
    </x:row>
    <x:row r="53" spans="1:5" s="23" customFormat="1" customHeight="1">
      <x:c r="A53" s="1"/>
      <x:c r="B53" s="1"/>
      <x:c r="C53" s="1"/>
      <x:c r="D53" s="1"/>
      <x:c r="E53" s="1"/>
    </x:row>
    <x:row r="54" spans="1:5" s="23" customFormat="1" customHeight="1">
      <x:c r="A54" s="1"/>
      <x:c r="B54" s="1"/>
      <x:c r="C54" s="1"/>
      <x:c r="D54" s="1"/>
      <x:c r="E54" s="1"/>
    </x:row>
    <x:row r="55" spans="1:11" s="23" customFormat="1" customHeight="1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</x:row>
    <x:row r="56" spans="1:11" s="23" customFormat="1" customHeight="1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</x:row>
    <x:row r="57" spans="1:11" s="23" customFormat="1" customHeight="1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</x:row>
    <x:row r="58" spans="1:11" s="23" customFormat="1" customHeight="1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</x:row>
  </x:sheetData>
  <x:mergeCells count="40">
    <x:mergeCell ref="H35:J35"/>
    <x:mergeCell ref="F35:G35"/>
    <x:mergeCell ref="A12:B12"/>
    <x:mergeCell ref="A13:B13"/>
    <x:mergeCell ref="A14:B14"/>
    <x:mergeCell ref="A15:B15"/>
    <x:mergeCell ref="A16:B16"/>
    <x:mergeCell ref="A17:B17"/>
    <x:mergeCell ref="J19:J32"/>
    <x:mergeCell ref="A34:B34"/>
    <x:mergeCell ref="E19:E31"/>
    <x:mergeCell ref="D19:D31"/>
    <x:mergeCell ref="A32:B32"/>
    <x:mergeCell ref="K19:K32"/>
    <x:mergeCell ref="F6:F18"/>
    <x:mergeCell ref="J6:J18"/>
    <x:mergeCell ref="A4:E4"/>
    <x:mergeCell ref="F4:K4"/>
    <x:mergeCell ref="A6:B6"/>
    <x:mergeCell ref="A7:B7"/>
    <x:mergeCell ref="A8:B8"/>
    <x:mergeCell ref="A5:B5"/>
    <x:mergeCell ref="K6:K18"/>
    <x:mergeCell ref="A9:B9"/>
    <x:mergeCell ref="A10:B10"/>
    <x:mergeCell ref="A11:B11"/>
    <x:mergeCell ref="E32:E33"/>
    <x:mergeCell ref="F43:G43"/>
    <x:mergeCell ref="F40:G40"/>
    <x:mergeCell ref="F42:G42"/>
    <x:mergeCell ref="A33:B33"/>
    <x:mergeCell ref="A18:B18"/>
    <x:mergeCell ref="C18:D18"/>
    <x:mergeCell ref="A19:A31"/>
    <x:mergeCell ref="F41:G41"/>
    <x:mergeCell ref="F33:G33"/>
    <x:mergeCell ref="F34:G34"/>
    <x:mergeCell ref="A35:B35"/>
    <x:mergeCell ref="C34:D34"/>
    <x:mergeCell ref="F19:F32"/>
  </x:mergeCells>
  <x:pageMargins left="0.69972223043441772" right="0.69972223043441772" top="0.75" bottom="0.75" header="0.30000001192092896" footer="0.30000001192092896"/>
  <x:pageSetup paperSize="9" scale="58" firstPageNumber="1" fitToWidth="1" fitToHeight="1" orientation="landscape" usePrinterDefaults="1" blackAndWhite="0" draft="0" useFirstPageNumber="0" horizontalDpi="600" verticalDpi="600" copies="1"/>
</x:worksheet>
</file>

<file path=xl/worksheets/sheet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"/>
  <x:dimension ref="A1:O34"/>
  <x:sheetViews>
    <x:sheetView topLeftCell="A7" zoomScale="85" zoomScaleNormal="85" zoomScaleSheetLayoutView="75" workbookViewId="0">
      <x:selection activeCell="E26" activeCellId="0" sqref="E26:G26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89</x:v>
      </x:c>
      <x:c r="D1" s="68"/>
      <x:c r="E1" s="68">
        <x:v>3</x:v>
      </x:c>
      <x:c r="F1" s="68">
        <x:v>1</x:v>
      </x:c>
      <x:c r="G1" s="68" t="s">
        <x:v>49</x:v>
      </x:c>
      <x:c r="H1" s="52" t="s">
        <x:v>103</x:v>
      </x:c>
      <x:c r="I1" s="52">
        <x:f>F1-K1</x:f>
        <x:v>1</x:v>
      </x:c>
      <x:c r="J1" s="52" t="s">
        <x:v>93</x:v>
      </x:c>
      <x:c r="K1" s="52"/>
    </x:row>
    <x:row r="2" spans="1:11" ht="20.100000000000001" customHeight="1">
      <x:c r="A2" s="267" t="s">
        <x:v>24</x:v>
      </x:c>
      <x:c r="B2" s="268"/>
      <x:c r="C2" s="271">
        <x:f>SUM(C4:D7)</x:f>
        <x:v>6551500</x:v>
      </x:c>
      <x:c r="D2" s="271"/>
      <x:c r="E2" s="274" t="s">
        <x:v>9</x:v>
      </x:c>
      <x:c r="F2" s="275"/>
      <x:c r="G2" s="263">
        <x:v>86950</x:v>
      </x:c>
      <x:c r="H2" s="261" t="s">
        <x:v>60</x:v>
      </x:c>
      <x:c r="I2" s="262"/>
      <x:c r="J2" s="259" t="s">
        <x:v>140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2" ht="30.949999999999999" customHeight="1">
      <x:c r="A4" s="265" t="s">
        <x:v>11</x:v>
      </x:c>
      <x:c r="B4" s="266"/>
      <x:c r="C4" s="258">
        <x:v>5770500</x:v>
      </x:c>
      <x:c r="D4" s="258"/>
      <x:c r="E4" s="273" t="s">
        <x:v>137</x:v>
      </x:c>
      <x:c r="F4" s="273"/>
      <x:c r="G4" s="135">
        <x:f>INT(C4*0.0275)</x:f>
        <x:v>158688</x:v>
      </x:c>
      <x:c r="H4" s="54" t="s">
        <x:v>43</x:v>
      </x:c>
      <x:c r="I4" s="126">
        <x:v>1838094</x:v>
      </x:c>
      <x:c r="J4" s="82" t="s">
        <x:v>18</x:v>
      </x:c>
      <x:c r="K4" s="58"/>
      <x:c r="L4" s="97"/>
    </x:row>
    <x:row r="5" spans="1:11" ht="30.949999999999999" customHeight="1">
      <x:c r="A5" s="265" t="s">
        <x:v>50</x:v>
      </x:c>
      <x:c r="B5" s="266"/>
      <x:c r="C5" s="258">
        <x:v>781000</x:v>
      </x:c>
      <x:c r="D5" s="258"/>
      <x:c r="E5" s="257" t="s">
        <x:v>146</x:v>
      </x:c>
      <x:c r="F5" s="257"/>
      <x:c r="G5" s="135">
        <x:f>INT(C5*0.01)</x:f>
        <x:v>7810</x:v>
      </x:c>
      <x:c r="H5" s="54" t="s">
        <x:v>60</x:v>
      </x:c>
      <x:c r="I5" s="126">
        <x:v>81212</x:v>
      </x:c>
      <x:c r="J5" s="83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>
        <x:v>800000</x:v>
      </x:c>
      <x:c r="H6" s="54"/>
      <x:c r="I6" s="126"/>
      <x:c r="J6" s="83" t="s">
        <x:v>114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6"/>
      <x:c r="J7" s="83" t="s">
        <x:v>118</x:v>
      </x:c>
      <x:c r="K7" s="58"/>
    </x:row>
    <x:row r="8" spans="1:11" ht="21.949999999999999" customHeight="1">
      <x:c r="A8" s="256" t="s">
        <x:v>108</x:v>
      </x:c>
      <x:c r="B8" s="257"/>
      <x:c r="C8" s="258">
        <x:v>67950</x:v>
      </x:c>
      <x:c r="D8" s="258"/>
      <x:c r="E8" s="284" t="s">
        <x:v>128</x:v>
      </x:c>
      <x:c r="F8" s="285"/>
      <x:c r="G8" s="290">
        <x:f>C5+G2-G6-C22</x:f>
        <x:v>67950</x:v>
      </x:c>
      <x:c r="H8" s="54" t="s">
        <x:v>16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30.949999999999999" customHeight="1">
      <x:c r="A10" s="256" t="s">
        <x:v>129</x:v>
      </x:c>
      <x:c r="B10" s="257"/>
      <x:c r="C10" s="258">
        <x:v>50000</x:v>
      </x:c>
      <x:c r="D10" s="258"/>
      <x:c r="E10" s="257" t="s">
        <x:v>69</x:v>
      </x:c>
      <x:c r="F10" s="257"/>
      <x:c r="G10" s="55"/>
      <x:c r="H10" s="54"/>
      <x:c r="I10" s="126"/>
      <x:c r="J10" s="54" t="s">
        <x:v>4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37</x:v>
      </x:c>
      <x:c r="I11" s="58"/>
      <x:c r="J11" s="54" t="s">
        <x:v>102</x:v>
      </x:c>
      <x:c r="K11" s="137">
        <x:v>14194</x:v>
      </x:c>
    </x:row>
    <x:row r="12" spans="1:13" ht="21.949999999999999" customHeight="1">
      <x:c r="A12" s="59" t="s">
        <x:v>39</x:v>
      </x:c>
      <x:c r="B12" s="294" t="s">
        <x:v>22</x:v>
      </x:c>
      <x:c r="C12" s="81">
        <x:v>56</x:v>
      </x:c>
      <x:c r="D12" s="284" t="s">
        <x:v>100</x:v>
      </x:c>
      <x:c r="E12" s="285"/>
      <x:c r="F12" s="288">
        <x:v>3</x:v>
      </x:c>
      <x:c r="G12" s="289"/>
      <x:c r="H12" s="54" t="s">
        <x:v>80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112</x:v>
      </x:c>
      <x:c r="B13" s="295"/>
      <x:c r="C13" s="136">
        <x:f>SUM('1'!$C$12)</x:f>
        <x:v>56</x:v>
      </x:c>
      <x:c r="D13" s="276"/>
      <x:c r="E13" s="277"/>
      <x:c r="F13" s="286">
        <x:f>SUM('1'!$F$12)</x:f>
        <x:v>3</x:v>
      </x:c>
      <x:c r="G13" s="287"/>
      <x:c r="H13" s="54" t="s">
        <x:v>131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39</x:v>
      </x:c>
      <x:c r="B14" s="294" t="s">
        <x:v>34</x:v>
      </x:c>
      <x:c r="C14" s="81">
        <x:v>115</x:v>
      </x:c>
      <x:c r="D14" s="284" t="s">
        <x:v>84</x:v>
      </x:c>
      <x:c r="E14" s="285"/>
      <x:c r="F14" s="288">
        <x:v>46</x:v>
      </x:c>
      <x:c r="G14" s="289"/>
      <x:c r="H14" s="54" t="s">
        <x:v>104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112</x:v>
      </x:c>
      <x:c r="B15" s="295"/>
      <x:c r="C15" s="136">
        <x:f>SUM('1'!$C$14)</x:f>
        <x:v>115</x:v>
      </x:c>
      <x:c r="D15" s="276"/>
      <x:c r="E15" s="277"/>
      <x:c r="F15" s="286">
        <x:f>SUM('1'!$F$14)</x:f>
        <x:v>46</x:v>
      </x:c>
      <x:c r="G15" s="287"/>
      <x:c r="H15" s="54" t="s">
        <x:v>87</x:v>
      </x:c>
      <x:c r="I15" s="58"/>
      <x:c r="J15" s="54" t="s">
        <x:v>140</x:v>
      </x:c>
      <x:c r="K15" s="58"/>
      <x:c r="L15" s="60"/>
      <x:c r="M15" s="11"/>
    </x:row>
    <x:row r="16" spans="1:13" ht="21.949999999999999" customHeight="1">
      <x:c r="A16" s="59" t="s">
        <x:v>39</x:v>
      </x:c>
      <x:c r="B16" s="294" t="s">
        <x:v>2</x:v>
      </x:c>
      <x:c r="C16" s="81">
        <x:v>9</x:v>
      </x:c>
      <x:c r="D16" s="284" t="s">
        <x:v>111</x:v>
      </x:c>
      <x:c r="E16" s="285"/>
      <x:c r="F16" s="282">
        <x:v>5</x:v>
      </x:c>
      <x:c r="G16" s="282"/>
      <x:c r="H16" s="54"/>
      <x:c r="I16" s="58"/>
      <x:c r="J16" s="54" t="s">
        <x:v>78</x:v>
      </x:c>
      <x:c r="K16" s="58"/>
      <x:c r="L16" s="60"/>
      <x:c r="M16" s="11"/>
    </x:row>
    <x:row r="17" spans="1:13" ht="21.949999999999999" customHeight="1">
      <x:c r="A17" s="59" t="s">
        <x:v>112</x:v>
      </x:c>
      <x:c r="B17" s="295"/>
      <x:c r="C17" s="136">
        <x:f>SUM('1'!$C$16)</x:f>
        <x:v>9</x:v>
      </x:c>
      <x:c r="D17" s="276"/>
      <x:c r="E17" s="277"/>
      <x:c r="F17" s="283">
        <x:f>SUM('1'!$F$16)</x:f>
        <x:v>5</x:v>
      </x:c>
      <x:c r="G17" s="283"/>
      <x:c r="H17" s="54" t="s">
        <x:v>56</x:v>
      </x:c>
      <x:c r="I17" s="58">
        <x:v>1600</x:v>
      </x:c>
      <x:c r="J17" s="54" t="s">
        <x:v>72</x:v>
      </x:c>
      <x:c r="K17" s="58"/>
      <x:c r="L17" s="60"/>
      <x:c r="M17" s="11"/>
    </x:row>
    <x:row r="18" spans="1:13" ht="21.949999999999999" customHeight="1">
      <x:c r="A18" s="59" t="s">
        <x:v>39</x:v>
      </x:c>
      <x:c r="B18" s="294" t="s">
        <x:v>120</x:v>
      </x:c>
      <x:c r="C18" s="81">
        <x:v>57</x:v>
      </x:c>
      <x:c r="D18" s="284" t="s">
        <x:v>122</x:v>
      </x:c>
      <x:c r="E18" s="285"/>
      <x:c r="F18" s="292">
        <x:v>3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112</x:v>
      </x:c>
      <x:c r="B19" s="295"/>
      <x:c r="C19" s="136">
        <x:f>SUM('1'!$C$18)</x:f>
        <x:v>57</x:v>
      </x:c>
      <x:c r="D19" s="276"/>
      <x:c r="E19" s="277"/>
      <x:c r="F19" s="283">
        <x:f>SUM('1'!$F$18)</x:f>
        <x:v>3</x:v>
      </x:c>
      <x:c r="G19" s="283"/>
      <x:c r="H19" s="54"/>
      <x:c r="I19" s="58"/>
      <x:c r="J19" s="54"/>
      <x:c r="K19" s="58"/>
      <x:c r="L19" s="60"/>
      <x:c r="M19" s="11"/>
    </x:row>
    <x:row r="20" spans="1:13" ht="21.949999999999999" customHeight="1">
      <x:c r="A20" s="59" t="s">
        <x:v>39</x:v>
      </x:c>
      <x:c r="B20" s="257"/>
      <x:c r="C20" s="134"/>
      <x:c r="D20" s="257" t="s">
        <x:v>95</x:v>
      </x:c>
      <x:c r="E20" s="257"/>
      <x:c r="F20" s="282">
        <x:v>104</x:v>
      </x:c>
      <x:c r="G20" s="282"/>
      <x:c r="H20" s="54"/>
      <x:c r="I20" s="58"/>
      <x:c r="J20" s="54"/>
      <x:c r="K20" s="58"/>
      <x:c r="L20" s="60"/>
      <x:c r="M20" s="11"/>
    </x:row>
    <x:row r="21" spans="1:13" ht="21.949999999999999" customHeight="1">
      <x:c r="A21" s="59" t="s">
        <x:v>112</x:v>
      </x:c>
      <x:c r="B21" s="257"/>
      <x:c r="C21" s="134"/>
      <x:c r="D21" s="257" t="s">
        <x:v>132</x:v>
      </x:c>
      <x:c r="E21" s="257"/>
      <x:c r="F21" s="283">
        <x:f>SUM('1'!$F$20)</x:f>
        <x:v>104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77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121</x:v>
      </x:c>
      <x:c r="B23" s="257"/>
      <x:c r="C23" s="281"/>
      <x:c r="D23" s="281"/>
      <x:c r="E23" s="281"/>
      <x:c r="F23" s="281"/>
      <x:c r="G23" s="281"/>
      <x:c r="H23" s="109" t="s">
        <x:v>127</x:v>
      </x:c>
      <x:c r="I23" s="110">
        <x:f>SUM(I4:I22)</x:f>
        <x:v>1920906</x:v>
      </x:c>
      <x:c r="J23" s="61" t="s">
        <x:v>99</x:v>
      </x:c>
      <x:c r="K23" s="62">
        <x:f>SUM(K4:K22)</x:f>
        <x:v>14194</x:v>
      </x:c>
      <x:c r="M23" s="91" t="s">
        <x:v>107</x:v>
      </x:c>
      <x:c r="N23" s="279">
        <x:f>C5+C6</x:f>
        <x:v>781000</x:v>
      </x:c>
      <x:c r="O23" s="280"/>
    </x:row>
    <x:row r="24" spans="1:11" ht="34.149999999999999" customHeight="1">
      <x:c r="A24" s="256" t="s">
        <x:v>59</x:v>
      </x:c>
      <x:c r="B24" s="257"/>
      <x:c r="C24" s="257" t="s">
        <x:v>91</x:v>
      </x:c>
      <x:c r="D24" s="257"/>
      <x:c r="E24" s="257" t="s">
        <x:v>135</x:v>
      </x:c>
      <x:c r="F24" s="257"/>
      <x:c r="G24" s="257"/>
      <x:c r="H24" s="109" t="s">
        <x:v>59</x:v>
      </x:c>
      <x:c r="I24" s="111">
        <x:f>I23/A25</x:f>
        <x:v>0.29320094634816452</x:v>
      </x:c>
      <x:c r="J24" s="61" t="s">
        <x:v>59</x:v>
      </x:c>
      <x:c r="K24" s="63">
        <x:f>K23/A25</x:f>
        <x:v>0.0021665267495993286</x:v>
      </x:c>
    </x:row>
    <x:row r="25" spans="1:11" ht="34.149999999999999" customHeight="1">
      <x:c r="A25" s="308">
        <x:f>C2</x:f>
        <x:v>6551500</x:v>
      </x:c>
      <x:c r="B25" s="272"/>
      <x:c r="C25" s="272">
        <x:f>E25/I1</x:f>
        <x:v>6551500</x:v>
      </x:c>
      <x:c r="D25" s="272"/>
      <x:c r="E25" s="272">
        <x:f>SUM('1'!$A$25)</x:f>
        <x:v>6551500</x:v>
      </x:c>
      <x:c r="F25" s="272"/>
      <x:c r="G25" s="272"/>
      <x:c r="H25" s="109" t="s">
        <x:v>19</x:v>
      </x:c>
      <x:c r="I25" s="110">
        <x:f>SUM('1'!$I$23)</x:f>
        <x:v>1920906</x:v>
      </x:c>
      <x:c r="J25" s="61" t="s">
        <x:v>19</x:v>
      </x:c>
      <x:c r="K25" s="62">
        <x:f>SUM('1'!$K$23)</x:f>
        <x:v>14194</x:v>
      </x:c>
    </x:row>
    <x:row r="26" spans="1:11" ht="34.149999999999999" customHeight="1">
      <x:c r="A26" s="256" t="s">
        <x:v>71</x:v>
      </x:c>
      <x:c r="B26" s="257"/>
      <x:c r="C26" s="257"/>
      <x:c r="D26" s="257"/>
      <x:c r="E26" s="258"/>
      <x:c r="F26" s="258"/>
      <x:c r="G26" s="258"/>
      <x:c r="H26" s="109" t="s">
        <x:v>110</x:v>
      </x:c>
      <x:c r="I26" s="112">
        <x:f>I25/$E$25</x:f>
        <x:v>0.29320094634816452</x:v>
      </x:c>
      <x:c r="J26" s="64" t="s">
        <x:v>110</x:v>
      </x:c>
      <x:c r="K26" s="65">
        <x:f>K25/$E$25</x:f>
        <x:v>0.0021665267495993286</x:v>
      </x:c>
    </x:row>
    <x:row r="27" spans="1:13" ht="30.949999999999999" customHeight="1">
      <x:c r="A27" s="301" t="s">
        <x:v>68</x:v>
      </x:c>
      <x:c r="B27" s="54" t="s">
        <x:v>44</x:v>
      </x:c>
      <x:c r="C27" s="272">
        <x:f>4000000/31</x:f>
        <x:v>129032.25806451614</x:v>
      </x:c>
      <x:c r="D27" s="272"/>
      <x:c r="E27" s="55" t="s">
        <x:v>52</x:v>
      </x:c>
      <x:c r="F27" s="258"/>
      <x:c r="G27" s="258"/>
      <x:c r="H27" s="113" t="s">
        <x:v>85</x:v>
      </x:c>
      <x:c r="I27" s="114">
        <x:f>SUM(C27:D34,F27:G32)</x:f>
        <x:v>707419.3548387097</x:v>
      </x:c>
      <x:c r="M27" s="66"/>
    </x:row>
    <x:row r="28" spans="1:13" ht="30.949999999999999" customHeight="1">
      <x:c r="A28" s="302"/>
      <x:c r="B28" s="54" t="s">
        <x:v>29</x:v>
      </x:c>
      <x:c r="C28" s="309">
        <x:f>3800000/31</x:f>
        <x:v>122580.64516129032</x:v>
      </x:c>
      <x:c r="D28" s="310"/>
      <x:c r="E28" s="55" t="s">
        <x:v>52</x:v>
      </x:c>
      <x:c r="F28" s="311"/>
      <x:c r="G28" s="311"/>
      <x:c r="H28" s="113" t="s">
        <x:v>59</x:v>
      </x:c>
      <x:c r="I28" s="115">
        <x:f>I27/$A$25</x:f>
        <x:v>0.10797822709894066</x:v>
      </x:c>
      <x:c r="M28" s="66"/>
    </x:row>
    <x:row r="29" spans="1:13" ht="30.949999999999999" customHeight="1">
      <x:c r="A29" s="302"/>
      <x:c r="B29" s="54" t="s">
        <x:v>21</x:v>
      </x:c>
      <x:c r="C29" s="272">
        <x:f>3200000/31</x:f>
        <x:v>103225.80645161291</x:v>
      </x:c>
      <x:c r="D29" s="272"/>
      <x:c r="E29" s="54" t="s">
        <x:v>52</x:v>
      </x:c>
      <x:c r="F29" s="258"/>
      <x:c r="G29" s="258"/>
      <x:c r="H29" s="113" t="s">
        <x:v>19</x:v>
      </x:c>
      <x:c r="I29" s="114">
        <x:f>SUM('1'!$I$27)</x:f>
        <x:v>707419.3548387097</x:v>
      </x:c>
      <x:c r="M29" s="66"/>
    </x:row>
    <x:row r="30" spans="1:13" ht="30.949999999999999" customHeight="1">
      <x:c r="A30" s="302"/>
      <x:c r="B30" s="54" t="s">
        <x:v>41</x:v>
      </x:c>
      <x:c r="C30" s="272">
        <x:f>3400000/31</x:f>
        <x:v>109677.41935483871</x:v>
      </x:c>
      <x:c r="D30" s="272"/>
      <x:c r="E30" s="55"/>
      <x:c r="F30" s="306"/>
      <x:c r="G30" s="307"/>
      <x:c r="H30" s="113" t="s">
        <x:v>110</x:v>
      </x:c>
      <x:c r="I30" s="115">
        <x:f>I29/$I$27</x:f>
        <x:v>1</x:v>
      </x:c>
      <x:c r="M30" s="66"/>
    </x:row>
    <x:row r="31" spans="1:7" customHeight="1">
      <x:c r="A31" s="302"/>
      <x:c r="B31" s="54" t="s">
        <x:v>12</x:v>
      </x:c>
      <x:c r="C31" s="309">
        <x:f>3500000/31</x:f>
        <x:v>112903.22580645161</x:v>
      </x:c>
      <x:c r="D31" s="310"/>
      <x:c r="E31" s="55" t="s">
        <x:v>62</x:v>
      </x:c>
      <x:c r="F31" s="306">
        <x:v>130000</x:v>
      </x:c>
      <x:c r="G31" s="307"/>
    </x:row>
    <x:row r="32" spans="1:7" customHeight="1">
      <x:c r="A32" s="302"/>
      <x:c r="B32" s="355" t="s">
        <x:v>40</x:v>
      </x:c>
      <x:c r="C32" s="304"/>
      <x:c r="D32" s="305"/>
      <x:c r="E32" s="55" t="s">
        <x:v>1</x:v>
      </x:c>
      <x:c r="F32" s="306"/>
      <x:c r="G32" s="307"/>
    </x:row>
    <x:row r="33" spans="1:4" customHeight="1">
      <x:c r="A33" s="302"/>
      <x:c r="B33" s="355" t="s">
        <x:v>149</x:v>
      </x:c>
      <x:c r="C33" s="304"/>
      <x:c r="D33" s="305"/>
    </x:row>
    <x:row r="34" spans="1:4" customHeight="1">
      <x:c r="A34" s="303"/>
      <x:c r="B34" s="54"/>
      <x:c r="C34" s="306"/>
      <x:c r="D34" s="307"/>
    </x:row>
  </x:sheetData>
  <x:mergeCells count="75">
    <x:mergeCell ref="A6:B7"/>
    <x:mergeCell ref="A10:B10"/>
    <x:mergeCell ref="C10:D10"/>
    <x:mergeCell ref="J2:K2"/>
    <x:mergeCell ref="H2:I2"/>
    <x:mergeCell ref="G2:G3"/>
    <x:mergeCell ref="A5:B5"/>
    <x:mergeCell ref="C5:D5"/>
    <x:mergeCell ref="E5:F5"/>
    <x:mergeCell ref="A2:B3"/>
    <x:mergeCell ref="C2:D3"/>
    <x:mergeCell ref="A4:B4"/>
    <x:mergeCell ref="C4:D4"/>
    <x:mergeCell ref="E4:F4"/>
    <x:mergeCell ref="E2:F3"/>
    <x:mergeCell ref="G6:G7"/>
    <x:mergeCell ref="N23:O23"/>
    <x:mergeCell ref="C23:G23"/>
    <x:mergeCell ref="A8:B9"/>
    <x:mergeCell ref="C8:D9"/>
    <x:mergeCell ref="F16:G16"/>
    <x:mergeCell ref="F17:G17"/>
    <x:mergeCell ref="F13:G13"/>
    <x:mergeCell ref="F14:G14"/>
    <x:mergeCell ref="F15:G15"/>
    <x:mergeCell ref="G8:G9"/>
    <x:mergeCell ref="A22:B22"/>
    <x:mergeCell ref="C22:G22"/>
    <x:mergeCell ref="A23:B23"/>
    <x:mergeCell ref="E10:F10"/>
    <x:mergeCell ref="F18:G18"/>
    <x:mergeCell ref="A11:B11"/>
    <x:mergeCell ref="C11:G11"/>
    <x:mergeCell ref="F12:G12"/>
    <x:mergeCell ref="C6:D7"/>
    <x:mergeCell ref="E6:F7"/>
    <x:mergeCell ref="E8:F9"/>
    <x:mergeCell ref="A27:A34"/>
    <x:mergeCell ref="C32:D32"/>
    <x:mergeCell ref="C34:D34"/>
    <x:mergeCell ref="D20:E20"/>
    <x:mergeCell ref="C27:D27"/>
    <x:mergeCell ref="A25:B25"/>
    <x:mergeCell ref="C25:D25"/>
    <x:mergeCell ref="E25:G25"/>
    <x:mergeCell ref="A24:B24"/>
    <x:mergeCell ref="C24:D24"/>
    <x:mergeCell ref="E24:G24"/>
    <x:mergeCell ref="F31:G31"/>
    <x:mergeCell ref="A26:B26"/>
    <x:mergeCell ref="F20:G20"/>
    <x:mergeCell ref="C31:D31"/>
    <x:mergeCell ref="C33:D33"/>
    <x:mergeCell ref="F30:G30"/>
    <x:mergeCell ref="F29:G29"/>
    <x:mergeCell ref="C26:D26"/>
    <x:mergeCell ref="E26:G26"/>
    <x:mergeCell ref="C30:D30"/>
    <x:mergeCell ref="F27:G27"/>
    <x:mergeCell ref="C28:D28"/>
    <x:mergeCell ref="F28:G28"/>
    <x:mergeCell ref="C29:D29"/>
    <x:mergeCell ref="F32:G32"/>
    <x:mergeCell ref="F19:G19"/>
    <x:mergeCell ref="B20:B21"/>
    <x:mergeCell ref="D21:E21"/>
    <x:mergeCell ref="F21:G21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4"/>
  <x:dimension ref="A1:O34"/>
  <x:sheetViews>
    <x:sheetView topLeftCell="A13" zoomScale="85" zoomScaleNormal="85" zoomScaleSheetLayoutView="75" workbookViewId="0">
      <x:selection activeCell="E27" activeCellId="0" sqref="E27:E29"/>
    </x:sheetView>
  </x:sheetViews>
  <x:sheetFormatPr defaultColWidth="8.625" defaultRowHeight="30" customHeight="1"/>
  <x:cols>
    <x:col min="1" max="1" width="8.625" style="53" customWidth="1"/>
    <x:col min="2" max="3" width="12.625" style="53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89</x:v>
      </x:c>
      <x:c r="D1" s="68"/>
      <x:c r="E1" s="68">
        <x:v>3</x:v>
      </x:c>
      <x:c r="F1" s="68">
        <x:v>2</x:v>
      </x:c>
      <x:c r="G1" s="68" t="s">
        <x:v>33</x:v>
      </x:c>
      <x:c r="H1" s="52" t="s">
        <x:v>103</x:v>
      </x:c>
      <x:c r="I1" s="52">
        <x:f>F1-K1</x:f>
        <x:v>2</x:v>
      </x:c>
      <x:c r="J1" s="52" t="s">
        <x:v>93</x:v>
      </x:c>
      <x:c r="K1" s="52"/>
    </x:row>
    <x:row r="2" spans="1:11" ht="20.100000000000001" customHeight="1">
      <x:c r="A2" s="267" t="s">
        <x:v>24</x:v>
      </x:c>
      <x:c r="B2" s="268"/>
      <x:c r="C2" s="271">
        <x:f>SUM(C4:D7)</x:f>
        <x:v>4841000</x:v>
      </x:c>
      <x:c r="D2" s="271"/>
      <x:c r="E2" s="274" t="s">
        <x:v>9</x:v>
      </x:c>
      <x:c r="F2" s="275"/>
      <x:c r="G2" s="263">
        <x:v>67950</x:v>
      </x:c>
      <x:c r="H2" s="261" t="s">
        <x:v>60</x:v>
      </x:c>
      <x:c r="I2" s="262"/>
      <x:c r="J2" s="259" t="s">
        <x:v>140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1" ht="30.949999999999999" customHeight="1">
      <x:c r="A4" s="265" t="s">
        <x:v>11</x:v>
      </x:c>
      <x:c r="B4" s="266"/>
      <x:c r="C4" s="258">
        <x:v>4444000</x:v>
      </x:c>
      <x:c r="D4" s="258"/>
      <x:c r="E4" s="273" t="s">
        <x:v>137</x:v>
      </x:c>
      <x:c r="F4" s="273"/>
      <x:c r="G4" s="135">
        <x:f>INT(C4*0.0275)</x:f>
        <x:v>122210</x:v>
      </x:c>
      <x:c r="H4" s="54" t="s">
        <x:v>43</x:v>
      </x:c>
      <x:c r="I4" s="127"/>
      <x:c r="J4" s="82" t="s">
        <x:v>18</x:v>
      </x:c>
      <x:c r="K4" s="58"/>
    </x:row>
    <x:row r="5" spans="1:11" ht="30.949999999999999" customHeight="1">
      <x:c r="A5" s="265" t="s">
        <x:v>50</x:v>
      </x:c>
      <x:c r="B5" s="266"/>
      <x:c r="C5" s="258">
        <x:v>397000</x:v>
      </x:c>
      <x:c r="D5" s="258"/>
      <x:c r="E5" s="257" t="s">
        <x:v>146</x:v>
      </x:c>
      <x:c r="F5" s="257"/>
      <x:c r="G5" s="135">
        <x:f>INT(C5*0.01)</x:f>
        <x:v>3970</x:v>
      </x:c>
      <x:c r="H5" s="54" t="s">
        <x:v>60</x:v>
      </x:c>
      <x:c r="I5" s="139"/>
      <x:c r="J5" s="83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>
        <x:v>380000</x:v>
      </x:c>
      <x:c r="H6" s="54"/>
      <x:c r="I6" s="127"/>
      <x:c r="J6" s="83" t="s">
        <x:v>114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7"/>
      <x:c r="J7" s="83" t="s">
        <x:v>118</x:v>
      </x:c>
      <x:c r="K7" s="58"/>
    </x:row>
    <x:row r="8" spans="1:11" ht="21.949999999999999" customHeight="1">
      <x:c r="A8" s="256" t="s">
        <x:v>108</x:v>
      </x:c>
      <x:c r="B8" s="257"/>
      <x:c r="C8" s="258">
        <x:v>84950</x:v>
      </x:c>
      <x:c r="D8" s="258"/>
      <x:c r="E8" s="284" t="s">
        <x:v>128</x:v>
      </x:c>
      <x:c r="F8" s="285"/>
      <x:c r="G8" s="290">
        <x:f>C5+G2-G6-C22</x:f>
        <x:v>84950</x:v>
      </x:c>
      <x:c r="H8" s="54" t="s">
        <x:v>16</x:v>
      </x:c>
      <x:c r="I8" s="127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30.949999999999999" customHeight="1">
      <x:c r="A10" s="256" t="s">
        <x:v>129</x:v>
      </x:c>
      <x:c r="B10" s="257"/>
      <x:c r="C10" s="258"/>
      <x:c r="D10" s="258"/>
      <x:c r="E10" s="257" t="s">
        <x:v>69</x:v>
      </x:c>
      <x:c r="F10" s="257"/>
      <x:c r="G10" s="55"/>
      <x:c r="H10" s="54"/>
      <x:c r="I10" s="126"/>
      <x:c r="J10" s="54" t="s">
        <x:v>4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37</x:v>
      </x:c>
      <x:c r="I11" s="58"/>
      <x:c r="J11" s="54" t="s">
        <x:v>102</x:v>
      </x:c>
      <x:c r="K11" s="137">
        <x:v>14194</x:v>
      </x:c>
    </x:row>
    <x:row r="12" spans="1:13" ht="21.949999999999999" customHeight="1">
      <x:c r="A12" s="59" t="s">
        <x:v>39</x:v>
      </x:c>
      <x:c r="B12" s="294" t="s">
        <x:v>22</x:v>
      </x:c>
      <x:c r="C12" s="81">
        <x:v>27</x:v>
      </x:c>
      <x:c r="D12" s="284" t="s">
        <x:v>100</x:v>
      </x:c>
      <x:c r="E12" s="285"/>
      <x:c r="F12" s="288">
        <x:v>2</x:v>
      </x:c>
      <x:c r="G12" s="289"/>
      <x:c r="H12" s="54" t="s">
        <x:v>80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112</x:v>
      </x:c>
      <x:c r="B13" s="295"/>
      <x:c r="C13" s="136">
        <x:f>SUM('1:2'!$C$12)</x:f>
        <x:v>83</x:v>
      </x:c>
      <x:c r="D13" s="276"/>
      <x:c r="E13" s="277"/>
      <x:c r="F13" s="286">
        <x:f>SUM('1:2'!$F$12)</x:f>
        <x:v>5</x:v>
      </x:c>
      <x:c r="G13" s="287"/>
      <x:c r="H13" s="54" t="s">
        <x:v>131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39</x:v>
      </x:c>
      <x:c r="B14" s="294" t="s">
        <x:v>34</x:v>
      </x:c>
      <x:c r="C14" s="81">
        <x:v>94</x:v>
      </x:c>
      <x:c r="D14" s="284" t="s">
        <x:v>84</x:v>
      </x:c>
      <x:c r="E14" s="285"/>
      <x:c r="F14" s="288">
        <x:v>33</x:v>
      </x:c>
      <x:c r="G14" s="289"/>
      <x:c r="H14" s="54" t="s">
        <x:v>104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112</x:v>
      </x:c>
      <x:c r="B15" s="295"/>
      <x:c r="C15" s="136">
        <x:f>SUM('1:2'!$C$14)</x:f>
        <x:v>209</x:v>
      </x:c>
      <x:c r="D15" s="276"/>
      <x:c r="E15" s="277"/>
      <x:c r="F15" s="286">
        <x:f>SUM('1:2'!$F$14)</x:f>
        <x:v>79</x:v>
      </x:c>
      <x:c r="G15" s="287"/>
      <x:c r="H15" s="54" t="s">
        <x:v>87</x:v>
      </x:c>
      <x:c r="I15" s="58"/>
      <x:c r="J15" s="54" t="s">
        <x:v>140</x:v>
      </x:c>
      <x:c r="K15" s="58"/>
      <x:c r="L15" s="60"/>
      <x:c r="M15" s="11"/>
    </x:row>
    <x:row r="16" spans="1:13" ht="21.949999999999999" customHeight="1">
      <x:c r="A16" s="59" t="s">
        <x:v>39</x:v>
      </x:c>
      <x:c r="B16" s="294" t="s">
        <x:v>2</x:v>
      </x:c>
      <x:c r="C16" s="81">
        <x:v>11</x:v>
      </x:c>
      <x:c r="D16" s="284" t="s">
        <x:v>111</x:v>
      </x:c>
      <x:c r="E16" s="285"/>
      <x:c r="F16" s="282">
        <x:v>18</x:v>
      </x:c>
      <x:c r="G16" s="282"/>
      <x:c r="H16" s="54"/>
      <x:c r="I16" s="58"/>
      <x:c r="J16" s="54" t="s">
        <x:v>78</x:v>
      </x:c>
      <x:c r="K16" s="58"/>
      <x:c r="L16" s="60"/>
      <x:c r="M16" s="11"/>
    </x:row>
    <x:row r="17" spans="1:13" ht="21.949999999999999" customHeight="1">
      <x:c r="A17" s="59" t="s">
        <x:v>112</x:v>
      </x:c>
      <x:c r="B17" s="295"/>
      <x:c r="C17" s="136">
        <x:f>SUM('1:2'!$C$16)</x:f>
        <x:v>20</x:v>
      </x:c>
      <x:c r="D17" s="276"/>
      <x:c r="E17" s="277"/>
      <x:c r="F17" s="283">
        <x:f>SUM('1:2'!$F$16)</x:f>
        <x:v>23</x:v>
      </x:c>
      <x:c r="G17" s="283"/>
      <x:c r="H17" s="54" t="s">
        <x:v>56</x:v>
      </x:c>
      <x:c r="I17" s="58">
        <x:v>6400</x:v>
      </x:c>
      <x:c r="J17" s="54" t="s">
        <x:v>72</x:v>
      </x:c>
      <x:c r="K17" s="58"/>
      <x:c r="L17" s="60"/>
      <x:c r="M17" s="11"/>
    </x:row>
    <x:row r="18" spans="1:13" ht="21.949999999999999" customHeight="1">
      <x:c r="A18" s="59" t="s">
        <x:v>39</x:v>
      </x:c>
      <x:c r="B18" s="294" t="s">
        <x:v>120</x:v>
      </x:c>
      <x:c r="C18" s="81">
        <x:v>34</x:v>
      </x:c>
      <x:c r="D18" s="284" t="s">
        <x:v>122</x:v>
      </x:c>
      <x:c r="E18" s="285"/>
      <x:c r="F18" s="292">
        <x:v>14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112</x:v>
      </x:c>
      <x:c r="B19" s="295"/>
      <x:c r="C19" s="136">
        <x:f>SUM('1:2'!$C$18)</x:f>
        <x:v>91</x:v>
      </x:c>
      <x:c r="D19" s="276"/>
      <x:c r="E19" s="277"/>
      <x:c r="F19" s="283">
        <x:f>SUM('1:2'!$F$18)</x:f>
        <x:v>17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95</x:v>
      </x:c>
      <x:c r="E20" s="257"/>
      <x:c r="F20" s="282">
        <x:v>62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132</x:v>
      </x:c>
      <x:c r="E21" s="257"/>
      <x:c r="F21" s="283">
        <x:f>SUM('1:2'!$F$20)</x:f>
        <x:v>166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77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121</x:v>
      </x:c>
      <x:c r="B23" s="257"/>
      <x:c r="C23" s="312"/>
      <x:c r="D23" s="313"/>
      <x:c r="E23" s="313"/>
      <x:c r="F23" s="313"/>
      <x:c r="G23" s="313"/>
      <x:c r="H23" s="109" t="s">
        <x:v>127</x:v>
      </x:c>
      <x:c r="I23" s="110">
        <x:f>SUM(I4:I22)</x:f>
        <x:v>6400</x:v>
      </x:c>
      <x:c r="J23" s="61" t="s">
        <x:v>99</x:v>
      </x:c>
      <x:c r="K23" s="62">
        <x:f>SUM(K4:K22)</x:f>
        <x:v>14194</x:v>
      </x:c>
      <x:c r="M23" s="90" t="s">
        <x:v>107</x:v>
      </x:c>
      <x:c r="N23" s="279">
        <x:f>C5+C6</x:f>
        <x:v>397000</x:v>
      </x:c>
      <x:c r="O23" s="280"/>
    </x:row>
    <x:row r="24" spans="1:11" ht="34.149999999999999" customHeight="1">
      <x:c r="A24" s="256" t="s">
        <x:v>59</x:v>
      </x:c>
      <x:c r="B24" s="257"/>
      <x:c r="C24" s="257" t="s">
        <x:v>91</x:v>
      </x:c>
      <x:c r="D24" s="257"/>
      <x:c r="E24" s="257" t="s">
        <x:v>135</x:v>
      </x:c>
      <x:c r="F24" s="257"/>
      <x:c r="G24" s="257"/>
      <x:c r="H24" s="109" t="s">
        <x:v>59</x:v>
      </x:c>
      <x:c r="I24" s="111">
        <x:f>I23/A25</x:f>
        <x:v>0.0013220409006403635</x:v>
      </x:c>
      <x:c r="J24" s="61" t="s">
        <x:v>59</x:v>
      </x:c>
      <x:c r="K24" s="63">
        <x:f>K23/A25</x:f>
        <x:v>0.0029320388349514562</x:v>
      </x:c>
    </x:row>
    <x:row r="25" spans="1:11" ht="34.149999999999999" customHeight="1">
      <x:c r="A25" s="308">
        <x:f>C2</x:f>
        <x:v>4841000</x:v>
      </x:c>
      <x:c r="B25" s="272"/>
      <x:c r="C25" s="272">
        <x:f>E25/I1</x:f>
        <x:v>3275750</x:v>
      </x:c>
      <x:c r="D25" s="272"/>
      <x:c r="E25" s="272">
        <x:f>SUM('1'!$A$25)</x:f>
        <x:v>6551500</x:v>
      </x:c>
      <x:c r="F25" s="272"/>
      <x:c r="G25" s="272"/>
      <x:c r="H25" s="109" t="s">
        <x:v>19</x:v>
      </x:c>
      <x:c r="I25" s="110">
        <x:f>SUM('1'!$I$23)</x:f>
        <x:v>1920906</x:v>
      </x:c>
      <x:c r="J25" s="61" t="s">
        <x:v>19</x:v>
      </x:c>
      <x:c r="K25" s="62">
        <x:f>SUM('1'!$K$23)</x:f>
        <x:v>14194</x:v>
      </x:c>
    </x:row>
    <x:row r="26" spans="1:11" ht="34.149999999999999" customHeight="1">
      <x:c r="A26" s="256" t="s">
        <x:v>71</x:v>
      </x:c>
      <x:c r="B26" s="257"/>
      <x:c r="C26" s="257"/>
      <x:c r="D26" s="257"/>
      <x:c r="E26" s="258"/>
      <x:c r="F26" s="258"/>
      <x:c r="G26" s="258"/>
      <x:c r="H26" s="109" t="s">
        <x:v>110</x:v>
      </x:c>
      <x:c r="I26" s="112">
        <x:f>I25/$E$25</x:f>
        <x:v>0.29320094634816452</x:v>
      </x:c>
      <x:c r="J26" s="64" t="s">
        <x:v>110</x:v>
      </x:c>
      <x:c r="K26" s="65">
        <x:f>K25/$E$25</x:f>
        <x:v>0.0021665267495993286</x:v>
      </x:c>
    </x:row>
    <x:row r="27" spans="1:13" ht="30.949999999999999" customHeight="1">
      <x:c r="A27" s="314" t="s">
        <x:v>68</x:v>
      </x:c>
      <x:c r="B27" s="54" t="s">
        <x:v>44</x:v>
      </x:c>
      <x:c r="C27" s="272">
        <x:f>4000000/31</x:f>
        <x:v>129032.25806451614</x:v>
      </x:c>
      <x:c r="D27" s="272"/>
      <x:c r="E27" s="55" t="s">
        <x:v>52</x:v>
      </x:c>
      <x:c r="F27" s="258"/>
      <x:c r="G27" s="258"/>
      <x:c r="H27" s="113" t="s">
        <x:v>85</x:v>
      </x:c>
      <x:c r="I27" s="114">
        <x:f>SUM(C27:D34,F27:G32)</x:f>
        <x:v>707419.3548387097</x:v>
      </x:c>
      <x:c r="M27" s="66"/>
    </x:row>
    <x:row r="28" spans="1:13" ht="30.949999999999999" customHeight="1">
      <x:c r="A28" s="315"/>
      <x:c r="B28" s="54" t="s">
        <x:v>29</x:v>
      </x:c>
      <x:c r="C28" s="309">
        <x:f>3800000/31</x:f>
        <x:v>122580.64516129032</x:v>
      </x:c>
      <x:c r="D28" s="310"/>
      <x:c r="E28" s="55" t="s">
        <x:v>52</x:v>
      </x:c>
      <x:c r="F28" s="311"/>
      <x:c r="G28" s="311"/>
      <x:c r="H28" s="113" t="s">
        <x:v>59</x:v>
      </x:c>
      <x:c r="I28" s="115">
        <x:f>I27/$A$25</x:f>
        <x:v>0.1461308314064676</x:v>
      </x:c>
      <x:c r="M28" s="66"/>
    </x:row>
    <x:row r="29" spans="1:13" ht="30.949999999999999" customHeight="1">
      <x:c r="A29" s="315"/>
      <x:c r="B29" s="54" t="s">
        <x:v>21</x:v>
      </x:c>
      <x:c r="C29" s="272">
        <x:f>3200000/31</x:f>
        <x:v>103225.80645161291</x:v>
      </x:c>
      <x:c r="D29" s="272"/>
      <x:c r="E29" s="54" t="s">
        <x:v>52</x:v>
      </x:c>
      <x:c r="F29" s="258"/>
      <x:c r="G29" s="258"/>
      <x:c r="H29" s="113" t="s">
        <x:v>19</x:v>
      </x:c>
      <x:c r="I29" s="114">
        <x:f>SUM('1'!$I$27)</x:f>
        <x:v>707419.3548387097</x:v>
      </x:c>
      <x:c r="M29" s="66"/>
    </x:row>
    <x:row r="30" spans="1:13" ht="30.949999999999999" customHeight="1">
      <x:c r="A30" s="315"/>
      <x:c r="B30" s="54" t="s">
        <x:v>41</x:v>
      </x:c>
      <x:c r="C30" s="272">
        <x:f>3400000/31</x:f>
        <x:v>109677.41935483871</x:v>
      </x:c>
      <x:c r="D30" s="272"/>
      <x:c r="E30" s="55"/>
      <x:c r="F30" s="306"/>
      <x:c r="G30" s="307"/>
      <x:c r="H30" s="113" t="s">
        <x:v>110</x:v>
      </x:c>
      <x:c r="I30" s="115">
        <x:f>I29/$I$27</x:f>
        <x:v>1</x:v>
      </x:c>
      <x:c r="M30" s="66"/>
    </x:row>
    <x:row r="31" spans="1:7" customHeight="1">
      <x:c r="A31" s="315"/>
      <x:c r="B31" s="54" t="s">
        <x:v>12</x:v>
      </x:c>
      <x:c r="C31" s="309">
        <x:f>3500000/31</x:f>
        <x:v>112903.22580645161</x:v>
      </x:c>
      <x:c r="D31" s="310"/>
      <x:c r="E31" s="55" t="s">
        <x:v>62</x:v>
      </x:c>
      <x:c r="F31" s="306">
        <x:v>130000</x:v>
      </x:c>
      <x:c r="G31" s="307"/>
    </x:row>
    <x:row r="32" spans="1:7" customHeight="1">
      <x:c r="A32" s="315"/>
      <x:c r="B32" s="355" t="s">
        <x:v>40</x:v>
      </x:c>
      <x:c r="C32" s="304"/>
      <x:c r="D32" s="305"/>
      <x:c r="E32" s="55" t="s">
        <x:v>1</x:v>
      </x:c>
      <x:c r="F32" s="306"/>
      <x:c r="G32" s="307"/>
    </x:row>
    <x:row r="33" spans="1:4" customHeight="1">
      <x:c r="A33" s="315"/>
      <x:c r="B33" s="355" t="s">
        <x:v>149</x:v>
      </x:c>
      <x:c r="C33" s="304"/>
      <x:c r="D33" s="305"/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H2:I2"/>
    <x:mergeCell ref="J2:K2"/>
    <x:mergeCell ref="A2:B3"/>
    <x:mergeCell ref="C2:D3"/>
    <x:mergeCell ref="E2:F3"/>
    <x:mergeCell ref="G2:G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A11:B11"/>
    <x:mergeCell ref="C11:G11"/>
    <x:mergeCell ref="E10:F10"/>
    <x:mergeCell ref="E8:F9"/>
    <x:mergeCell ref="G8:G9"/>
    <x:mergeCell ref="A8:B9"/>
    <x:mergeCell ref="C8:D9"/>
    <x:mergeCell ref="G6:G7"/>
    <x:mergeCell ref="A10:B10"/>
    <x:mergeCell ref="C10:D10"/>
    <x:mergeCell ref="C25:D25"/>
    <x:mergeCell ref="E25:G25"/>
    <x:mergeCell ref="C23:G23"/>
    <x:mergeCell ref="C24:D24"/>
    <x:mergeCell ref="F15:G15"/>
    <x:mergeCell ref="F12:G12"/>
    <x:mergeCell ref="F13:G13"/>
    <x:mergeCell ref="F14:G14"/>
    <x:mergeCell ref="F16:G16"/>
    <x:mergeCell ref="F17:G17"/>
    <x:mergeCell ref="F21:G21"/>
    <x:mergeCell ref="C31:D31"/>
    <x:mergeCell ref="F29:G29"/>
    <x:mergeCell ref="C22:G22"/>
    <x:mergeCell ref="F18:G18"/>
    <x:mergeCell ref="F19:G19"/>
    <x:mergeCell ref="F20:G20"/>
    <x:mergeCell ref="N23:O23"/>
    <x:mergeCell ref="C26:D26"/>
    <x:mergeCell ref="E26:G26"/>
    <x:mergeCell ref="E24:G24"/>
    <x:mergeCell ref="F31:G31"/>
    <x:mergeCell ref="C27:D27"/>
    <x:mergeCell ref="F27:G27"/>
    <x:mergeCell ref="C28:D28"/>
    <x:mergeCell ref="F28:G28"/>
    <x:mergeCell ref="C29:D29"/>
    <x:mergeCell ref="F30:G30"/>
    <x:mergeCell ref="C30:D30"/>
    <x:mergeCell ref="A27:A34"/>
    <x:mergeCell ref="C32:D32"/>
    <x:mergeCell ref="C33:D33"/>
    <x:mergeCell ref="C34:D34"/>
    <x:mergeCell ref="D20:E20"/>
    <x:mergeCell ref="A25:B25"/>
    <x:mergeCell ref="A26:B26"/>
    <x:mergeCell ref="A22:B22"/>
    <x:mergeCell ref="A23:B23"/>
    <x:mergeCell ref="A24:B24"/>
    <x:mergeCell ref="D21:E21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5"/>
  <x:dimension ref="A1:O34"/>
  <x:sheetViews>
    <x:sheetView topLeftCell="A14" zoomScale="85" zoomScaleNormal="85" zoomScaleSheetLayoutView="75" workbookViewId="0">
      <x:selection activeCell="E27" activeCellId="0" sqref="E27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89</x:v>
      </x:c>
      <x:c r="D1" s="68"/>
      <x:c r="E1" s="68">
        <x:v>3</x:v>
      </x:c>
      <x:c r="F1" s="68">
        <x:v>3</x:v>
      </x:c>
      <x:c r="G1" s="68" t="s">
        <x:v>3</x:v>
      </x:c>
      <x:c r="H1" s="52" t="s">
        <x:v>103</x:v>
      </x:c>
      <x:c r="I1" s="52">
        <x:f>F1-K1</x:f>
        <x:v>3</x:v>
      </x:c>
      <x:c r="J1" s="52" t="s">
        <x:v>93</x:v>
      </x:c>
      <x:c r="K1" s="52"/>
    </x:row>
    <x:row r="2" spans="1:11" ht="20.100000000000001" customHeight="1">
      <x:c r="A2" s="267" t="s">
        <x:v>24</x:v>
      </x:c>
      <x:c r="B2" s="268"/>
      <x:c r="C2" s="271">
        <x:f>SUM(C4:D7)</x:f>
        <x:v>2536000</x:v>
      </x:c>
      <x:c r="D2" s="271"/>
      <x:c r="E2" s="274" t="s">
        <x:v>9</x:v>
      </x:c>
      <x:c r="F2" s="275"/>
      <x:c r="G2" s="263">
        <x:v>84950</x:v>
      </x:c>
      <x:c r="H2" s="261" t="s">
        <x:v>60</x:v>
      </x:c>
      <x:c r="I2" s="262"/>
      <x:c r="J2" s="259" t="s">
        <x:v>140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1" ht="30.949999999999999" customHeight="1">
      <x:c r="A4" s="265" t="s">
        <x:v>11</x:v>
      </x:c>
      <x:c r="B4" s="266"/>
      <x:c r="C4" s="258">
        <x:v>2096000</x:v>
      </x:c>
      <x:c r="D4" s="258"/>
      <x:c r="E4" s="273" t="s">
        <x:v>137</x:v>
      </x:c>
      <x:c r="F4" s="273"/>
      <x:c r="G4" s="135">
        <x:f>C4*0.0275</x:f>
        <x:v>57640</x:v>
      </x:c>
      <x:c r="H4" s="54" t="s">
        <x:v>43</x:v>
      </x:c>
      <x:c r="I4" s="126">
        <x:v>2529157</x:v>
      </x:c>
      <x:c r="J4" s="83" t="s">
        <x:v>18</x:v>
      </x:c>
      <x:c r="K4" s="58"/>
    </x:row>
    <x:row r="5" spans="1:11" ht="30.949999999999999" customHeight="1">
      <x:c r="A5" s="265" t="s">
        <x:v>50</x:v>
      </x:c>
      <x:c r="B5" s="266"/>
      <x:c r="C5" s="258">
        <x:v>440000</x:v>
      </x:c>
      <x:c r="D5" s="258"/>
      <x:c r="E5" s="257" t="s">
        <x:v>146</x:v>
      </x:c>
      <x:c r="F5" s="257"/>
      <x:c r="G5" s="135">
        <x:f>INT(C5*0.01)</x:f>
        <x:v>4400</x:v>
      </x:c>
      <x:c r="H5" s="54" t="s">
        <x:v>60</x:v>
      </x:c>
      <x:c r="I5" s="126">
        <x:v>214406</x:v>
      </x:c>
      <x:c r="J5" s="83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>
        <x:v>364500</x:v>
      </x:c>
      <x:c r="H6" s="54"/>
      <x:c r="I6" s="126"/>
      <x:c r="J6" s="83" t="s">
        <x:v>114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6"/>
      <x:c r="J7" s="83" t="s">
        <x:v>118</x:v>
      </x:c>
      <x:c r="K7" s="58"/>
    </x:row>
    <x:row r="8" spans="1:11" ht="21.949999999999999" customHeight="1">
      <x:c r="A8" s="256" t="s">
        <x:v>108</x:v>
      </x:c>
      <x:c r="B8" s="257"/>
      <x:c r="C8" s="258">
        <x:v>160550</x:v>
      </x:c>
      <x:c r="D8" s="258"/>
      <x:c r="E8" s="284" t="s">
        <x:v>128</x:v>
      </x:c>
      <x:c r="F8" s="285"/>
      <x:c r="G8" s="290">
        <x:f>C5+G2-G6-C22</x:f>
        <x:v>160450</x:v>
      </x:c>
      <x:c r="H8" s="54" t="s">
        <x:v>16</x:v>
      </x:c>
      <x:c r="I8" s="126">
        <x:v>56000</x:v>
      </x:c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21.75" customHeight="1">
      <x:c r="A10" s="256" t="s">
        <x:v>129</x:v>
      </x:c>
      <x:c r="B10" s="257"/>
      <x:c r="C10" s="258">
        <x:v>110000</x:v>
      </x:c>
      <x:c r="D10" s="258"/>
      <x:c r="E10" s="257" t="s">
        <x:v>69</x:v>
      </x:c>
      <x:c r="F10" s="257"/>
      <x:c r="G10" s="55"/>
      <x:c r="H10" s="54"/>
      <x:c r="I10" s="126"/>
      <x:c r="J10" s="54" t="s">
        <x:v>4</x:v>
      </x:c>
      <x:c r="K10" s="58">
        <x:v>6000</x:v>
      </x:c>
    </x:row>
    <x:row r="11" spans="1:11" ht="21.75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37</x:v>
      </x:c>
      <x:c r="I11" s="58"/>
      <x:c r="J11" s="54" t="s">
        <x:v>102</x:v>
      </x:c>
      <x:c r="K11" s="137">
        <x:v>14194</x:v>
      </x:c>
    </x:row>
    <x:row r="12" spans="1:13" ht="21.949999999999999" customHeight="1">
      <x:c r="A12" s="59" t="s">
        <x:v>39</x:v>
      </x:c>
      <x:c r="B12" s="294" t="s">
        <x:v>22</x:v>
      </x:c>
      <x:c r="C12" s="81">
        <x:v>17</x:v>
      </x:c>
      <x:c r="D12" s="284" t="s">
        <x:v>100</x:v>
      </x:c>
      <x:c r="E12" s="285"/>
      <x:c r="F12" s="288">
        <x:v>2</x:v>
      </x:c>
      <x:c r="G12" s="289"/>
      <x:c r="H12" s="54" t="s">
        <x:v>80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112</x:v>
      </x:c>
      <x:c r="B13" s="295"/>
      <x:c r="C13" s="136">
        <x:f>SUM('1:3'!$C$12)</x:f>
        <x:v>100</x:v>
      </x:c>
      <x:c r="D13" s="276"/>
      <x:c r="E13" s="277"/>
      <x:c r="F13" s="286">
        <x:f>SUM('1:3'!$F$12)</x:f>
        <x:v>7</x:v>
      </x:c>
      <x:c r="G13" s="287"/>
      <x:c r="H13" s="54" t="s">
        <x:v>131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39</x:v>
      </x:c>
      <x:c r="B14" s="294" t="s">
        <x:v>34</x:v>
      </x:c>
      <x:c r="C14" s="81">
        <x:v>40</x:v>
      </x:c>
      <x:c r="D14" s="284" t="s">
        <x:v>84</x:v>
      </x:c>
      <x:c r="E14" s="285"/>
      <x:c r="F14" s="288">
        <x:v>16</x:v>
      </x:c>
      <x:c r="G14" s="289"/>
      <x:c r="H14" s="54" t="s">
        <x:v>104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112</x:v>
      </x:c>
      <x:c r="B15" s="295"/>
      <x:c r="C15" s="136">
        <x:f>SUM('1:3'!$C$14)</x:f>
        <x:v>249</x:v>
      </x:c>
      <x:c r="D15" s="276"/>
      <x:c r="E15" s="277"/>
      <x:c r="F15" s="286">
        <x:f>SUM('1:3'!$F$14)</x:f>
        <x:v>95</x:v>
      </x:c>
      <x:c r="G15" s="287"/>
      <x:c r="H15" s="54" t="s">
        <x:v>87</x:v>
      </x:c>
      <x:c r="I15" s="58"/>
      <x:c r="J15" s="54" t="s">
        <x:v>140</x:v>
      </x:c>
      <x:c r="K15" s="58"/>
      <x:c r="L15" s="60"/>
      <x:c r="M15" s="11"/>
    </x:row>
    <x:row r="16" spans="1:13" ht="21.949999999999999" customHeight="1">
      <x:c r="A16" s="59" t="s">
        <x:v>39</x:v>
      </x:c>
      <x:c r="B16" s="294" t="s">
        <x:v>2</x:v>
      </x:c>
      <x:c r="C16" s="81">
        <x:v>2</x:v>
      </x:c>
      <x:c r="D16" s="284" t="s">
        <x:v>111</x:v>
      </x:c>
      <x:c r="E16" s="285"/>
      <x:c r="F16" s="282">
        <x:v>12</x:v>
      </x:c>
      <x:c r="G16" s="282"/>
      <x:c r="H16" s="54"/>
      <x:c r="I16" s="58"/>
      <x:c r="J16" s="54" t="s">
        <x:v>78</x:v>
      </x:c>
      <x:c r="K16" s="58">
        <x:v>87262</x:v>
      </x:c>
      <x:c r="L16" s="60"/>
      <x:c r="M16" s="11"/>
    </x:row>
    <x:row r="17" spans="1:13" ht="21.949999999999999" customHeight="1">
      <x:c r="A17" s="59" t="s">
        <x:v>112</x:v>
      </x:c>
      <x:c r="B17" s="295"/>
      <x:c r="C17" s="136">
        <x:f>SUM('1:3'!$C$16)</x:f>
        <x:v>22</x:v>
      </x:c>
      <x:c r="D17" s="276"/>
      <x:c r="E17" s="277"/>
      <x:c r="F17" s="283">
        <x:f>SUM('1:3'!$F$16)</x:f>
        <x:v>35</x:v>
      </x:c>
      <x:c r="G17" s="283"/>
      <x:c r="H17" s="54" t="s">
        <x:v>56</x:v>
      </x:c>
      <x:c r="I17" s="58"/>
      <x:c r="J17" s="54" t="s">
        <x:v>72</x:v>
      </x:c>
      <x:c r="K17" s="58"/>
      <x:c r="L17" s="60"/>
      <x:c r="M17" s="11"/>
    </x:row>
    <x:row r="18" spans="1:13" ht="21.949999999999999" customHeight="1">
      <x:c r="A18" s="59" t="s">
        <x:v>39</x:v>
      </x:c>
      <x:c r="B18" s="294" t="s">
        <x:v>120</x:v>
      </x:c>
      <x:c r="C18" s="81">
        <x:v>32</x:v>
      </x:c>
      <x:c r="D18" s="284" t="s">
        <x:v>122</x:v>
      </x:c>
      <x:c r="E18" s="285"/>
      <x:c r="F18" s="292">
        <x:v>8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112</x:v>
      </x:c>
      <x:c r="B19" s="295"/>
      <x:c r="C19" s="136">
        <x:f>SUM('1:3'!$C$18)</x:f>
        <x:v>123</x:v>
      </x:c>
      <x:c r="D19" s="276"/>
      <x:c r="E19" s="277"/>
      <x:c r="F19" s="283">
        <x:f>SUM('1:3'!$F$18)</x:f>
        <x:v>25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95</x:v>
      </x:c>
      <x:c r="E20" s="257"/>
      <x:c r="F20" s="282">
        <x:v>35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132</x:v>
      </x:c>
      <x:c r="E21" s="257"/>
      <x:c r="F21" s="283">
        <x:f>SUM('1:3'!$F$20)</x:f>
        <x:v>201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77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121</x:v>
      </x:c>
      <x:c r="B23" s="257"/>
      <x:c r="C23" s="312"/>
      <x:c r="D23" s="313"/>
      <x:c r="E23" s="313"/>
      <x:c r="F23" s="313"/>
      <x:c r="G23" s="313"/>
      <x:c r="H23" s="109" t="s">
        <x:v>127</x:v>
      </x:c>
      <x:c r="I23" s="110">
        <x:f>SUM(I4:I22)</x:f>
        <x:v>2799563</x:v>
      </x:c>
      <x:c r="J23" s="61" t="s">
        <x:v>99</x:v>
      </x:c>
      <x:c r="K23" s="62">
        <x:f>SUM(K4:K22)</x:f>
        <x:v>107456</x:v>
      </x:c>
      <x:c r="M23" s="90" t="s">
        <x:v>107</x:v>
      </x:c>
      <x:c r="N23" s="279">
        <x:f>C5+C6</x:f>
        <x:v>440000</x:v>
      </x:c>
      <x:c r="O23" s="280"/>
    </x:row>
    <x:row r="24" spans="1:11" ht="34.149999999999999" customHeight="1">
      <x:c r="A24" s="256" t="s">
        <x:v>59</x:v>
      </x:c>
      <x:c r="B24" s="257"/>
      <x:c r="C24" s="257" t="s">
        <x:v>91</x:v>
      </x:c>
      <x:c r="D24" s="257"/>
      <x:c r="E24" s="257" t="s">
        <x:v>135</x:v>
      </x:c>
      <x:c r="F24" s="257"/>
      <x:c r="G24" s="257"/>
      <x:c r="H24" s="109" t="s">
        <x:v>59</x:v>
      </x:c>
      <x:c r="I24" s="111">
        <x:f>I23/A25</x:f>
        <x:v>1.1039286277602525</x:v>
      </x:c>
      <x:c r="J24" s="61" t="s">
        <x:v>59</x:v>
      </x:c>
      <x:c r="K24" s="63">
        <x:f>K23/A25</x:f>
        <x:v>0.042372239747634072</x:v>
      </x:c>
    </x:row>
    <x:row r="25" spans="1:11" ht="34.149999999999999" customHeight="1">
      <x:c r="A25" s="308">
        <x:f>C2</x:f>
        <x:v>2536000</x:v>
      </x:c>
      <x:c r="B25" s="272"/>
      <x:c r="C25" s="272">
        <x:f>E25/I1</x:f>
        <x:v>4642833.333333333</x:v>
      </x:c>
      <x:c r="D25" s="272"/>
      <x:c r="E25" s="272">
        <x:f>SUM('1:3'!$A$25)</x:f>
        <x:v>13928500</x:v>
      </x:c>
      <x:c r="F25" s="272"/>
      <x:c r="G25" s="272"/>
      <x:c r="H25" s="109" t="s">
        <x:v>19</x:v>
      </x:c>
      <x:c r="I25" s="110">
        <x:f>SUM('1:3'!$I$23)</x:f>
        <x:v>4726869</x:v>
      </x:c>
      <x:c r="J25" s="61" t="s">
        <x:v>19</x:v>
      </x:c>
      <x:c r="K25" s="62">
        <x:f>SUM('1:3'!$K$23)</x:f>
        <x:v>135844</x:v>
      </x:c>
    </x:row>
    <x:row r="26" spans="1:11" ht="34.149999999999999" customHeight="1">
      <x:c r="A26" s="256" t="s">
        <x:v>71</x:v>
      </x:c>
      <x:c r="B26" s="257"/>
      <x:c r="C26" s="317"/>
      <x:c r="D26" s="257"/>
      <x:c r="E26" s="258"/>
      <x:c r="F26" s="258"/>
      <x:c r="G26" s="258"/>
      <x:c r="H26" s="109" t="s">
        <x:v>110</x:v>
      </x:c>
      <x:c r="I26" s="112">
        <x:f>I25/$E$25</x:f>
        <x:v>0.33936669418817533</x:v>
      </x:c>
      <x:c r="J26" s="64" t="s">
        <x:v>110</x:v>
      </x:c>
      <x:c r="K26" s="65">
        <x:f>K25/$E$25</x:f>
        <x:v>0.0097529525792439953</x:v>
      </x:c>
    </x:row>
    <x:row r="27" spans="1:13" ht="30.949999999999999" customHeight="1">
      <x:c r="A27" s="314" t="s">
        <x:v>68</x:v>
      </x:c>
      <x:c r="B27" s="54" t="s">
        <x:v>44</x:v>
      </x:c>
      <x:c r="C27" s="272">
        <x:f>4000000/31</x:f>
        <x:v>129032.25806451614</x:v>
      </x:c>
      <x:c r="D27" s="272"/>
      <x:c r="E27" s="55" t="s">
        <x:v>52</x:v>
      </x:c>
      <x:c r="F27" s="258"/>
      <x:c r="G27" s="258"/>
      <x:c r="H27" s="113" t="s">
        <x:v>85</x:v>
      </x:c>
      <x:c r="I27" s="114">
        <x:f>SUM(C27:D34,F27:G32)</x:f>
        <x:v>707419.3548387097</x:v>
      </x:c>
      <x:c r="M27" s="66"/>
    </x:row>
    <x:row r="28" spans="1:13" ht="30.949999999999999" customHeight="1">
      <x:c r="A28" s="315"/>
      <x:c r="B28" s="54" t="s">
        <x:v>29</x:v>
      </x:c>
      <x:c r="C28" s="309">
        <x:f>3800000/31</x:f>
        <x:v>122580.64516129032</x:v>
      </x:c>
      <x:c r="D28" s="310"/>
      <x:c r="E28" s="55" t="s">
        <x:v>52</x:v>
      </x:c>
      <x:c r="F28" s="311"/>
      <x:c r="G28" s="311"/>
      <x:c r="H28" s="113" t="s">
        <x:v>59</x:v>
      </x:c>
      <x:c r="I28" s="115">
        <x:f>I27/$A$25</x:f>
        <x:v>0.27895084969980666</x:v>
      </x:c>
      <x:c r="M28" s="66"/>
    </x:row>
    <x:row r="29" spans="1:13" ht="30.949999999999999" customHeight="1">
      <x:c r="A29" s="315"/>
      <x:c r="B29" s="54" t="s">
        <x:v>21</x:v>
      </x:c>
      <x:c r="C29" s="272">
        <x:f>3200000/31</x:f>
        <x:v>103225.80645161291</x:v>
      </x:c>
      <x:c r="D29" s="272"/>
      <x:c r="E29" s="54" t="s">
        <x:v>52</x:v>
      </x:c>
      <x:c r="F29" s="258"/>
      <x:c r="G29" s="258"/>
      <x:c r="H29" s="113" t="s">
        <x:v>19</x:v>
      </x:c>
      <x:c r="I29" s="114">
        <x:f>SUM('1:3'!$I$27)</x:f>
        <x:v>2122258.064516129</x:v>
      </x:c>
      <x:c r="M29" s="66"/>
    </x:row>
    <x:row r="30" spans="1:13" ht="30.949999999999999" customHeight="1">
      <x:c r="A30" s="315"/>
      <x:c r="B30" s="54" t="s">
        <x:v>41</x:v>
      </x:c>
      <x:c r="C30" s="272">
        <x:f>3400000/31</x:f>
        <x:v>109677.41935483871</x:v>
      </x:c>
      <x:c r="D30" s="272"/>
      <x:c r="E30" s="55"/>
      <x:c r="F30" s="306"/>
      <x:c r="G30" s="307"/>
      <x:c r="H30" s="113" t="s">
        <x:v>110</x:v>
      </x:c>
      <x:c r="I30" s="115">
        <x:f>I29/$I$27</x:f>
        <x:v>3</x:v>
      </x:c>
      <x:c r="M30" s="66"/>
    </x:row>
    <x:row r="31" spans="1:7" customHeight="1">
      <x:c r="A31" s="315"/>
      <x:c r="B31" s="54" t="s">
        <x:v>12</x:v>
      </x:c>
      <x:c r="C31" s="309">
        <x:f>3500000/31</x:f>
        <x:v>112903.22580645161</x:v>
      </x:c>
      <x:c r="D31" s="310"/>
      <x:c r="E31" s="55" t="s">
        <x:v>62</x:v>
      </x:c>
      <x:c r="F31" s="306">
        <x:v>130000</x:v>
      </x:c>
      <x:c r="G31" s="307"/>
    </x:row>
    <x:row r="32" spans="1:7" customHeight="1">
      <x:c r="A32" s="315"/>
      <x:c r="B32" s="355" t="s">
        <x:v>40</x:v>
      </x:c>
      <x:c r="C32" s="304"/>
      <x:c r="D32" s="305"/>
      <x:c r="E32" s="55" t="s">
        <x:v>1</x:v>
      </x:c>
      <x:c r="F32" s="306"/>
      <x:c r="G32" s="307"/>
    </x:row>
    <x:row r="33" spans="1:4" customHeight="1">
      <x:c r="A33" s="315"/>
      <x:c r="B33" s="355" t="s">
        <x:v>149</x:v>
      </x:c>
      <x:c r="C33" s="304"/>
      <x:c r="D33" s="305"/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6"/>
  <x:dimension ref="A1:O34"/>
  <x:sheetViews>
    <x:sheetView topLeftCell="A17" zoomScale="85" zoomScaleNormal="85" zoomScaleSheetLayoutView="75" workbookViewId="0">
      <x:selection activeCell="E27" activeCellId="0" sqref="E27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89</x:v>
      </x:c>
      <x:c r="D1" s="68"/>
      <x:c r="E1" s="68">
        <x:v>3</x:v>
      </x:c>
      <x:c r="F1" s="68">
        <x:v>4</x:v>
      </x:c>
      <x:c r="G1" s="68" t="s">
        <x:v>48</x:v>
      </x:c>
      <x:c r="H1" s="52" t="s">
        <x:v>103</x:v>
      </x:c>
      <x:c r="I1" s="52">
        <x:f>F1-K1</x:f>
        <x:v>4</x:v>
      </x:c>
      <x:c r="J1" s="52" t="s">
        <x:v>93</x:v>
      </x:c>
      <x:c r="K1" s="52"/>
    </x:row>
    <x:row r="2" spans="1:11" ht="20.100000000000001" customHeight="1">
      <x:c r="A2" s="267" t="s">
        <x:v>24</x:v>
      </x:c>
      <x:c r="B2" s="268"/>
      <x:c r="C2" s="271">
        <x:f>SUM(C4:D7)</x:f>
        <x:v>2190500</x:v>
      </x:c>
      <x:c r="D2" s="271"/>
      <x:c r="E2" s="274" t="s">
        <x:v>9</x:v>
      </x:c>
      <x:c r="F2" s="275"/>
      <x:c r="G2" s="263">
        <x:v>160550</x:v>
      </x:c>
      <x:c r="H2" s="261" t="s">
        <x:v>60</x:v>
      </x:c>
      <x:c r="I2" s="262"/>
      <x:c r="J2" s="259" t="s">
        <x:v>140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1" ht="30.949999999999999" customHeight="1">
      <x:c r="A4" s="265" t="s">
        <x:v>11</x:v>
      </x:c>
      <x:c r="B4" s="266"/>
      <x:c r="C4" s="258">
        <x:v>2021500</x:v>
      </x:c>
      <x:c r="D4" s="258"/>
      <x:c r="E4" s="273" t="s">
        <x:v>137</x:v>
      </x:c>
      <x:c r="F4" s="273"/>
      <x:c r="G4" s="135">
        <x:f>INT(C4*0.0275)</x:f>
        <x:v>55591</x:v>
      </x:c>
      <x:c r="H4" s="54" t="s">
        <x:v>43</x:v>
      </x:c>
      <x:c r="I4" s="126">
        <x:v>415500</x:v>
      </x:c>
      <x:c r="J4" s="83" t="s">
        <x:v>18</x:v>
      </x:c>
      <x:c r="K4" s="58"/>
    </x:row>
    <x:row r="5" spans="1:11" ht="30.949999999999999" customHeight="1">
      <x:c r="A5" s="265" t="s">
        <x:v>50</x:v>
      </x:c>
      <x:c r="B5" s="266"/>
      <x:c r="C5" s="258">
        <x:v>169000</x:v>
      </x:c>
      <x:c r="D5" s="258"/>
      <x:c r="E5" s="257" t="s">
        <x:v>146</x:v>
      </x:c>
      <x:c r="F5" s="257"/>
      <x:c r="G5" s="135">
        <x:f>INT(C5*0.01)</x:f>
        <x:v>1690</x:v>
      </x:c>
      <x:c r="H5" s="54" t="s">
        <x:v>60</x:v>
      </x:c>
      <x:c r="I5" s="126">
        <x:v>239756</x:v>
      </x:c>
      <x:c r="J5" s="83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>
        <x:v>200000</x:v>
      </x:c>
      <x:c r="H6" s="54"/>
      <x:c r="I6" s="126"/>
      <x:c r="J6" s="83" t="s">
        <x:v>114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6">
        <x:v>660800</x:v>
      </x:c>
      <x:c r="J7" s="83" t="s">
        <x:v>118</x:v>
      </x:c>
      <x:c r="K7" s="58">
        <x:v>12500</x:v>
      </x:c>
    </x:row>
    <x:row r="8" spans="1:11" ht="21.949999999999999" customHeight="1">
      <x:c r="A8" s="256" t="s">
        <x:v>108</x:v>
      </x:c>
      <x:c r="B8" s="257"/>
      <x:c r="C8" s="258">
        <x:v>129550</x:v>
      </x:c>
      <x:c r="D8" s="258"/>
      <x:c r="E8" s="284" t="s">
        <x:v>128</x:v>
      </x:c>
      <x:c r="F8" s="285"/>
      <x:c r="G8" s="290">
        <x:f>C5+G2-G6-C22</x:f>
        <x:v>129550</x:v>
      </x:c>
      <x:c r="H8" s="54" t="s">
        <x:v>16</x:v>
      </x:c>
      <x:c r="I8" s="126">
        <x:v>56000</x:v>
      </x:c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30.949999999999999" customHeight="1">
      <x:c r="A10" s="256" t="s">
        <x:v>129</x:v>
      </x:c>
      <x:c r="B10" s="257"/>
      <x:c r="C10" s="258">
        <x:v>98000</x:v>
      </x:c>
      <x:c r="D10" s="258"/>
      <x:c r="E10" s="257" t="s">
        <x:v>69</x:v>
      </x:c>
      <x:c r="F10" s="257"/>
      <x:c r="G10" s="55"/>
      <x:c r="H10" s="54"/>
      <x:c r="I10" s="126"/>
      <x:c r="J10" s="54" t="s">
        <x:v>4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37</x:v>
      </x:c>
      <x:c r="I11" s="58"/>
      <x:c r="J11" s="54" t="s">
        <x:v>102</x:v>
      </x:c>
      <x:c r="K11" s="137">
        <x:v>14194</x:v>
      </x:c>
    </x:row>
    <x:row r="12" spans="1:13" ht="21.949999999999999" customHeight="1">
      <x:c r="A12" s="59" t="s">
        <x:v>39</x:v>
      </x:c>
      <x:c r="B12" s="294" t="s">
        <x:v>22</x:v>
      </x:c>
      <x:c r="C12" s="81">
        <x:v>1</x:v>
      </x:c>
      <x:c r="D12" s="284" t="s">
        <x:v>100</x:v>
      </x:c>
      <x:c r="E12" s="285"/>
      <x:c r="F12" s="288">
        <x:v>3</x:v>
      </x:c>
      <x:c r="G12" s="289"/>
      <x:c r="H12" s="54" t="s">
        <x:v>80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112</x:v>
      </x:c>
      <x:c r="B13" s="295"/>
      <x:c r="C13" s="136">
        <x:f>SUM('1:4'!$C$12)</x:f>
        <x:v>101</x:v>
      </x:c>
      <x:c r="D13" s="276"/>
      <x:c r="E13" s="277"/>
      <x:c r="F13" s="286">
        <x:f>SUM('1:4'!$F$12)</x:f>
        <x:v>10</x:v>
      </x:c>
      <x:c r="G13" s="287"/>
      <x:c r="H13" s="54" t="s">
        <x:v>131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39</x:v>
      </x:c>
      <x:c r="B14" s="294" t="s">
        <x:v>34</x:v>
      </x:c>
      <x:c r="C14" s="81">
        <x:v>29</x:v>
      </x:c>
      <x:c r="D14" s="284" t="s">
        <x:v>84</x:v>
      </x:c>
      <x:c r="E14" s="285"/>
      <x:c r="F14" s="288">
        <x:v>8</x:v>
      </x:c>
      <x:c r="G14" s="289"/>
      <x:c r="H14" s="54" t="s">
        <x:v>104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112</x:v>
      </x:c>
      <x:c r="B15" s="295"/>
      <x:c r="C15" s="136">
        <x:f>SUM('1:4'!$C$14)</x:f>
        <x:v>278</x:v>
      </x:c>
      <x:c r="D15" s="276"/>
      <x:c r="E15" s="277"/>
      <x:c r="F15" s="286">
        <x:f>SUM('1:4'!$F$14)</x:f>
        <x:v>103</x:v>
      </x:c>
      <x:c r="G15" s="287"/>
      <x:c r="H15" s="54" t="s">
        <x:v>87</x:v>
      </x:c>
      <x:c r="I15" s="58">
        <x:v>331900</x:v>
      </x:c>
      <x:c r="J15" s="54" t="s">
        <x:v>140</x:v>
      </x:c>
      <x:c r="K15" s="58"/>
      <x:c r="L15" s="60"/>
      <x:c r="M15" s="11"/>
    </x:row>
    <x:row r="16" spans="1:13" ht="21.949999999999999" customHeight="1">
      <x:c r="A16" s="59" t="s">
        <x:v>39</x:v>
      </x:c>
      <x:c r="B16" s="294" t="s">
        <x:v>2</x:v>
      </x:c>
      <x:c r="C16" s="81">
        <x:v>5</x:v>
      </x:c>
      <x:c r="D16" s="284" t="s">
        <x:v>111</x:v>
      </x:c>
      <x:c r="E16" s="285"/>
      <x:c r="F16" s="282">
        <x:v>7</x:v>
      </x:c>
      <x:c r="G16" s="282"/>
      <x:c r="H16" s="54"/>
      <x:c r="I16" s="58"/>
      <x:c r="J16" s="54" t="s">
        <x:v>78</x:v>
      </x:c>
      <x:c r="K16" s="58"/>
      <x:c r="L16" s="60"/>
      <x:c r="M16" s="11"/>
    </x:row>
    <x:row r="17" spans="1:13" ht="21.949999999999999" customHeight="1">
      <x:c r="A17" s="59" t="s">
        <x:v>112</x:v>
      </x:c>
      <x:c r="B17" s="295"/>
      <x:c r="C17" s="136">
        <x:f>SUM('1:4'!$C$16)</x:f>
        <x:v>27</x:v>
      </x:c>
      <x:c r="D17" s="276"/>
      <x:c r="E17" s="277"/>
      <x:c r="F17" s="283">
        <x:f>SUM('1:4'!$F$16)</x:f>
        <x:v>42</x:v>
      </x:c>
      <x:c r="G17" s="283"/>
      <x:c r="H17" s="54" t="s">
        <x:v>56</x:v>
      </x:c>
      <x:c r="I17" s="58"/>
      <x:c r="J17" s="54" t="s">
        <x:v>72</x:v>
      </x:c>
      <x:c r="K17" s="58"/>
      <x:c r="L17" s="60"/>
      <x:c r="M17" s="11"/>
    </x:row>
    <x:row r="18" spans="1:13" ht="21.949999999999999" customHeight="1">
      <x:c r="A18" s="59" t="s">
        <x:v>39</x:v>
      </x:c>
      <x:c r="B18" s="294" t="s">
        <x:v>120</x:v>
      </x:c>
      <x:c r="C18" s="81">
        <x:v>13</x:v>
      </x:c>
      <x:c r="D18" s="284" t="s">
        <x:v>122</x:v>
      </x:c>
      <x:c r="E18" s="285"/>
      <x:c r="F18" s="292">
        <x:v>10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112</x:v>
      </x:c>
      <x:c r="B19" s="295"/>
      <x:c r="C19" s="136">
        <x:f>SUM('1:4'!$C$18)</x:f>
        <x:v>136</x:v>
      </x:c>
      <x:c r="D19" s="276"/>
      <x:c r="E19" s="277"/>
      <x:c r="F19" s="283">
        <x:f>SUM('1:4'!$F$18)</x:f>
        <x:v>35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95</x:v>
      </x:c>
      <x:c r="E20" s="257"/>
      <x:c r="F20" s="282">
        <x:v>38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132</x:v>
      </x:c>
      <x:c r="E21" s="257"/>
      <x:c r="F21" s="283">
        <x:f>SUM('1:4'!$F$20)</x:f>
        <x:v>239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77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121</x:v>
      </x:c>
      <x:c r="B23" s="257"/>
      <x:c r="C23" s="312"/>
      <x:c r="D23" s="313"/>
      <x:c r="E23" s="313"/>
      <x:c r="F23" s="313"/>
      <x:c r="G23" s="313"/>
      <x:c r="H23" s="109" t="s">
        <x:v>127</x:v>
      </x:c>
      <x:c r="I23" s="110">
        <x:f>SUM(I4:I22)</x:f>
        <x:v>1703956</x:v>
      </x:c>
      <x:c r="J23" s="61" t="s">
        <x:v>99</x:v>
      </x:c>
      <x:c r="K23" s="62">
        <x:f>SUM(K4:K22)</x:f>
        <x:v>26694</x:v>
      </x:c>
      <x:c r="M23" s="90" t="s">
        <x:v>107</x:v>
      </x:c>
      <x:c r="N23" s="279">
        <x:f>C5+C6</x:f>
        <x:v>169000</x:v>
      </x:c>
      <x:c r="O23" s="280"/>
    </x:row>
    <x:row r="24" spans="1:11" ht="34.149999999999999" customHeight="1">
      <x:c r="A24" s="256" t="s">
        <x:v>59</x:v>
      </x:c>
      <x:c r="B24" s="257"/>
      <x:c r="C24" s="257" t="s">
        <x:v>91</x:v>
      </x:c>
      <x:c r="D24" s="257"/>
      <x:c r="E24" s="257" t="s">
        <x:v>135</x:v>
      </x:c>
      <x:c r="F24" s="257"/>
      <x:c r="G24" s="257"/>
      <x:c r="H24" s="109" t="s">
        <x:v>59</x:v>
      </x:c>
      <x:c r="I24" s="111">
        <x:f>I23/A25</x:f>
        <x:v>0.77788450125542119</x:v>
      </x:c>
      <x:c r="J24" s="61" t="s">
        <x:v>59</x:v>
      </x:c>
      <x:c r="K24" s="63">
        <x:f>K23/A25</x:f>
        <x:v>0.012186258845012555</x:v>
      </x:c>
    </x:row>
    <x:row r="25" spans="1:11" ht="34.149999999999999" customHeight="1">
      <x:c r="A25" s="308">
        <x:f>C2</x:f>
        <x:v>2190500</x:v>
      </x:c>
      <x:c r="B25" s="272"/>
      <x:c r="C25" s="272">
        <x:f>E25/I1</x:f>
        <x:v>4029750</x:v>
      </x:c>
      <x:c r="D25" s="272"/>
      <x:c r="E25" s="272">
        <x:f>SUM('1:4'!$A$25)</x:f>
        <x:v>16119000</x:v>
      </x:c>
      <x:c r="F25" s="272"/>
      <x:c r="G25" s="272"/>
      <x:c r="H25" s="109" t="s">
        <x:v>19</x:v>
      </x:c>
      <x:c r="I25" s="110">
        <x:f>SUM('1:4'!$I$23)</x:f>
        <x:v>6430825</x:v>
      </x:c>
      <x:c r="J25" s="61" t="s">
        <x:v>19</x:v>
      </x:c>
      <x:c r="K25" s="62">
        <x:f>SUM('1:4'!$K$23)</x:f>
        <x:v>162538</x:v>
      </x:c>
    </x:row>
    <x:row r="26" spans="1:11" ht="34.149999999999999" customHeight="1">
      <x:c r="A26" s="256" t="s">
        <x:v>71</x:v>
      </x:c>
      <x:c r="B26" s="257"/>
      <x:c r="C26" s="257"/>
      <x:c r="D26" s="257"/>
      <x:c r="E26" s="258"/>
      <x:c r="F26" s="258"/>
      <x:c r="G26" s="258"/>
      <x:c r="H26" s="109" t="s">
        <x:v>110</x:v>
      </x:c>
      <x:c r="I26" s="112">
        <x:f>I25/$E$25</x:f>
        <x:v>0.39895930268627083</x:v>
      </x:c>
      <x:c r="J26" s="64" t="s">
        <x:v>110</x:v>
      </x:c>
      <x:c r="K26" s="65">
        <x:f>K25/$E$25</x:f>
        <x:v>0.010083628016626342</x:v>
      </x:c>
    </x:row>
    <x:row r="27" spans="1:13" ht="30.949999999999999" customHeight="1">
      <x:c r="A27" s="314" t="s">
        <x:v>68</x:v>
      </x:c>
      <x:c r="B27" s="54" t="s">
        <x:v>44</x:v>
      </x:c>
      <x:c r="C27" s="272">
        <x:f>4000000/31</x:f>
        <x:v>129032.25806451614</x:v>
      </x:c>
      <x:c r="D27" s="272"/>
      <x:c r="E27" s="55" t="s">
        <x:v>52</x:v>
      </x:c>
      <x:c r="F27" s="258"/>
      <x:c r="G27" s="258"/>
      <x:c r="H27" s="113" t="s">
        <x:v>85</x:v>
      </x:c>
      <x:c r="I27" s="114">
        <x:f>SUM(C27:D34,F27:G32)</x:f>
        <x:v>697419.3548387097</x:v>
      </x:c>
      <x:c r="M27" s="66"/>
    </x:row>
    <x:row r="28" spans="1:13" ht="30.949999999999999" customHeight="1">
      <x:c r="A28" s="315"/>
      <x:c r="B28" s="54" t="s">
        <x:v>29</x:v>
      </x:c>
      <x:c r="C28" s="272">
        <x:f>3800000/31</x:f>
        <x:v>122580.64516129032</x:v>
      </x:c>
      <x:c r="D28" s="272"/>
      <x:c r="E28" s="55" t="s">
        <x:v>52</x:v>
      </x:c>
      <x:c r="F28" s="311"/>
      <x:c r="G28" s="311"/>
      <x:c r="H28" s="113" t="s">
        <x:v>59</x:v>
      </x:c>
      <x:c r="I28" s="115">
        <x:f>I27/$A$25</x:f>
        <x:v>0.31838363608249703</x:v>
      </x:c>
      <x:c r="M28" s="66"/>
    </x:row>
    <x:row r="29" spans="1:13" ht="30.949999999999999" customHeight="1">
      <x:c r="A29" s="315"/>
      <x:c r="B29" s="54" t="s">
        <x:v>21</x:v>
      </x:c>
      <x:c r="C29" s="272">
        <x:f>3200000/31</x:f>
        <x:v>103225.80645161291</x:v>
      </x:c>
      <x:c r="D29" s="272"/>
      <x:c r="E29" s="54" t="s">
        <x:v>52</x:v>
      </x:c>
      <x:c r="F29" s="258"/>
      <x:c r="G29" s="258"/>
      <x:c r="H29" s="113" t="s">
        <x:v>19</x:v>
      </x:c>
      <x:c r="I29" s="114">
        <x:f>SUM('1:4'!$I$27)</x:f>
        <x:v>2819677.4193548388</x:v>
      </x:c>
      <x:c r="M29" s="66"/>
    </x:row>
    <x:row r="30" spans="1:13" ht="30.949999999999999" customHeight="1">
      <x:c r="A30" s="315"/>
      <x:c r="B30" s="54" t="s">
        <x:v>41</x:v>
      </x:c>
      <x:c r="C30" s="272">
        <x:f>3400000/31</x:f>
        <x:v>109677.41935483871</x:v>
      </x:c>
      <x:c r="D30" s="272"/>
      <x:c r="E30" s="55"/>
      <x:c r="F30" s="306"/>
      <x:c r="G30" s="307"/>
      <x:c r="H30" s="113" t="s">
        <x:v>110</x:v>
      </x:c>
      <x:c r="I30" s="115">
        <x:f>I29/$I$27</x:f>
        <x:v>4.0430157261794637</x:v>
      </x:c>
      <x:c r="M30" s="66"/>
    </x:row>
    <x:row r="31" spans="1:7" customHeight="1">
      <x:c r="A31" s="315"/>
      <x:c r="B31" s="54" t="s">
        <x:v>12</x:v>
      </x:c>
      <x:c r="C31" s="309">
        <x:f>3500000/31</x:f>
        <x:v>112903.22580645161</x:v>
      </x:c>
      <x:c r="D31" s="310"/>
      <x:c r="E31" s="55" t="s">
        <x:v>62</x:v>
      </x:c>
      <x:c r="F31" s="306">
        <x:v>120000</x:v>
      </x:c>
      <x:c r="G31" s="307"/>
    </x:row>
    <x:row r="32" spans="1:7" customHeight="1">
      <x:c r="A32" s="315"/>
      <x:c r="B32" s="355" t="s">
        <x:v>40</x:v>
      </x:c>
      <x:c r="C32" s="304"/>
      <x:c r="D32" s="305"/>
      <x:c r="E32" s="55" t="s">
        <x:v>1</x:v>
      </x:c>
      <x:c r="F32" s="306"/>
      <x:c r="G32" s="307"/>
    </x:row>
    <x:row r="33" spans="1:4" customHeight="1">
      <x:c r="A33" s="315"/>
      <x:c r="B33" s="355" t="s">
        <x:v>149</x:v>
      </x:c>
      <x:c r="C33" s="304"/>
      <x:c r="D33" s="305"/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7"/>
  <x:dimension ref="A1:O34"/>
  <x:sheetViews>
    <x:sheetView topLeftCell="A16" zoomScale="85" zoomScaleNormal="85" zoomScaleSheetLayoutView="75" workbookViewId="0">
      <x:selection activeCell="E27" activeCellId="0" sqref="E27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89</x:v>
      </x:c>
      <x:c r="D1" s="68"/>
      <x:c r="E1" s="68">
        <x:v>3</x:v>
      </x:c>
      <x:c r="F1" s="68">
        <x:v>5</x:v>
      </x:c>
      <x:c r="G1" s="68" t="s">
        <x:v>38</x:v>
      </x:c>
      <x:c r="H1" s="52" t="s">
        <x:v>103</x:v>
      </x:c>
      <x:c r="I1" s="52">
        <x:f>F1-K1</x:f>
        <x:v>5</x:v>
      </x:c>
      <x:c r="J1" s="52" t="s">
        <x:v>93</x:v>
      </x:c>
      <x:c r="K1" s="52"/>
    </x:row>
    <x:row r="2" spans="1:11" ht="20.100000000000001" customHeight="1">
      <x:c r="A2" s="326" t="s">
        <x:v>24</x:v>
      </x:c>
      <x:c r="B2" s="327"/>
      <x:c r="C2" s="330">
        <x:f>SUM(C4:D7)</x:f>
        <x:v>4292500</x:v>
      </x:c>
      <x:c r="D2" s="331"/>
      <x:c r="E2" s="274" t="s">
        <x:v>9</x:v>
      </x:c>
      <x:c r="F2" s="275"/>
      <x:c r="G2" s="263">
        <x:v>129550</x:v>
      </x:c>
      <x:c r="H2" s="334" t="s">
        <x:v>60</x:v>
      </x:c>
      <x:c r="I2" s="335"/>
      <x:c r="J2" s="259" t="s">
        <x:v>140</x:v>
      </x:c>
      <x:c r="K2" s="323"/>
    </x:row>
    <x:row r="3" spans="1:11" ht="20.100000000000001" customHeight="1">
      <x:c r="A3" s="328"/>
      <x:c r="B3" s="329"/>
      <x:c r="C3" s="332"/>
      <x:c r="D3" s="333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1" ht="30.949999999999999" customHeight="1">
      <x:c r="A4" s="337" t="s">
        <x:v>11</x:v>
      </x:c>
      <x:c r="B4" s="338"/>
      <x:c r="C4" s="306">
        <x:v>4043500</x:v>
      </x:c>
      <x:c r="D4" s="307"/>
      <x:c r="E4" s="339" t="s">
        <x:v>137</x:v>
      </x:c>
      <x:c r="F4" s="340"/>
      <x:c r="G4" s="135">
        <x:f>INT(C4*0.0275)</x:f>
        <x:v>111196</x:v>
      </x:c>
      <x:c r="H4" s="54" t="s">
        <x:v>43</x:v>
      </x:c>
      <x:c r="I4" s="126">
        <x:v>2204986</x:v>
      </x:c>
      <x:c r="J4" s="83" t="s">
        <x:v>18</x:v>
      </x:c>
      <x:c r="K4" s="58">
        <x:v>219000</x:v>
      </x:c>
    </x:row>
    <x:row r="5" spans="1:11" ht="30.949999999999999" customHeight="1">
      <x:c r="A5" s="337" t="s">
        <x:v>50</x:v>
      </x:c>
      <x:c r="B5" s="338"/>
      <x:c r="C5" s="306">
        <x:v>249000</x:v>
      </x:c>
      <x:c r="D5" s="307"/>
      <x:c r="E5" s="288" t="s">
        <x:v>146</x:v>
      </x:c>
      <x:c r="F5" s="289"/>
      <x:c r="G5" s="135">
        <x:f>INT(C5*0.01)</x:f>
        <x:v>2490</x:v>
      </x:c>
      <x:c r="H5" s="54" t="s">
        <x:v>60</x:v>
      </x:c>
      <x:c r="I5" s="126">
        <x:v>81950</x:v>
      </x:c>
      <x:c r="J5" s="83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>
        <x:v>230000</x:v>
      </x:c>
      <x:c r="H6" s="54"/>
      <x:c r="I6" s="126"/>
      <x:c r="J6" s="83" t="s">
        <x:v>114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6">
        <x:v>226890</x:v>
      </x:c>
      <x:c r="J7" s="83" t="s">
        <x:v>118</x:v>
      </x:c>
      <x:c r="K7" s="58"/>
    </x:row>
    <x:row r="8" spans="1:11" ht="21.949999999999999" customHeight="1">
      <x:c r="A8" s="344" t="s">
        <x:v>108</x:v>
      </x:c>
      <x:c r="B8" s="285"/>
      <x:c r="C8" s="297">
        <x:v>148550</x:v>
      </x:c>
      <x:c r="D8" s="298"/>
      <x:c r="E8" s="284" t="s">
        <x:v>128</x:v>
      </x:c>
      <x:c r="F8" s="285"/>
      <x:c r="G8" s="290">
        <x:f>C5+G2-G6-C22</x:f>
        <x:v>148550</x:v>
      </x:c>
      <x:c r="H8" s="54" t="s">
        <x:v>16</x:v>
      </x:c>
      <x:c r="I8" s="126"/>
      <x:c r="J8" s="83"/>
      <x:c r="K8" s="58"/>
    </x:row>
    <x:row r="9" spans="1:11" ht="21.949999999999999" customHeight="1">
      <x:c r="A9" s="345"/>
      <x:c r="B9" s="277"/>
      <x:c r="C9" s="299"/>
      <x:c r="D9" s="300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30.949999999999999" customHeight="1">
      <x:c r="A10" s="336" t="s">
        <x:v>129</x:v>
      </x:c>
      <x:c r="B10" s="289"/>
      <x:c r="C10" s="306">
        <x:v>100000</x:v>
      </x:c>
      <x:c r="D10" s="307"/>
      <x:c r="E10" s="288" t="s">
        <x:v>69</x:v>
      </x:c>
      <x:c r="F10" s="289"/>
      <x:c r="G10" s="55"/>
      <x:c r="H10" s="54"/>
      <x:c r="I10" s="126"/>
      <x:c r="J10" s="54" t="s">
        <x:v>4</x:v>
      </x:c>
      <x:c r="K10" s="58"/>
    </x:row>
    <x:row r="11" spans="1:11" ht="33" customHeight="1">
      <x:c r="A11" s="336" t="s">
        <x:v>106</x:v>
      </x:c>
      <x:c r="B11" s="289"/>
      <x:c r="C11" s="341"/>
      <x:c r="D11" s="342"/>
      <x:c r="E11" s="342"/>
      <x:c r="F11" s="342"/>
      <x:c r="G11" s="343"/>
      <x:c r="H11" s="54" t="s">
        <x:v>37</x:v>
      </x:c>
      <x:c r="I11" s="58"/>
      <x:c r="J11" s="54" t="s">
        <x:v>102</x:v>
      </x:c>
      <x:c r="K11" s="137">
        <x:v>14194</x:v>
      </x:c>
    </x:row>
    <x:row r="12" spans="1:13" ht="21.949999999999999" customHeight="1">
      <x:c r="A12" s="59" t="s">
        <x:v>39</x:v>
      </x:c>
      <x:c r="B12" s="294" t="s">
        <x:v>22</x:v>
      </x:c>
      <x:c r="C12" s="81">
        <x:v>26</x:v>
      </x:c>
      <x:c r="D12" s="284" t="s">
        <x:v>100</x:v>
      </x:c>
      <x:c r="E12" s="285"/>
      <x:c r="F12" s="288">
        <x:v>9</x:v>
      </x:c>
      <x:c r="G12" s="289"/>
      <x:c r="H12" s="54" t="s">
        <x:v>80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112</x:v>
      </x:c>
      <x:c r="B13" s="295"/>
      <x:c r="C13" s="136">
        <x:f>SUM('1:5'!$C$12)</x:f>
        <x:v>127</x:v>
      </x:c>
      <x:c r="D13" s="276"/>
      <x:c r="E13" s="277"/>
      <x:c r="F13" s="286">
        <x:f>SUM('1:5'!$F$12)</x:f>
        <x:v>19</x:v>
      </x:c>
      <x:c r="G13" s="287"/>
      <x:c r="H13" s="54" t="s">
        <x:v>131</x:v>
      </x:c>
      <x:c r="I13" s="58">
        <x:v>240000</x:v>
      </x:c>
      <x:c r="J13" s="54"/>
      <x:c r="K13" s="58"/>
      <x:c r="L13" s="60"/>
      <x:c r="M13" s="11"/>
    </x:row>
    <x:row r="14" spans="1:13" ht="21.949999999999999" customHeight="1">
      <x:c r="A14" s="59" t="s">
        <x:v>39</x:v>
      </x:c>
      <x:c r="B14" s="294" t="s">
        <x:v>34</x:v>
      </x:c>
      <x:c r="C14" s="81">
        <x:v>41</x:v>
      </x:c>
      <x:c r="D14" s="284" t="s">
        <x:v>84</x:v>
      </x:c>
      <x:c r="E14" s="285"/>
      <x:c r="F14" s="288">
        <x:v>17</x:v>
      </x:c>
      <x:c r="G14" s="289"/>
      <x:c r="H14" s="54" t="s">
        <x:v>104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112</x:v>
      </x:c>
      <x:c r="B15" s="295"/>
      <x:c r="C15" s="136">
        <x:f>SUM('1:5'!$C$14)</x:f>
        <x:v>319</x:v>
      </x:c>
      <x:c r="D15" s="276"/>
      <x:c r="E15" s="277"/>
      <x:c r="F15" s="286">
        <x:f>SUM('1:5'!$F$14)</x:f>
        <x:v>120</x:v>
      </x:c>
      <x:c r="G15" s="287"/>
      <x:c r="H15" s="54" t="s">
        <x:v>87</x:v>
      </x:c>
      <x:c r="I15" s="58">
        <x:v>55200</x:v>
      </x:c>
      <x:c r="J15" s="54" t="s">
        <x:v>140</x:v>
      </x:c>
      <x:c r="K15" s="58"/>
      <x:c r="L15" s="60"/>
      <x:c r="M15" s="11"/>
    </x:row>
    <x:row r="16" spans="1:13" ht="21.949999999999999" customHeight="1">
      <x:c r="A16" s="59" t="s">
        <x:v>39</x:v>
      </x:c>
      <x:c r="B16" s="294" t="s">
        <x:v>2</x:v>
      </x:c>
      <x:c r="C16" s="81">
        <x:v>3</x:v>
      </x:c>
      <x:c r="D16" s="284" t="s">
        <x:v>111</x:v>
      </x:c>
      <x:c r="E16" s="285"/>
      <x:c r="F16" s="324">
        <x:v>17</x:v>
      </x:c>
      <x:c r="G16" s="325"/>
      <x:c r="H16" s="54"/>
      <x:c r="I16" s="58"/>
      <x:c r="J16" s="54" t="s">
        <x:v>78</x:v>
      </x:c>
      <x:c r="K16" s="58"/>
      <x:c r="L16" s="60"/>
      <x:c r="M16" s="11"/>
    </x:row>
    <x:row r="17" spans="1:13" ht="21.949999999999999" customHeight="1">
      <x:c r="A17" s="59" t="s">
        <x:v>112</x:v>
      </x:c>
      <x:c r="B17" s="295"/>
      <x:c r="C17" s="136">
        <x:f>SUM('1:5'!$C$16)</x:f>
        <x:v>30</x:v>
      </x:c>
      <x:c r="D17" s="276"/>
      <x:c r="E17" s="277"/>
      <x:c r="F17" s="286">
        <x:f>SUM('1:5'!$F$16)</x:f>
        <x:v>59</x:v>
      </x:c>
      <x:c r="G17" s="287"/>
      <x:c r="H17" s="54" t="s">
        <x:v>56</x:v>
      </x:c>
      <x:c r="I17" s="58"/>
      <x:c r="J17" s="54" t="s">
        <x:v>72</x:v>
      </x:c>
      <x:c r="K17" s="58"/>
      <x:c r="L17" s="60"/>
      <x:c r="M17" s="11"/>
    </x:row>
    <x:row r="18" spans="1:13" ht="21.949999999999999" customHeight="1">
      <x:c r="A18" s="59" t="s">
        <x:v>39</x:v>
      </x:c>
      <x:c r="B18" s="294" t="s">
        <x:v>120</x:v>
      </x:c>
      <x:c r="C18" s="81">
        <x:v>26</x:v>
      </x:c>
      <x:c r="D18" s="284" t="s">
        <x:v>122</x:v>
      </x:c>
      <x:c r="E18" s="285"/>
      <x:c r="F18" s="324">
        <x:v>12</x:v>
      </x:c>
      <x:c r="G18" s="32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112</x:v>
      </x:c>
      <x:c r="B19" s="295"/>
      <x:c r="C19" s="136">
        <x:f>SUM('1:5'!$C$18)</x:f>
        <x:v>162</x:v>
      </x:c>
      <x:c r="D19" s="276"/>
      <x:c r="E19" s="277"/>
      <x:c r="F19" s="286">
        <x:f>SUM('1:5'!$F$18)</x:f>
        <x:v>47</x:v>
      </x:c>
      <x:c r="G19" s="287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88" t="s">
        <x:v>95</x:v>
      </x:c>
      <x:c r="E20" s="289"/>
      <x:c r="F20" s="324">
        <x:v>56</x:v>
      </x:c>
      <x:c r="G20" s="325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88" t="s">
        <x:v>132</x:v>
      </x:c>
      <x:c r="E21" s="289"/>
      <x:c r="F21" s="286">
        <x:f>SUM('1:5'!$F$20)</x:f>
        <x:v>295</x:v>
      </x:c>
      <x:c r="G21" s="287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336" t="s">
        <x:v>77</x:v>
      </x:c>
      <x:c r="B22" s="289"/>
      <x:c r="C22" s="346"/>
      <x:c r="D22" s="347"/>
      <x:c r="E22" s="347"/>
      <x:c r="F22" s="347"/>
      <x:c r="G22" s="34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336" t="s">
        <x:v>121</x:v>
      </x:c>
      <x:c r="B23" s="289"/>
      <x:c r="C23" s="320"/>
      <x:c r="D23" s="321"/>
      <x:c r="E23" s="321"/>
      <x:c r="F23" s="321"/>
      <x:c r="G23" s="322"/>
      <x:c r="H23" s="109" t="s">
        <x:v>127</x:v>
      </x:c>
      <x:c r="I23" s="110">
        <x:f>SUM(I4:I22)</x:f>
        <x:v>2809026</x:v>
      </x:c>
      <x:c r="J23" s="61" t="s">
        <x:v>99</x:v>
      </x:c>
      <x:c r="K23" s="62">
        <x:f>SUM(K4:K22)</x:f>
        <x:v>233194</x:v>
      </x:c>
      <x:c r="M23" s="90" t="s">
        <x:v>107</x:v>
      </x:c>
      <x:c r="N23" s="279">
        <x:f>C5+C6</x:f>
        <x:v>249000</x:v>
      </x:c>
      <x:c r="O23" s="280"/>
    </x:row>
    <x:row r="24" spans="1:11" ht="34.149999999999999" customHeight="1">
      <x:c r="A24" s="336" t="s">
        <x:v>59</x:v>
      </x:c>
      <x:c r="B24" s="289"/>
      <x:c r="C24" s="288" t="s">
        <x:v>91</x:v>
      </x:c>
      <x:c r="D24" s="289"/>
      <x:c r="E24" s="288" t="s">
        <x:v>135</x:v>
      </x:c>
      <x:c r="F24" s="319"/>
      <x:c r="G24" s="289"/>
      <x:c r="H24" s="109" t="s">
        <x:v>59</x:v>
      </x:c>
      <x:c r="I24" s="111">
        <x:f>I23/A25</x:f>
        <x:v>0.65440326150262085</x:v>
      </x:c>
      <x:c r="J24" s="61" t="s">
        <x:v>59</x:v>
      </x:c>
      <x:c r="K24" s="63">
        <x:f>K23/A25</x:f>
        <x:v>0.054325917297612117</x:v>
      </x:c>
    </x:row>
    <x:row r="25" spans="1:11" ht="34.149999999999999" customHeight="1">
      <x:c r="A25" s="350">
        <x:f>C2</x:f>
        <x:v>4292500</x:v>
      </x:c>
      <x:c r="B25" s="310"/>
      <x:c r="C25" s="309">
        <x:f>E25/I1</x:f>
        <x:v>4082300</x:v>
      </x:c>
      <x:c r="D25" s="310"/>
      <x:c r="E25" s="309">
        <x:f>SUM('1:5'!$A$25)</x:f>
        <x:v>20411500</x:v>
      </x:c>
      <x:c r="F25" s="318"/>
      <x:c r="G25" s="310"/>
      <x:c r="H25" s="109" t="s">
        <x:v>19</x:v>
      </x:c>
      <x:c r="I25" s="110">
        <x:f>SUM('1:5'!$I$23)</x:f>
        <x:v>9239851</x:v>
      </x:c>
      <x:c r="J25" s="61" t="s">
        <x:v>19</x:v>
      </x:c>
      <x:c r="K25" s="62">
        <x:f>SUM('1:5'!$K$23)</x:f>
        <x:v>395732</x:v>
      </x:c>
    </x:row>
    <x:row r="26" spans="1:11" ht="34.149999999999999" customHeight="1">
      <x:c r="A26" s="336" t="s">
        <x:v>71</x:v>
      </x:c>
      <x:c r="B26" s="289"/>
      <x:c r="C26" s="288"/>
      <x:c r="D26" s="289"/>
      <x:c r="E26" s="306"/>
      <x:c r="F26" s="349"/>
      <x:c r="G26" s="307"/>
      <x:c r="H26" s="109" t="s">
        <x:v>110</x:v>
      </x:c>
      <x:c r="I26" s="112">
        <x:f>I25/$E$25</x:f>
        <x:v>0.4526786860348333</x:v>
      </x:c>
      <x:c r="J26" s="64" t="s">
        <x:v>110</x:v>
      </x:c>
      <x:c r="K26" s="65">
        <x:f>K25/$E$25</x:f>
        <x:v>0.019387698111358792</x:v>
      </x:c>
    </x:row>
    <x:row r="27" spans="1:13" ht="30.949999999999999" customHeight="1">
      <x:c r="A27" s="301" t="s">
        <x:v>68</x:v>
      </x:c>
      <x:c r="B27" s="54" t="s">
        <x:v>44</x:v>
      </x:c>
      <x:c r="C27" s="309">
        <x:f>4000000/31</x:f>
        <x:v>129032.25806451614</x:v>
      </x:c>
      <x:c r="D27" s="310"/>
      <x:c r="E27" s="55" t="s">
        <x:v>52</x:v>
      </x:c>
      <x:c r="F27" s="306"/>
      <x:c r="G27" s="307"/>
      <x:c r="H27" s="113" t="s">
        <x:v>85</x:v>
      </x:c>
      <x:c r="I27" s="114">
        <x:f>SUM(C27:D34,F27:G32)</x:f>
        <x:v>805419.3548387097</x:v>
      </x:c>
      <x:c r="M27" s="66"/>
    </x:row>
    <x:row r="28" spans="1:13" ht="30.949999999999999" customHeight="1">
      <x:c r="A28" s="302"/>
      <x:c r="B28" s="54" t="s">
        <x:v>29</x:v>
      </x:c>
      <x:c r="C28" s="309">
        <x:f>3800000/31</x:f>
        <x:v>122580.64516129032</x:v>
      </x:c>
      <x:c r="D28" s="310"/>
      <x:c r="E28" s="55" t="s">
        <x:v>52</x:v>
      </x:c>
      <x:c r="F28" s="304">
        <x:v>52000</x:v>
      </x:c>
      <x:c r="G28" s="305"/>
      <x:c r="H28" s="113" t="s">
        <x:v>59</x:v>
      </x:c>
      <x:c r="I28" s="115">
        <x:f>I27/$A$25</x:f>
        <x:v>0.18763409547785898</x:v>
      </x:c>
      <x:c r="M28" s="66"/>
    </x:row>
    <x:row r="29" spans="1:13" ht="30.949999999999999" customHeight="1">
      <x:c r="A29" s="302"/>
      <x:c r="B29" s="54" t="s">
        <x:v>21</x:v>
      </x:c>
      <x:c r="C29" s="309">
        <x:f>3200000/31</x:f>
        <x:v>103225.80645161291</x:v>
      </x:c>
      <x:c r="D29" s="310"/>
      <x:c r="E29" s="54" t="s">
        <x:v>52</x:v>
      </x:c>
      <x:c r="F29" s="306"/>
      <x:c r="G29" s="307"/>
      <x:c r="H29" s="113" t="s">
        <x:v>19</x:v>
      </x:c>
      <x:c r="I29" s="114">
        <x:f>SUM('1:5'!$I$27)</x:f>
        <x:v>3625096.7741935486</x:v>
      </x:c>
      <x:c r="M29" s="66"/>
    </x:row>
    <x:row r="30" spans="1:13" ht="30.949999999999999" customHeight="1">
      <x:c r="A30" s="302"/>
      <x:c r="B30" s="54" t="s">
        <x:v>41</x:v>
      </x:c>
      <x:c r="C30" s="309">
        <x:f>3400000/31</x:f>
        <x:v>109677.41935483871</x:v>
      </x:c>
      <x:c r="D30" s="310"/>
      <x:c r="E30" s="55"/>
      <x:c r="F30" s="306"/>
      <x:c r="G30" s="307"/>
      <x:c r="H30" s="113" t="s">
        <x:v>110</x:v>
      </x:c>
      <x:c r="I30" s="115">
        <x:f>I29/$I$27</x:f>
        <x:v>4.5008811278436403</x:v>
      </x:c>
      <x:c r="M30" s="66"/>
    </x:row>
    <x:row r="31" spans="1:7" customHeight="1">
      <x:c r="A31" s="302"/>
      <x:c r="B31" s="54" t="s">
        <x:v>12</x:v>
      </x:c>
      <x:c r="C31" s="309">
        <x:f>3500000/31</x:f>
        <x:v>112903.22580645161</x:v>
      </x:c>
      <x:c r="D31" s="310"/>
      <x:c r="E31" s="55" t="s">
        <x:v>62</x:v>
      </x:c>
      <x:c r="F31" s="306">
        <x:v>120000</x:v>
      </x:c>
      <x:c r="G31" s="307"/>
    </x:row>
    <x:row r="32" spans="1:7" customHeight="1">
      <x:c r="A32" s="302"/>
      <x:c r="B32" s="355" t="s">
        <x:v>40</x:v>
      </x:c>
      <x:c r="C32" s="304">
        <x:v>56000</x:v>
      </x:c>
      <x:c r="D32" s="305"/>
      <x:c r="E32" s="55" t="s">
        <x:v>1</x:v>
      </x:c>
      <x:c r="F32" s="306"/>
      <x:c r="G32" s="307"/>
    </x:row>
    <x:row r="33" spans="1:4" customHeight="1">
      <x:c r="A33" s="302"/>
      <x:c r="B33" s="355" t="s">
        <x:v>149</x:v>
      </x:c>
      <x:c r="C33" s="304"/>
      <x:c r="D33" s="305"/>
    </x:row>
    <x:row r="34" spans="1:4" customHeight="1">
      <x:c r="A34" s="303"/>
      <x:c r="B34" s="54"/>
      <x:c r="C34" s="306"/>
      <x:c r="D34" s="307"/>
    </x:row>
  </x:sheetData>
  <x:mergeCells count="74">
    <x:mergeCell ref="F32:G32"/>
    <x:mergeCell ref="C8:D9"/>
    <x:mergeCell ref="E8:F9"/>
    <x:mergeCell ref="G8:G9"/>
    <x:mergeCell ref="E25:G25"/>
    <x:mergeCell ref="C24:D24"/>
    <x:mergeCell ref="E24:G24"/>
    <x:mergeCell ref="C23:G23"/>
    <x:mergeCell ref="F30:G30"/>
    <x:mergeCell ref="F31:G31"/>
    <x:mergeCell ref="F29:G29"/>
    <x:mergeCell ref="F27:G27"/>
    <x:mergeCell ref="F28:G28"/>
    <x:mergeCell ref="J2:K2"/>
    <x:mergeCell ref="F17:G17"/>
    <x:mergeCell ref="F12:G12"/>
    <x:mergeCell ref="F13:G13"/>
    <x:mergeCell ref="F14:G14"/>
    <x:mergeCell ref="F15:G15"/>
    <x:mergeCell ref="F16:G16"/>
    <x:mergeCell ref="A2:B3"/>
    <x:mergeCell ref="C2:D3"/>
    <x:mergeCell ref="E2:F3"/>
    <x:mergeCell ref="G2:G3"/>
    <x:mergeCell ref="H2:I2"/>
    <x:mergeCell ref="A10:B10"/>
    <x:mergeCell ref="C10:D10"/>
    <x:mergeCell ref="E10:F10"/>
    <x:mergeCell ref="A11:B11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A22:B22"/>
    <x:mergeCell ref="C22:G22"/>
    <x:mergeCell ref="D20:E20"/>
    <x:mergeCell ref="F20:G20"/>
    <x:mergeCell ref="D21:E21"/>
    <x:mergeCell ref="F21:G21"/>
    <x:mergeCell ref="F18:G18"/>
    <x:mergeCell ref="F19:G19"/>
    <x:mergeCell ref="N23:O23"/>
    <x:mergeCell ref="A26:B26"/>
    <x:mergeCell ref="C26:D26"/>
    <x:mergeCell ref="E26:G26"/>
    <x:mergeCell ref="A25:B25"/>
    <x:mergeCell ref="C25:D25"/>
    <x:mergeCell ref="A24:B24"/>
    <x:mergeCell ref="A27:A34"/>
    <x:mergeCell ref="C32:D32"/>
    <x:mergeCell ref="C33:D33"/>
    <x:mergeCell ref="C34:D34"/>
    <x:mergeCell ref="A23:B23"/>
    <x:mergeCell ref="C31:D31"/>
    <x:mergeCell ref="C30:D30"/>
    <x:mergeCell ref="C27:D27"/>
    <x:mergeCell ref="C28:D28"/>
    <x:mergeCell ref="C29:D29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8"/>
  <x:dimension ref="A1:O34"/>
  <x:sheetViews>
    <x:sheetView topLeftCell="A12" zoomScale="85" zoomScaleNormal="85" zoomScaleSheetLayoutView="75" workbookViewId="0">
      <x:selection activeCell="E27" activeCellId="0" sqref="E27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89</x:v>
      </x:c>
      <x:c r="D1" s="68"/>
      <x:c r="E1" s="68">
        <x:v>3</x:v>
      </x:c>
      <x:c r="F1" s="68">
        <x:v>6</x:v>
      </x:c>
      <x:c r="G1" s="68" t="s">
        <x:v>20</x:v>
      </x:c>
      <x:c r="H1" s="52" t="s">
        <x:v>103</x:v>
      </x:c>
      <x:c r="I1" s="52">
        <x:f>F1-K1</x:f>
        <x:v>6</x:v>
      </x:c>
      <x:c r="J1" s="52" t="s">
        <x:v>93</x:v>
      </x:c>
      <x:c r="K1" s="52"/>
    </x:row>
    <x:row r="2" spans="1:11" ht="20.100000000000001" customHeight="1">
      <x:c r="A2" s="267" t="s">
        <x:v>24</x:v>
      </x:c>
      <x:c r="B2" s="268"/>
      <x:c r="C2" s="271">
        <x:f>SUM(C4:D7)</x:f>
        <x:v>4546000</x:v>
      </x:c>
      <x:c r="D2" s="271"/>
      <x:c r="E2" s="274" t="s">
        <x:v>9</x:v>
      </x:c>
      <x:c r="F2" s="275"/>
      <x:c r="G2" s="263">
        <x:v>148550</x:v>
      </x:c>
      <x:c r="H2" s="261" t="s">
        <x:v>60</x:v>
      </x:c>
      <x:c r="I2" s="262"/>
      <x:c r="J2" s="259" t="s">
        <x:v>140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1" ht="30.949999999999999" customHeight="1">
      <x:c r="A4" s="265" t="s">
        <x:v>11</x:v>
      </x:c>
      <x:c r="B4" s="266"/>
      <x:c r="C4" s="258">
        <x:v>4154000</x:v>
      </x:c>
      <x:c r="D4" s="258"/>
      <x:c r="E4" s="273" t="s">
        <x:v>137</x:v>
      </x:c>
      <x:c r="F4" s="273"/>
      <x:c r="G4" s="135">
        <x:f>INT(C4*0.0275)</x:f>
        <x:v>114235</x:v>
      </x:c>
      <x:c r="H4" s="54" t="s">
        <x:v>43</x:v>
      </x:c>
      <x:c r="I4" s="126">
        <x:v>510060</x:v>
      </x:c>
      <x:c r="J4" s="83" t="s">
        <x:v>18</x:v>
      </x:c>
      <x:c r="K4" s="58"/>
    </x:row>
    <x:row r="5" spans="1:11" ht="30.949999999999999" customHeight="1">
      <x:c r="A5" s="265" t="s">
        <x:v>50</x:v>
      </x:c>
      <x:c r="B5" s="266"/>
      <x:c r="C5" s="258">
        <x:v>392000</x:v>
      </x:c>
      <x:c r="D5" s="258"/>
      <x:c r="E5" s="257" t="s">
        <x:v>146</x:v>
      </x:c>
      <x:c r="F5" s="257"/>
      <x:c r="G5" s="135">
        <x:f>INT(C5*0.01)</x:f>
        <x:v>3920</x:v>
      </x:c>
      <x:c r="H5" s="54" t="s">
        <x:v>60</x:v>
      </x:c>
      <x:c r="I5" s="126">
        <x:v>126430</x:v>
      </x:c>
      <x:c r="J5" s="83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>
        <x:v>400000</x:v>
      </x:c>
      <x:c r="H6" s="54"/>
      <x:c r="I6" s="126"/>
      <x:c r="J6" s="83" t="s">
        <x:v>114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6">
        <x:v>65100</x:v>
      </x:c>
      <x:c r="J7" s="83" t="s">
        <x:v>118</x:v>
      </x:c>
      <x:c r="K7" s="58"/>
    </x:row>
    <x:row r="8" spans="1:11" ht="21.949999999999999" customHeight="1">
      <x:c r="A8" s="256" t="s">
        <x:v>108</x:v>
      </x:c>
      <x:c r="B8" s="257"/>
      <x:c r="C8" s="258">
        <x:v>140550</x:v>
      </x:c>
      <x:c r="D8" s="258"/>
      <x:c r="E8" s="284" t="s">
        <x:v>128</x:v>
      </x:c>
      <x:c r="F8" s="285"/>
      <x:c r="G8" s="290">
        <x:f>C5+G2-G6-C22</x:f>
        <x:v>140550</x:v>
      </x:c>
      <x:c r="H8" s="54" t="s">
        <x:v>16</x:v>
      </x:c>
      <x:c r="I8" s="126">
        <x:v>56000</x:v>
      </x:c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30.949999999999999" customHeight="1">
      <x:c r="A10" s="256" t="s">
        <x:v>129</x:v>
      </x:c>
      <x:c r="B10" s="257"/>
      <x:c r="C10" s="258">
        <x:v>95000</x:v>
      </x:c>
      <x:c r="D10" s="258"/>
      <x:c r="E10" s="257" t="s">
        <x:v>69</x:v>
      </x:c>
      <x:c r="F10" s="257"/>
      <x:c r="G10" s="55"/>
      <x:c r="H10" s="54"/>
      <x:c r="I10" s="126"/>
      <x:c r="J10" s="54" t="s">
        <x:v>4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37</x:v>
      </x:c>
      <x:c r="I11" s="58"/>
      <x:c r="J11" s="54" t="s">
        <x:v>102</x:v>
      </x:c>
      <x:c r="K11" s="137">
        <x:v>14194</x:v>
      </x:c>
    </x:row>
    <x:row r="12" spans="1:13" ht="21.949999999999999" customHeight="1">
      <x:c r="A12" s="59" t="s">
        <x:v>39</x:v>
      </x:c>
      <x:c r="B12" s="294" t="s">
        <x:v>22</x:v>
      </x:c>
      <x:c r="C12" s="81">
        <x:v>18</x:v>
      </x:c>
      <x:c r="D12" s="284" t="s">
        <x:v>100</x:v>
      </x:c>
      <x:c r="E12" s="285"/>
      <x:c r="F12" s="288">
        <x:v>5</x:v>
      </x:c>
      <x:c r="G12" s="289"/>
      <x:c r="H12" s="54" t="s">
        <x:v>80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112</x:v>
      </x:c>
      <x:c r="B13" s="295"/>
      <x:c r="C13" s="136">
        <x:f>SUM('1:6'!$C$12)</x:f>
        <x:v>145</x:v>
      </x:c>
      <x:c r="D13" s="276"/>
      <x:c r="E13" s="277"/>
      <x:c r="F13" s="286">
        <x:f>SUM('1:6'!$F$12)</x:f>
        <x:v>24</x:v>
      </x:c>
      <x:c r="G13" s="287"/>
      <x:c r="H13" s="54" t="s">
        <x:v>131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39</x:v>
      </x:c>
      <x:c r="B14" s="294" t="s">
        <x:v>34</x:v>
      </x:c>
      <x:c r="C14" s="81">
        <x:v>50</x:v>
      </x:c>
      <x:c r="D14" s="284" t="s">
        <x:v>84</x:v>
      </x:c>
      <x:c r="E14" s="285"/>
      <x:c r="F14" s="288">
        <x:v>24</x:v>
      </x:c>
      <x:c r="G14" s="289"/>
      <x:c r="H14" s="54" t="s">
        <x:v>104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112</x:v>
      </x:c>
      <x:c r="B15" s="295"/>
      <x:c r="C15" s="136">
        <x:f>SUM('1:6'!$C$14)</x:f>
        <x:v>369</x:v>
      </x:c>
      <x:c r="D15" s="276"/>
      <x:c r="E15" s="277"/>
      <x:c r="F15" s="286">
        <x:f>SUM('1:6'!$F$14)</x:f>
        <x:v>144</x:v>
      </x:c>
      <x:c r="G15" s="287"/>
      <x:c r="H15" s="54" t="s">
        <x:v>87</x:v>
      </x:c>
      <x:c r="I15" s="58">
        <x:v>88200</x:v>
      </x:c>
      <x:c r="J15" s="54" t="s">
        <x:v>140</x:v>
      </x:c>
      <x:c r="K15" s="58"/>
      <x:c r="L15" s="60"/>
      <x:c r="M15" s="11"/>
    </x:row>
    <x:row r="16" spans="1:13" ht="21.949999999999999" customHeight="1">
      <x:c r="A16" s="59" t="s">
        <x:v>39</x:v>
      </x:c>
      <x:c r="B16" s="294" t="s">
        <x:v>2</x:v>
      </x:c>
      <x:c r="C16" s="81">
        <x:v>8</x:v>
      </x:c>
      <x:c r="D16" s="284" t="s">
        <x:v>111</x:v>
      </x:c>
      <x:c r="E16" s="285"/>
      <x:c r="F16" s="282">
        <x:v>8</x:v>
      </x:c>
      <x:c r="G16" s="282"/>
      <x:c r="H16" s="54"/>
      <x:c r="I16" s="58"/>
      <x:c r="J16" s="54" t="s">
        <x:v>78</x:v>
      </x:c>
      <x:c r="K16" s="58">
        <x:v>106200</x:v>
      </x:c>
      <x:c r="L16" s="60"/>
      <x:c r="M16" s="11"/>
    </x:row>
    <x:row r="17" spans="1:13" ht="21.949999999999999" customHeight="1">
      <x:c r="A17" s="59" t="s">
        <x:v>112</x:v>
      </x:c>
      <x:c r="B17" s="295"/>
      <x:c r="C17" s="136">
        <x:f>SUM('1:6'!$C$16)</x:f>
        <x:v>38</x:v>
      </x:c>
      <x:c r="D17" s="276"/>
      <x:c r="E17" s="277"/>
      <x:c r="F17" s="283">
        <x:f>SUM('1:6'!$F$16)</x:f>
        <x:v>67</x:v>
      </x:c>
      <x:c r="G17" s="283"/>
      <x:c r="H17" s="54" t="s">
        <x:v>56</x:v>
      </x:c>
      <x:c r="I17" s="58"/>
      <x:c r="J17" s="54" t="s">
        <x:v>72</x:v>
      </x:c>
      <x:c r="K17" s="58"/>
      <x:c r="L17" s="60"/>
      <x:c r="M17" s="11"/>
    </x:row>
    <x:row r="18" spans="1:13" ht="21.949999999999999" customHeight="1">
      <x:c r="A18" s="59" t="s">
        <x:v>39</x:v>
      </x:c>
      <x:c r="B18" s="294" t="s">
        <x:v>120</x:v>
      </x:c>
      <x:c r="C18" s="81">
        <x:v>32</x:v>
      </x:c>
      <x:c r="D18" s="284" t="s">
        <x:v>122</x:v>
      </x:c>
      <x:c r="E18" s="285"/>
      <x:c r="F18" s="292">
        <x:v>18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112</x:v>
      </x:c>
      <x:c r="B19" s="295"/>
      <x:c r="C19" s="136">
        <x:f>SUM('1:6'!$C$18)</x:f>
        <x:v>194</x:v>
      </x:c>
      <x:c r="D19" s="276"/>
      <x:c r="E19" s="277"/>
      <x:c r="F19" s="283">
        <x:f>SUM('1:6'!$F$18)</x:f>
        <x:v>65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95</x:v>
      </x:c>
      <x:c r="E20" s="257"/>
      <x:c r="F20" s="282">
        <x:v>58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132</x:v>
      </x:c>
      <x:c r="E21" s="257"/>
      <x:c r="F21" s="283">
        <x:f>SUM('1:6'!$F$20)</x:f>
        <x:v>353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77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121</x:v>
      </x:c>
      <x:c r="B23" s="257"/>
      <x:c r="C23" s="312"/>
      <x:c r="D23" s="313"/>
      <x:c r="E23" s="313"/>
      <x:c r="F23" s="313"/>
      <x:c r="G23" s="313"/>
      <x:c r="H23" s="109" t="s">
        <x:v>127</x:v>
      </x:c>
      <x:c r="I23" s="110">
        <x:f>SUM(I4:I22)</x:f>
        <x:v>845790</x:v>
      </x:c>
      <x:c r="J23" s="61" t="s">
        <x:v>99</x:v>
      </x:c>
      <x:c r="K23" s="62">
        <x:f>SUM(K4:K22)</x:f>
        <x:v>120394</x:v>
      </x:c>
      <x:c r="M23" s="90" t="s">
        <x:v>107</x:v>
      </x:c>
      <x:c r="N23" s="279">
        <x:f>C5+C6</x:f>
        <x:v>392000</x:v>
      </x:c>
      <x:c r="O23" s="280"/>
    </x:row>
    <x:row r="24" spans="1:11" ht="34.149999999999999" customHeight="1">
      <x:c r="A24" s="256" t="s">
        <x:v>59</x:v>
      </x:c>
      <x:c r="B24" s="257"/>
      <x:c r="C24" s="257" t="s">
        <x:v>91</x:v>
      </x:c>
      <x:c r="D24" s="257"/>
      <x:c r="E24" s="257" t="s">
        <x:v>135</x:v>
      </x:c>
      <x:c r="F24" s="257"/>
      <x:c r="G24" s="257"/>
      <x:c r="H24" s="109" t="s">
        <x:v>59</x:v>
      </x:c>
      <x:c r="I24" s="111">
        <x:f>I23/A25</x:f>
        <x:v>0.18605147382314122</x:v>
      </x:c>
      <x:c r="J24" s="61" t="s">
        <x:v>59</x:v>
      </x:c>
      <x:c r="K24" s="63">
        <x:f>K23/A25</x:f>
        <x:v>0.026483501979762427</x:v>
      </x:c>
    </x:row>
    <x:row r="25" spans="1:11" ht="34.149999999999999" customHeight="1">
      <x:c r="A25" s="308">
        <x:f>C2</x:f>
        <x:v>4546000</x:v>
      </x:c>
      <x:c r="B25" s="272"/>
      <x:c r="C25" s="272">
        <x:f>E25/I1</x:f>
        <x:v>4159583.3333333335</x:v>
      </x:c>
      <x:c r="D25" s="272"/>
      <x:c r="E25" s="272">
        <x:f>SUM('1:6'!$A$25)</x:f>
        <x:v>24957500</x:v>
      </x:c>
      <x:c r="F25" s="272"/>
      <x:c r="G25" s="272"/>
      <x:c r="H25" s="109" t="s">
        <x:v>19</x:v>
      </x:c>
      <x:c r="I25" s="110">
        <x:f>SUM('1:6'!$I$23)</x:f>
        <x:v>10085641</x:v>
      </x:c>
      <x:c r="J25" s="61" t="s">
        <x:v>19</x:v>
      </x:c>
      <x:c r="K25" s="62">
        <x:f>SUM('1:6'!$K$23)</x:f>
        <x:v>516126</x:v>
      </x:c>
    </x:row>
    <x:row r="26" spans="1:11" ht="34.149999999999999" customHeight="1">
      <x:c r="A26" s="256" t="s">
        <x:v>71</x:v>
      </x:c>
      <x:c r="B26" s="257"/>
      <x:c r="C26" s="257"/>
      <x:c r="D26" s="257"/>
      <x:c r="E26" s="258"/>
      <x:c r="F26" s="258"/>
      <x:c r="G26" s="258"/>
      <x:c r="H26" s="109" t="s">
        <x:v>110</x:v>
      </x:c>
      <x:c r="I26" s="112">
        <x:f>I25/$E$25</x:f>
        <x:v>0.40411263147350496</x:v>
      </x:c>
      <x:c r="J26" s="64" t="s">
        <x:v>110</x:v>
      </x:c>
      <x:c r="K26" s="65">
        <x:f>K25/$E$25</x:f>
        <x:v>0.020680196333767404</x:v>
      </x:c>
    </x:row>
    <x:row r="27" spans="1:13" ht="30.949999999999999" customHeight="1">
      <x:c r="A27" s="314" t="s">
        <x:v>68</x:v>
      </x:c>
      <x:c r="B27" s="54" t="s">
        <x:v>44</x:v>
      </x:c>
      <x:c r="C27" s="272">
        <x:f>4000000/31</x:f>
        <x:v>129032.25806451614</x:v>
      </x:c>
      <x:c r="D27" s="272"/>
      <x:c r="E27" s="55" t="s">
        <x:v>52</x:v>
      </x:c>
      <x:c r="F27" s="258"/>
      <x:c r="G27" s="258"/>
      <x:c r="H27" s="113" t="s">
        <x:v>85</x:v>
      </x:c>
      <x:c r="I27" s="116">
        <x:f>SUM(C27:D34,F27:G32)</x:f>
        <x:v>749419.3548387097</x:v>
      </x:c>
      <x:c r="M27" s="66"/>
    </x:row>
    <x:row r="28" spans="1:13" ht="30.949999999999999" customHeight="1">
      <x:c r="A28" s="315"/>
      <x:c r="B28" s="54" t="s">
        <x:v>29</x:v>
      </x:c>
      <x:c r="C28" s="309">
        <x:f>3800000/31</x:f>
        <x:v>122580.64516129032</x:v>
      </x:c>
      <x:c r="D28" s="310"/>
      <x:c r="E28" s="55" t="s">
        <x:v>52</x:v>
      </x:c>
      <x:c r="F28" s="311">
        <x:v>52000</x:v>
      </x:c>
      <x:c r="G28" s="311"/>
      <x:c r="H28" s="113" t="s">
        <x:v>59</x:v>
      </x:c>
      <x:c r="I28" s="115">
        <x:f>I27/$A$25</x:f>
        <x:v>0.16485247576742404</x:v>
      </x:c>
      <x:c r="M28" s="66"/>
    </x:row>
    <x:row r="29" spans="1:13" ht="30.949999999999999" customHeight="1">
      <x:c r="A29" s="315"/>
      <x:c r="B29" s="54" t="s">
        <x:v>21</x:v>
      </x:c>
      <x:c r="C29" s="272">
        <x:f>3200000/31</x:f>
        <x:v>103225.80645161291</x:v>
      </x:c>
      <x:c r="D29" s="272"/>
      <x:c r="E29" s="54" t="s">
        <x:v>52</x:v>
      </x:c>
      <x:c r="F29" s="258"/>
      <x:c r="G29" s="258"/>
      <x:c r="H29" s="113" t="s">
        <x:v>19</x:v>
      </x:c>
      <x:c r="I29" s="114">
        <x:f>SUM('1:6'!$I$27)</x:f>
        <x:v>4374516.1290322579</x:v>
      </x:c>
      <x:c r="M29" s="66"/>
    </x:row>
    <x:row r="30" spans="1:13" ht="30.949999999999999" customHeight="1">
      <x:c r="A30" s="315"/>
      <x:c r="B30" s="54" t="s">
        <x:v>41</x:v>
      </x:c>
      <x:c r="C30" s="272">
        <x:f>3400000/31</x:f>
        <x:v>109677.41935483871</x:v>
      </x:c>
      <x:c r="D30" s="272"/>
      <x:c r="E30" s="55"/>
      <x:c r="F30" s="306"/>
      <x:c r="G30" s="307"/>
      <x:c r="H30" s="113" t="s">
        <x:v>110</x:v>
      </x:c>
      <x:c r="I30" s="115">
        <x:f>I29/$I$27</x:f>
        <x:v>5.8372073002754821</x:v>
      </x:c>
      <x:c r="M30" s="66"/>
    </x:row>
    <x:row r="31" spans="1:7" customHeight="1">
      <x:c r="A31" s="315"/>
      <x:c r="B31" s="54" t="s">
        <x:v>12</x:v>
      </x:c>
      <x:c r="C31" s="309">
        <x:f>3500000/31</x:f>
        <x:v>112903.22580645161</x:v>
      </x:c>
      <x:c r="D31" s="310"/>
      <x:c r="E31" s="55" t="s">
        <x:v>62</x:v>
      </x:c>
      <x:c r="F31" s="306">
        <x:v>120000</x:v>
      </x:c>
      <x:c r="G31" s="307"/>
    </x:row>
    <x:row r="32" spans="1:7" customHeight="1">
      <x:c r="A32" s="315"/>
      <x:c r="B32" s="355" t="s">
        <x:v>40</x:v>
      </x:c>
      <x:c r="C32" s="304"/>
      <x:c r="D32" s="305"/>
      <x:c r="E32" s="55" t="s">
        <x:v>1</x:v>
      </x:c>
      <x:c r="F32" s="306"/>
      <x:c r="G32" s="307"/>
    </x:row>
    <x:row r="33" spans="1:4" customHeight="1">
      <x:c r="A33" s="315"/>
      <x:c r="B33" s="355" t="s">
        <x:v>149</x:v>
      </x:c>
      <x:c r="C33" s="304"/>
      <x:c r="D33" s="305"/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9"/>
  <x:dimension ref="A1:O34"/>
  <x:sheetViews>
    <x:sheetView topLeftCell="A1" zoomScale="85" zoomScaleNormal="85" zoomScaleSheetLayoutView="75" workbookViewId="0">
      <x:selection activeCell="E27" activeCellId="0" sqref="E27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7.7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89</x:v>
      </x:c>
      <x:c r="D1" s="68"/>
      <x:c r="E1" s="68">
        <x:v>3</x:v>
      </x:c>
      <x:c r="F1" s="68">
        <x:v>7</x:v>
      </x:c>
      <x:c r="G1" s="68" t="s">
        <x:v>31</x:v>
      </x:c>
      <x:c r="H1" s="52" t="s">
        <x:v>103</x:v>
      </x:c>
      <x:c r="I1" s="52">
        <x:f>F1-K1</x:f>
        <x:v>7</x:v>
      </x:c>
      <x:c r="J1" s="52" t="s">
        <x:v>93</x:v>
      </x:c>
      <x:c r="K1" s="52"/>
    </x:row>
    <x:row r="2" spans="1:11" ht="20.100000000000001" customHeight="1">
      <x:c r="A2" s="267" t="s">
        <x:v>24</x:v>
      </x:c>
      <x:c r="B2" s="268"/>
      <x:c r="C2" s="271">
        <x:f>SUM(C4:D7)</x:f>
        <x:v>5015000</x:v>
      </x:c>
      <x:c r="D2" s="271"/>
      <x:c r="E2" s="274" t="s">
        <x:v>9</x:v>
      </x:c>
      <x:c r="F2" s="275"/>
      <x:c r="G2" s="263">
        <x:v>140550</x:v>
      </x:c>
      <x:c r="H2" s="261" t="s">
        <x:v>60</x:v>
      </x:c>
      <x:c r="I2" s="262"/>
      <x:c r="J2" s="259" t="s">
        <x:v>140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1" ht="30.949999999999999" customHeight="1">
      <x:c r="A4" s="265" t="s">
        <x:v>11</x:v>
      </x:c>
      <x:c r="B4" s="266"/>
      <x:c r="C4" s="258">
        <x:v>4473000</x:v>
      </x:c>
      <x:c r="D4" s="258"/>
      <x:c r="E4" s="273" t="s">
        <x:v>137</x:v>
      </x:c>
      <x:c r="F4" s="273"/>
      <x:c r="G4" s="135">
        <x:f>INT(C4*0.0275)</x:f>
        <x:v>123007</x:v>
      </x:c>
      <x:c r="H4" s="54" t="s">
        <x:v>43</x:v>
      </x:c>
      <x:c r="I4" s="126">
        <x:v>644520</x:v>
      </x:c>
      <x:c r="J4" s="83" t="s">
        <x:v>18</x:v>
      </x:c>
      <x:c r="K4" s="58"/>
    </x:row>
    <x:row r="5" spans="1:11" ht="30.949999999999999" customHeight="1">
      <x:c r="A5" s="265" t="s">
        <x:v>50</x:v>
      </x:c>
      <x:c r="B5" s="266"/>
      <x:c r="C5" s="258">
        <x:v>542000</x:v>
      </x:c>
      <x:c r="D5" s="258"/>
      <x:c r="E5" s="257" t="s">
        <x:v>146</x:v>
      </x:c>
      <x:c r="F5" s="257"/>
      <x:c r="G5" s="135">
        <x:f>INT(C5*0.01)</x:f>
        <x:v>5420</x:v>
      </x:c>
      <x:c r="H5" s="54" t="s">
        <x:v>60</x:v>
      </x:c>
      <x:c r="I5" s="126">
        <x:v>98640</x:v>
      </x:c>
      <x:c r="J5" s="83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>
        <x:v>550000</x:v>
      </x:c>
      <x:c r="H6" s="54"/>
      <x:c r="I6" s="126"/>
      <x:c r="J6" s="83" t="s">
        <x:v>114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6">
        <x:v>315500</x:v>
      </x:c>
      <x:c r="J7" s="83" t="s">
        <x:v>118</x:v>
      </x:c>
      <x:c r="K7" s="58"/>
    </x:row>
    <x:row r="8" spans="1:11" ht="21.949999999999999" customHeight="1">
      <x:c r="A8" s="256" t="s">
        <x:v>108</x:v>
      </x:c>
      <x:c r="B8" s="257"/>
      <x:c r="C8" s="258">
        <x:v>132550</x:v>
      </x:c>
      <x:c r="D8" s="258"/>
      <x:c r="E8" s="284" t="s">
        <x:v>128</x:v>
      </x:c>
      <x:c r="F8" s="285"/>
      <x:c r="G8" s="290">
        <x:f>C5+G2-G6-C22</x:f>
        <x:v>132550</x:v>
      </x:c>
      <x:c r="H8" s="54" t="s">
        <x:v>16</x:v>
      </x:c>
      <x:c r="I8" s="126">
        <x:v>56000</x:v>
      </x:c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30.949999999999999" customHeight="1">
      <x:c r="A10" s="256" t="s">
        <x:v>129</x:v>
      </x:c>
      <x:c r="B10" s="257"/>
      <x:c r="C10" s="258"/>
      <x:c r="D10" s="258"/>
      <x:c r="E10" s="257" t="s">
        <x:v>69</x:v>
      </x:c>
      <x:c r="F10" s="257"/>
      <x:c r="G10" s="55"/>
      <x:c r="H10" s="54"/>
      <x:c r="I10" s="126"/>
      <x:c r="J10" s="54" t="s">
        <x:v>4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37</x:v>
      </x:c>
      <x:c r="I11" s="58"/>
      <x:c r="J11" s="54" t="s">
        <x:v>102</x:v>
      </x:c>
      <x:c r="K11" s="137">
        <x:v>14194</x:v>
      </x:c>
    </x:row>
    <x:row r="12" spans="1:13" ht="21.949999999999999" customHeight="1">
      <x:c r="A12" s="59" t="s">
        <x:v>39</x:v>
      </x:c>
      <x:c r="B12" s="294" t="s">
        <x:v>22</x:v>
      </x:c>
      <x:c r="C12" s="81">
        <x:v>16</x:v>
      </x:c>
      <x:c r="D12" s="284" t="s">
        <x:v>100</x:v>
      </x:c>
      <x:c r="E12" s="285"/>
      <x:c r="F12" s="288">
        <x:v>16</x:v>
      </x:c>
      <x:c r="G12" s="289"/>
      <x:c r="H12" s="54" t="s">
        <x:v>80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112</x:v>
      </x:c>
      <x:c r="B13" s="295"/>
      <x:c r="C13" s="136">
        <x:f>SUM('1:7'!$C$12)</x:f>
        <x:v>161</x:v>
      </x:c>
      <x:c r="D13" s="276"/>
      <x:c r="E13" s="277"/>
      <x:c r="F13" s="286">
        <x:f>SUM('1:7'!$F$12)</x:f>
        <x:v>40</x:v>
      </x:c>
      <x:c r="G13" s="287"/>
      <x:c r="H13" s="54" t="s">
        <x:v>131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39</x:v>
      </x:c>
      <x:c r="B14" s="294" t="s">
        <x:v>34</x:v>
      </x:c>
      <x:c r="C14" s="81">
        <x:v>44</x:v>
      </x:c>
      <x:c r="D14" s="284" t="s">
        <x:v>84</x:v>
      </x:c>
      <x:c r="E14" s="285"/>
      <x:c r="F14" s="288">
        <x:v>29</x:v>
      </x:c>
      <x:c r="G14" s="289"/>
      <x:c r="H14" s="54" t="s">
        <x:v>104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112</x:v>
      </x:c>
      <x:c r="B15" s="295"/>
      <x:c r="C15" s="136">
        <x:f>SUM('1:7'!$C$14)</x:f>
        <x:v>413</x:v>
      </x:c>
      <x:c r="D15" s="276"/>
      <x:c r="E15" s="277"/>
      <x:c r="F15" s="286">
        <x:f>SUM('1:7'!$F$14)</x:f>
        <x:v>173</x:v>
      </x:c>
      <x:c r="G15" s="287"/>
      <x:c r="H15" s="54" t="s">
        <x:v>87</x:v>
      </x:c>
      <x:c r="I15" s="58">
        <x:v>69000</x:v>
      </x:c>
      <x:c r="J15" s="54" t="s">
        <x:v>140</x:v>
      </x:c>
      <x:c r="K15" s="58"/>
      <x:c r="L15" s="60"/>
      <x:c r="M15" s="11"/>
    </x:row>
    <x:row r="16" spans="1:13" ht="21.949999999999999" customHeight="1">
      <x:c r="A16" s="59" t="s">
        <x:v>39</x:v>
      </x:c>
      <x:c r="B16" s="294" t="s">
        <x:v>2</x:v>
      </x:c>
      <x:c r="C16" s="81">
        <x:v>5</x:v>
      </x:c>
      <x:c r="D16" s="284" t="s">
        <x:v>111</x:v>
      </x:c>
      <x:c r="E16" s="285"/>
      <x:c r="F16" s="282">
        <x:v>13</x:v>
      </x:c>
      <x:c r="G16" s="282"/>
      <x:c r="H16" s="54"/>
      <x:c r="I16" s="58"/>
      <x:c r="J16" s="54" t="s">
        <x:v>78</x:v>
      </x:c>
      <x:c r="K16" s="58"/>
      <x:c r="L16" s="60"/>
      <x:c r="M16" s="11"/>
    </x:row>
    <x:row r="17" spans="1:13" ht="21.949999999999999" customHeight="1">
      <x:c r="A17" s="59" t="s">
        <x:v>112</x:v>
      </x:c>
      <x:c r="B17" s="295"/>
      <x:c r="C17" s="136">
        <x:f>SUM('1:7'!$C$16)</x:f>
        <x:v>43</x:v>
      </x:c>
      <x:c r="D17" s="276"/>
      <x:c r="E17" s="277"/>
      <x:c r="F17" s="283">
        <x:f>SUM('1:7'!$F$16)</x:f>
        <x:v>80</x:v>
      </x:c>
      <x:c r="G17" s="283"/>
      <x:c r="H17" s="54" t="s">
        <x:v>56</x:v>
      </x:c>
      <x:c r="I17" s="58"/>
      <x:c r="J17" s="54" t="s">
        <x:v>72</x:v>
      </x:c>
      <x:c r="K17" s="58"/>
      <x:c r="L17" s="60"/>
      <x:c r="M17" s="11"/>
    </x:row>
    <x:row r="18" spans="1:13" ht="21.949999999999999" customHeight="1">
      <x:c r="A18" s="59" t="s">
        <x:v>39</x:v>
      </x:c>
      <x:c r="B18" s="294" t="s">
        <x:v>120</x:v>
      </x:c>
      <x:c r="C18" s="81">
        <x:v>37</x:v>
      </x:c>
      <x:c r="D18" s="284" t="s">
        <x:v>122</x:v>
      </x:c>
      <x:c r="E18" s="285"/>
      <x:c r="F18" s="292">
        <x:v>19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112</x:v>
      </x:c>
      <x:c r="B19" s="295"/>
      <x:c r="C19" s="136">
        <x:f>SUM('1:7'!$C$18)</x:f>
        <x:v>231</x:v>
      </x:c>
      <x:c r="D19" s="276"/>
      <x:c r="E19" s="277"/>
      <x:c r="F19" s="283">
        <x:f>SUM('1:7'!$F$18)</x:f>
        <x:v>84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95</x:v>
      </x:c>
      <x:c r="E20" s="257"/>
      <x:c r="F20" s="282">
        <x:v>68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132</x:v>
      </x:c>
      <x:c r="E21" s="257"/>
      <x:c r="F21" s="283">
        <x:f>SUM('1:7'!$F$20)</x:f>
        <x:v>421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77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121</x:v>
      </x:c>
      <x:c r="B23" s="257"/>
      <x:c r="C23" s="312"/>
      <x:c r="D23" s="313"/>
      <x:c r="E23" s="313"/>
      <x:c r="F23" s="313"/>
      <x:c r="G23" s="313"/>
      <x:c r="H23" s="109" t="s">
        <x:v>127</x:v>
      </x:c>
      <x:c r="I23" s="110">
        <x:f>SUM(I4:I22)</x:f>
        <x:v>1183660</x:v>
      </x:c>
      <x:c r="J23" s="61" t="s">
        <x:v>99</x:v>
      </x:c>
      <x:c r="K23" s="62">
        <x:f>SUM(K4:K22)</x:f>
        <x:v>14194</x:v>
      </x:c>
      <x:c r="M23" s="90" t="s">
        <x:v>107</x:v>
      </x:c>
      <x:c r="N23" s="279">
        <x:f>C5+C6</x:f>
        <x:v>542000</x:v>
      </x:c>
      <x:c r="O23" s="280"/>
    </x:row>
    <x:row r="24" spans="1:11" ht="34.149999999999999" customHeight="1">
      <x:c r="A24" s="256" t="s">
        <x:v>59</x:v>
      </x:c>
      <x:c r="B24" s="257"/>
      <x:c r="C24" s="257" t="s">
        <x:v>91</x:v>
      </x:c>
      <x:c r="D24" s="257"/>
      <x:c r="E24" s="257" t="s">
        <x:v>135</x:v>
      </x:c>
      <x:c r="F24" s="257"/>
      <x:c r="G24" s="257"/>
      <x:c r="H24" s="109" t="s">
        <x:v>59</x:v>
      </x:c>
      <x:c r="I24" s="111">
        <x:f>I23/A25</x:f>
        <x:v>0.23602392821535395</x:v>
      </x:c>
      <x:c r="J24" s="61" t="s">
        <x:v>59</x:v>
      </x:c>
      <x:c r="K24" s="63">
        <x:f>K23/A25</x:f>
        <x:v>0.0028303090727816549</x:v>
      </x:c>
    </x:row>
    <x:row r="25" spans="1:11" ht="34.149999999999999" customHeight="1">
      <x:c r="A25" s="308">
        <x:f>C2</x:f>
        <x:v>5015000</x:v>
      </x:c>
      <x:c r="B25" s="272"/>
      <x:c r="C25" s="272">
        <x:f>E25/I1</x:f>
        <x:v>4281785.7142857146</x:v>
      </x:c>
      <x:c r="D25" s="272"/>
      <x:c r="E25" s="272">
        <x:f>SUM('1:7'!$A$25)</x:f>
        <x:v>29972500</x:v>
      </x:c>
      <x:c r="F25" s="272"/>
      <x:c r="G25" s="272"/>
      <x:c r="H25" s="109" t="s">
        <x:v>19</x:v>
      </x:c>
      <x:c r="I25" s="110">
        <x:f>SUM('1:7'!$I$23)</x:f>
        <x:v>11269301</x:v>
      </x:c>
      <x:c r="J25" s="61" t="s">
        <x:v>19</x:v>
      </x:c>
      <x:c r="K25" s="62">
        <x:f>SUM('1:7'!$K$23)</x:f>
        <x:v>530320</x:v>
      </x:c>
    </x:row>
    <x:row r="26" spans="1:11" ht="34.149999999999999" customHeight="1">
      <x:c r="A26" s="256" t="s">
        <x:v>71</x:v>
      </x:c>
      <x:c r="B26" s="257"/>
      <x:c r="C26" s="257"/>
      <x:c r="D26" s="257"/>
      <x:c r="E26" s="258"/>
      <x:c r="F26" s="258"/>
      <x:c r="G26" s="258"/>
      <x:c r="H26" s="109" t="s">
        <x:v>110</x:v>
      </x:c>
      <x:c r="I26" s="112">
        <x:f>I25/$E$25</x:f>
        <x:v>0.37598802235382434</x:v>
      </x:c>
      <x:c r="J26" s="64" t="s">
        <x:v>110</x:v>
      </x:c>
      <x:c r="K26" s="65">
        <x:f>K25/$E$25</x:f>
        <x:v>0.017693552423054468</x:v>
      </x:c>
    </x:row>
    <x:row r="27" spans="1:13" ht="30.949999999999999" customHeight="1">
      <x:c r="A27" s="314" t="s">
        <x:v>68</x:v>
      </x:c>
      <x:c r="B27" s="54" t="s">
        <x:v>44</x:v>
      </x:c>
      <x:c r="C27" s="272">
        <x:f>4000000/31</x:f>
        <x:v>129032.25806451614</x:v>
      </x:c>
      <x:c r="D27" s="272"/>
      <x:c r="E27" s="55" t="s">
        <x:v>52</x:v>
      </x:c>
      <x:c r="F27" s="258"/>
      <x:c r="G27" s="258"/>
      <x:c r="H27" s="113" t="s">
        <x:v>85</x:v>
      </x:c>
      <x:c r="I27" s="114">
        <x:f>SUM(C27:D34,F27:G32)</x:f>
        <x:v>749419.3548387097</x:v>
      </x:c>
      <x:c r="M27" s="66"/>
    </x:row>
    <x:row r="28" spans="1:13" ht="30.949999999999999" customHeight="1">
      <x:c r="A28" s="315"/>
      <x:c r="B28" s="54" t="s">
        <x:v>29</x:v>
      </x:c>
      <x:c r="C28" s="272">
        <x:f>3800000/31</x:f>
        <x:v>122580.64516129032</x:v>
      </x:c>
      <x:c r="D28" s="272"/>
      <x:c r="E28" s="55" t="s">
        <x:v>52</x:v>
      </x:c>
      <x:c r="F28" s="311">
        <x:v>52000</x:v>
      </x:c>
      <x:c r="G28" s="311"/>
      <x:c r="H28" s="113" t="s">
        <x:v>59</x:v>
      </x:c>
      <x:c r="I28" s="115">
        <x:f>I27/$A$25</x:f>
        <x:v>0.14943556427491719</x:v>
      </x:c>
      <x:c r="M28" s="66"/>
    </x:row>
    <x:row r="29" spans="1:13" ht="30.949999999999999" customHeight="1">
      <x:c r="A29" s="315"/>
      <x:c r="B29" s="54" t="s">
        <x:v>21</x:v>
      </x:c>
      <x:c r="C29" s="272">
        <x:f>3200000/31</x:f>
        <x:v>103225.80645161291</x:v>
      </x:c>
      <x:c r="D29" s="272"/>
      <x:c r="E29" s="54" t="s">
        <x:v>52</x:v>
      </x:c>
      <x:c r="F29" s="258"/>
      <x:c r="G29" s="258"/>
      <x:c r="H29" s="113" t="s">
        <x:v>19</x:v>
      </x:c>
      <x:c r="I29" s="114">
        <x:f>SUM('1:7'!$I$27)</x:f>
        <x:v>5123935.4838709673</x:v>
      </x:c>
      <x:c r="M29" s="66"/>
    </x:row>
    <x:row r="30" spans="1:13" ht="30.949999999999999" customHeight="1">
      <x:c r="A30" s="315"/>
      <x:c r="B30" s="54" t="s">
        <x:v>41</x:v>
      </x:c>
      <x:c r="C30" s="272">
        <x:f>3400000/31</x:f>
        <x:v>109677.41935483871</x:v>
      </x:c>
      <x:c r="D30" s="272"/>
      <x:c r="E30" s="55"/>
      <x:c r="F30" s="306"/>
      <x:c r="G30" s="307"/>
      <x:c r="H30" s="113" t="s">
        <x:v>110</x:v>
      </x:c>
      <x:c r="I30" s="115">
        <x:f>I29/$I$27</x:f>
        <x:v>6.8372073002754812</x:v>
      </x:c>
      <x:c r="M30" s="66"/>
    </x:row>
    <x:row r="31" spans="1:7" customHeight="1">
      <x:c r="A31" s="315"/>
      <x:c r="B31" s="54" t="s">
        <x:v>12</x:v>
      </x:c>
      <x:c r="C31" s="309">
        <x:f>3500000/31</x:f>
        <x:v>112903.22580645161</x:v>
      </x:c>
      <x:c r="D31" s="310"/>
      <x:c r="E31" s="55" t="s">
        <x:v>62</x:v>
      </x:c>
      <x:c r="F31" s="306">
        <x:v>120000</x:v>
      </x:c>
      <x:c r="G31" s="307"/>
    </x:row>
    <x:row r="32" spans="1:7" customHeight="1">
      <x:c r="A32" s="315"/>
      <x:c r="B32" s="355" t="s">
        <x:v>40</x:v>
      </x:c>
      <x:c r="C32" s="304"/>
      <x:c r="D32" s="305"/>
      <x:c r="E32" s="55" t="s">
        <x:v>1</x:v>
      </x:c>
      <x:c r="F32" s="306"/>
      <x:c r="G32" s="307"/>
    </x:row>
    <x:row r="33" spans="1:4" customHeight="1">
      <x:c r="A33" s="315"/>
      <x:c r="B33" s="355" t="s">
        <x:v>149</x:v>
      </x:c>
      <x:c r="C33" s="304"/>
      <x:c r="D33" s="305"/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0"/>
  <x:dimension ref="A1:O34"/>
  <x:sheetViews>
    <x:sheetView topLeftCell="A20" zoomScale="85" zoomScaleNormal="85" zoomScaleSheetLayoutView="75" workbookViewId="0">
      <x:selection activeCell="E27" activeCellId="0" sqref="E27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89</x:v>
      </x:c>
      <x:c r="D1" s="68"/>
      <x:c r="E1" s="68">
        <x:v>3</x:v>
      </x:c>
      <x:c r="F1" s="68">
        <x:v>8</x:v>
      </x:c>
      <x:c r="G1" s="68" t="s">
        <x:v>49</x:v>
      </x:c>
      <x:c r="H1" s="52" t="s">
        <x:v>103</x:v>
      </x:c>
      <x:c r="I1" s="52">
        <x:f>F1-K1</x:f>
        <x:v>8</x:v>
      </x:c>
      <x:c r="J1" s="52" t="s">
        <x:v>93</x:v>
      </x:c>
      <x:c r="K1" s="52"/>
    </x:row>
    <x:row r="2" spans="1:11" ht="20.100000000000001" customHeight="1">
      <x:c r="A2" s="267" t="s">
        <x:v>24</x:v>
      </x:c>
      <x:c r="B2" s="268"/>
      <x:c r="C2" s="271">
        <x:f>SUM(C4:D7)</x:f>
        <x:v>4783000</x:v>
      </x:c>
      <x:c r="D2" s="271"/>
      <x:c r="E2" s="274" t="s">
        <x:v>9</x:v>
      </x:c>
      <x:c r="F2" s="275"/>
      <x:c r="G2" s="263">
        <x:v>132550</x:v>
      </x:c>
      <x:c r="H2" s="261" t="s">
        <x:v>60</x:v>
      </x:c>
      <x:c r="I2" s="262"/>
      <x:c r="J2" s="259" t="s">
        <x:v>140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1" ht="30.949999999999999" customHeight="1">
      <x:c r="A4" s="265" t="s">
        <x:v>11</x:v>
      </x:c>
      <x:c r="B4" s="266"/>
      <x:c r="C4" s="258">
        <x:v>4018000</x:v>
      </x:c>
      <x:c r="D4" s="258"/>
      <x:c r="E4" s="273" t="s">
        <x:v>137</x:v>
      </x:c>
      <x:c r="F4" s="273"/>
      <x:c r="G4" s="135">
        <x:f>INT(C4*0.0275)</x:f>
        <x:v>110495</x:v>
      </x:c>
      <x:c r="H4" s="54" t="s">
        <x:v>43</x:v>
      </x:c>
      <x:c r="I4" s="126">
        <x:v>1253470</x:v>
      </x:c>
      <x:c r="J4" s="83" t="s">
        <x:v>18</x:v>
      </x:c>
      <x:c r="K4" s="58"/>
    </x:row>
    <x:row r="5" spans="1:11" ht="30.949999999999999" customHeight="1">
      <x:c r="A5" s="265" t="s">
        <x:v>50</x:v>
      </x:c>
      <x:c r="B5" s="266"/>
      <x:c r="C5" s="258">
        <x:v>765000</x:v>
      </x:c>
      <x:c r="D5" s="258"/>
      <x:c r="E5" s="257" t="s">
        <x:v>146</x:v>
      </x:c>
      <x:c r="F5" s="257"/>
      <x:c r="G5" s="135">
        <x:f>INT(C5*0.01)</x:f>
        <x:v>7650</x:v>
      </x:c>
      <x:c r="H5" s="54" t="s">
        <x:v>60</x:v>
      </x:c>
      <x:c r="I5" s="126"/>
      <x:c r="J5" s="83"/>
      <x:c r="K5" s="58"/>
    </x:row>
    <x:row r="6" spans="1:13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>
        <x:v>750000</x:v>
      </x:c>
      <x:c r="H6" s="54"/>
      <x:c r="I6" s="126"/>
      <x:c r="J6" s="83" t="s">
        <x:v>114</x:v>
      </x:c>
      <x:c r="K6" s="58"/>
      <x:c r="M6" s="126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6"/>
      <x:c r="J7" s="83" t="s">
        <x:v>118</x:v>
      </x:c>
      <x:c r="K7" s="58"/>
    </x:row>
    <x:row r="8" spans="1:11" ht="21.949999999999999" customHeight="1">
      <x:c r="A8" s="256" t="s">
        <x:v>108</x:v>
      </x:c>
      <x:c r="B8" s="257"/>
      <x:c r="C8" s="258">
        <x:v>147550</x:v>
      </x:c>
      <x:c r="D8" s="258"/>
      <x:c r="E8" s="284" t="s">
        <x:v>128</x:v>
      </x:c>
      <x:c r="F8" s="285"/>
      <x:c r="G8" s="290">
        <x:f>C5+G2-G6-C22</x:f>
        <x:v>147550</x:v>
      </x:c>
      <x:c r="H8" s="54" t="s">
        <x:v>16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30.949999999999999" customHeight="1">
      <x:c r="A10" s="256" t="s">
        <x:v>129</x:v>
      </x:c>
      <x:c r="B10" s="257"/>
      <x:c r="C10" s="258">
        <x:v>100000</x:v>
      </x:c>
      <x:c r="D10" s="258"/>
      <x:c r="E10" s="257" t="s">
        <x:v>69</x:v>
      </x:c>
      <x:c r="F10" s="257"/>
      <x:c r="G10" s="55"/>
      <x:c r="H10" s="54"/>
      <x:c r="I10" s="126"/>
      <x:c r="J10" s="54" t="s">
        <x:v>4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37</x:v>
      </x:c>
      <x:c r="I11" s="58"/>
      <x:c r="J11" s="54" t="s">
        <x:v>102</x:v>
      </x:c>
      <x:c r="K11" s="137">
        <x:v>14194</x:v>
      </x:c>
    </x:row>
    <x:row r="12" spans="1:13" ht="21.949999999999999" customHeight="1">
      <x:c r="A12" s="59" t="s">
        <x:v>39</x:v>
      </x:c>
      <x:c r="B12" s="294" t="s">
        <x:v>22</x:v>
      </x:c>
      <x:c r="C12" s="81">
        <x:v>13</x:v>
      </x:c>
      <x:c r="D12" s="284" t="s">
        <x:v>100</x:v>
      </x:c>
      <x:c r="E12" s="285"/>
      <x:c r="F12" s="288">
        <x:v>10</x:v>
      </x:c>
      <x:c r="G12" s="289"/>
      <x:c r="H12" s="54" t="s">
        <x:v>80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112</x:v>
      </x:c>
      <x:c r="B13" s="295"/>
      <x:c r="C13" s="136">
        <x:f>SUM('1:8'!$C$12)</x:f>
        <x:v>174</x:v>
      </x:c>
      <x:c r="D13" s="276"/>
      <x:c r="E13" s="277"/>
      <x:c r="F13" s="286">
        <x:f>SUM('1:8'!$F$12)</x:f>
        <x:v>50</x:v>
      </x:c>
      <x:c r="G13" s="287"/>
      <x:c r="H13" s="54" t="s">
        <x:v>131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39</x:v>
      </x:c>
      <x:c r="B14" s="294" t="s">
        <x:v>34</x:v>
      </x:c>
      <x:c r="C14" s="81">
        <x:v>58</x:v>
      </x:c>
      <x:c r="D14" s="284" t="s">
        <x:v>84</x:v>
      </x:c>
      <x:c r="E14" s="285"/>
      <x:c r="F14" s="288">
        <x:v>31</x:v>
      </x:c>
      <x:c r="G14" s="289"/>
      <x:c r="H14" s="54" t="s">
        <x:v>104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112</x:v>
      </x:c>
      <x:c r="B15" s="295"/>
      <x:c r="C15" s="136">
        <x:f>SUM('1:8'!$C$14)</x:f>
        <x:v>471</x:v>
      </x:c>
      <x:c r="D15" s="276"/>
      <x:c r="E15" s="277"/>
      <x:c r="F15" s="286">
        <x:f>SUM('1:8'!$F$14)</x:f>
        <x:v>204</x:v>
      </x:c>
      <x:c r="G15" s="287"/>
      <x:c r="H15" s="54" t="s">
        <x:v>87</x:v>
      </x:c>
      <x:c r="I15" s="58">
        <x:v>249300</x:v>
      </x:c>
      <x:c r="J15" s="54" t="s">
        <x:v>140</x:v>
      </x:c>
      <x:c r="K15" s="58"/>
      <x:c r="L15" s="60"/>
      <x:c r="M15" s="11"/>
    </x:row>
    <x:row r="16" spans="1:13" ht="21.949999999999999" customHeight="1">
      <x:c r="A16" s="59" t="s">
        <x:v>39</x:v>
      </x:c>
      <x:c r="B16" s="294" t="s">
        <x:v>2</x:v>
      </x:c>
      <x:c r="C16" s="81">
        <x:v>13</x:v>
      </x:c>
      <x:c r="D16" s="284" t="s">
        <x:v>111</x:v>
      </x:c>
      <x:c r="E16" s="285"/>
      <x:c r="F16" s="282">
        <x:v>21</x:v>
      </x:c>
      <x:c r="G16" s="282"/>
      <x:c r="H16" s="54"/>
      <x:c r="I16" s="58"/>
      <x:c r="J16" s="54" t="s">
        <x:v>78</x:v>
      </x:c>
      <x:c r="K16" s="58">
        <x:v>68550</x:v>
      </x:c>
      <x:c r="L16" s="60"/>
      <x:c r="M16" s="11"/>
    </x:row>
    <x:row r="17" spans="1:13" ht="21.949999999999999" customHeight="1">
      <x:c r="A17" s="59" t="s">
        <x:v>112</x:v>
      </x:c>
      <x:c r="B17" s="295"/>
      <x:c r="C17" s="136">
        <x:f>SUM('1:8'!$C$16)</x:f>
        <x:v>56</x:v>
      </x:c>
      <x:c r="D17" s="276"/>
      <x:c r="E17" s="277"/>
      <x:c r="F17" s="283">
        <x:f>SUM('1:8'!$F$16)</x:f>
        <x:v>101</x:v>
      </x:c>
      <x:c r="G17" s="283"/>
      <x:c r="H17" s="54" t="s">
        <x:v>56</x:v>
      </x:c>
      <x:c r="I17" s="58">
        <x:v>4800</x:v>
      </x:c>
      <x:c r="J17" s="54" t="s">
        <x:v>72</x:v>
      </x:c>
      <x:c r="K17" s="58"/>
      <x:c r="L17" s="60"/>
      <x:c r="M17" s="11"/>
    </x:row>
    <x:row r="18" spans="1:13" ht="21.949999999999999" customHeight="1">
      <x:c r="A18" s="59" t="s">
        <x:v>39</x:v>
      </x:c>
      <x:c r="B18" s="294" t="s">
        <x:v>120</x:v>
      </x:c>
      <x:c r="C18" s="81">
        <x:v>40</x:v>
      </x:c>
      <x:c r="D18" s="284" t="s">
        <x:v>122</x:v>
      </x:c>
      <x:c r="E18" s="285"/>
      <x:c r="F18" s="292">
        <x:v>16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112</x:v>
      </x:c>
      <x:c r="B19" s="295"/>
      <x:c r="C19" s="136">
        <x:f>SUM('1:8'!$C$18)</x:f>
        <x:v>271</x:v>
      </x:c>
      <x:c r="D19" s="276"/>
      <x:c r="E19" s="277"/>
      <x:c r="F19" s="283">
        <x:f>SUM('1:8'!$F$18)</x:f>
        <x:v>100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95</x:v>
      </x:c>
      <x:c r="E20" s="257"/>
      <x:c r="F20" s="282">
        <x:v>60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132</x:v>
      </x:c>
      <x:c r="E21" s="257"/>
      <x:c r="F21" s="283">
        <x:f>SUM('1:8'!$F$20)</x:f>
        <x:v>481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77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121</x:v>
      </x:c>
      <x:c r="B23" s="257"/>
      <x:c r="C23" s="312"/>
      <x:c r="D23" s="313"/>
      <x:c r="E23" s="313"/>
      <x:c r="F23" s="313"/>
      <x:c r="G23" s="313"/>
      <x:c r="H23" s="109" t="s">
        <x:v>127</x:v>
      </x:c>
      <x:c r="I23" s="110">
        <x:f>SUM(I4:I22)</x:f>
        <x:v>1507570</x:v>
      </x:c>
      <x:c r="J23" s="61" t="s">
        <x:v>99</x:v>
      </x:c>
      <x:c r="K23" s="62">
        <x:f>SUM(K4:K22)</x:f>
        <x:v>82744</x:v>
      </x:c>
      <x:c r="M23" s="90" t="s">
        <x:v>107</x:v>
      </x:c>
      <x:c r="N23" s="279">
        <x:f>C5+C6</x:f>
        <x:v>765000</x:v>
      </x:c>
      <x:c r="O23" s="280"/>
    </x:row>
    <x:row r="24" spans="1:11" ht="34.149999999999999" customHeight="1">
      <x:c r="A24" s="256" t="s">
        <x:v>59</x:v>
      </x:c>
      <x:c r="B24" s="257"/>
      <x:c r="C24" s="257" t="s">
        <x:v>91</x:v>
      </x:c>
      <x:c r="D24" s="257"/>
      <x:c r="E24" s="257" t="s">
        <x:v>135</x:v>
      </x:c>
      <x:c r="F24" s="257"/>
      <x:c r="G24" s="257"/>
      <x:c r="H24" s="109" t="s">
        <x:v>59</x:v>
      </x:c>
      <x:c r="I24" s="111">
        <x:f>I23/A25</x:f>
        <x:v>0.31519339326782353</x:v>
      </x:c>
      <x:c r="J24" s="61" t="s">
        <x:v>59</x:v>
      </x:c>
      <x:c r="K24" s="63">
        <x:f>K23/A25</x:f>
        <x:v>0.017299602759774199</x:v>
      </x:c>
    </x:row>
    <x:row r="25" spans="1:11" ht="34.149999999999999" customHeight="1">
      <x:c r="A25" s="308">
        <x:f>C2</x:f>
        <x:v>4783000</x:v>
      </x:c>
      <x:c r="B25" s="272"/>
      <x:c r="C25" s="272">
        <x:f>E25/I1</x:f>
        <x:v>4344437.5</x:v>
      </x:c>
      <x:c r="D25" s="272"/>
      <x:c r="E25" s="272">
        <x:f>SUM('1:8'!$A$25)</x:f>
        <x:v>34755500</x:v>
      </x:c>
      <x:c r="F25" s="272"/>
      <x:c r="G25" s="272"/>
      <x:c r="H25" s="109" t="s">
        <x:v>19</x:v>
      </x:c>
      <x:c r="I25" s="110">
        <x:f>SUM('1:8'!$I$23)</x:f>
        <x:v>12776871</x:v>
      </x:c>
      <x:c r="J25" s="61" t="s">
        <x:v>19</x:v>
      </x:c>
      <x:c r="K25" s="62">
        <x:f>SUM('1:8'!$K$23)</x:f>
        <x:v>613064</x:v>
      </x:c>
    </x:row>
    <x:row r="26" spans="1:11" ht="34.149999999999999" customHeight="1">
      <x:c r="A26" s="256" t="s">
        <x:v>71</x:v>
      </x:c>
      <x:c r="B26" s="257"/>
      <x:c r="C26" s="257"/>
      <x:c r="D26" s="257"/>
      <x:c r="E26" s="258"/>
      <x:c r="F26" s="258"/>
      <x:c r="G26" s="258"/>
      <x:c r="H26" s="109" t="s">
        <x:v>110</x:v>
      </x:c>
      <x:c r="I26" s="112">
        <x:f>I25/$E$25</x:f>
        <x:v>0.36762155630044163</x:v>
      </x:c>
      <x:c r="J26" s="64" t="s">
        <x:v>110</x:v>
      </x:c>
      <x:c r="K26" s="65">
        <x:f>K25/$E$25</x:f>
        <x:v>0.017639337658787817</x:v>
      </x:c>
    </x:row>
    <x:row r="27" spans="1:13" ht="30.949999999999999" customHeight="1">
      <x:c r="A27" s="314" t="s">
        <x:v>68</x:v>
      </x:c>
      <x:c r="B27" s="54" t="s">
        <x:v>44</x:v>
      </x:c>
      <x:c r="C27" s="272">
        <x:f>4000000/31</x:f>
        <x:v>129032.25806451614</x:v>
      </x:c>
      <x:c r="D27" s="272"/>
      <x:c r="E27" s="55" t="s">
        <x:v>52</x:v>
      </x:c>
      <x:c r="F27" s="258"/>
      <x:c r="G27" s="258"/>
      <x:c r="H27" s="113" t="s">
        <x:v>85</x:v>
      </x:c>
      <x:c r="I27" s="114">
        <x:f>SUM(C27:D34,F27:G32)</x:f>
        <x:v>811369.3548387097</x:v>
      </x:c>
      <x:c r="M27" s="66"/>
    </x:row>
    <x:row r="28" spans="1:13" ht="30.949999999999999" customHeight="1">
      <x:c r="A28" s="315"/>
      <x:c r="B28" s="54" t="s">
        <x:v>29</x:v>
      </x:c>
      <x:c r="C28" s="272">
        <x:f>3800000/31</x:f>
        <x:v>122580.64516129032</x:v>
      </x:c>
      <x:c r="D28" s="272"/>
      <x:c r="E28" s="55" t="s">
        <x:v>52</x:v>
      </x:c>
      <x:c r="F28" s="311"/>
      <x:c r="G28" s="311"/>
      <x:c r="H28" s="113" t="s">
        <x:v>59</x:v>
      </x:c>
      <x:c r="I28" s="115">
        <x:f>I27/$A$25</x:f>
        <x:v>0.16963607669636413</x:v>
      </x:c>
      <x:c r="M28" s="66"/>
    </x:row>
    <x:row r="29" spans="1:13" ht="30.949999999999999" customHeight="1">
      <x:c r="A29" s="315"/>
      <x:c r="B29" s="54" t="s">
        <x:v>21</x:v>
      </x:c>
      <x:c r="C29" s="272">
        <x:f>3200000/31</x:f>
        <x:v>103225.80645161291</x:v>
      </x:c>
      <x:c r="D29" s="272"/>
      <x:c r="E29" s="54" t="s">
        <x:v>52</x:v>
      </x:c>
      <x:c r="F29" s="258">
        <x:v>40950</x:v>
      </x:c>
      <x:c r="G29" s="258"/>
      <x:c r="H29" s="113" t="s">
        <x:v>19</x:v>
      </x:c>
      <x:c r="I29" s="114">
        <x:f>SUM('1:8'!$I$27)</x:f>
        <x:v>5935304.8387096766</x:v>
      </x:c>
      <x:c r="M29" s="66" t="s">
        <x:v>54</x:v>
      </x:c>
    </x:row>
    <x:row r="30" spans="1:13" ht="30.949999999999999" customHeight="1">
      <x:c r="A30" s="315"/>
      <x:c r="B30" s="54" t="s">
        <x:v>41</x:v>
      </x:c>
      <x:c r="C30" s="309">
        <x:f>3400000/31</x:f>
        <x:v>109677.41935483871</x:v>
      </x:c>
      <x:c r="D30" s="310"/>
      <x:c r="E30" s="55"/>
      <x:c r="F30" s="306"/>
      <x:c r="G30" s="307"/>
      <x:c r="H30" s="113" t="s">
        <x:v>110</x:v>
      </x:c>
      <x:c r="I30" s="115">
        <x:f>I29/$I$27</x:f>
        <x:v>7.3151700927742613</x:v>
      </x:c>
      <x:c r="M30" s="66"/>
    </x:row>
    <x:row r="31" spans="1:7" customHeight="1">
      <x:c r="A31" s="315"/>
      <x:c r="B31" s="54" t="s">
        <x:v>12</x:v>
      </x:c>
      <x:c r="C31" s="309">
        <x:f>3500000/31</x:f>
        <x:v>112903.22580645161</x:v>
      </x:c>
      <x:c r="D31" s="310"/>
      <x:c r="E31" s="55" t="s">
        <x:v>62</x:v>
      </x:c>
      <x:c r="F31" s="306">
        <x:v>130000</x:v>
      </x:c>
      <x:c r="G31" s="307"/>
    </x:row>
    <x:row r="32" spans="1:7" customHeight="1">
      <x:c r="A32" s="315"/>
      <x:c r="B32" s="355" t="s">
        <x:v>40</x:v>
      </x:c>
      <x:c r="C32" s="304">
        <x:v>63000</x:v>
      </x:c>
      <x:c r="D32" s="305"/>
      <x:c r="E32" s="55" t="s">
        <x:v>1</x:v>
      </x:c>
      <x:c r="F32" s="306"/>
      <x:c r="G32" s="307"/>
    </x:row>
    <x:row r="33" spans="1:4" customHeight="1">
      <x:c r="A33" s="315"/>
      <x:c r="B33" s="355" t="s">
        <x:v>149</x:v>
      </x:c>
      <x:c r="C33" s="304"/>
      <x:c r="D33" s="305"/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1"/>
  <x:dimension ref="A1:O34"/>
  <x:sheetViews>
    <x:sheetView tabSelected="1" topLeftCell="A1" zoomScale="85" zoomScaleNormal="85" zoomScaleSheetLayoutView="75" workbookViewId="0">
      <x:selection activeCell="F30" activeCellId="0" sqref="F30:G30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89</x:v>
      </x:c>
      <x:c r="D1" s="68"/>
      <x:c r="E1" s="68">
        <x:v>3</x:v>
      </x:c>
      <x:c r="F1" s="68">
        <x:v>9</x:v>
      </x:c>
      <x:c r="G1" s="68" t="s">
        <x:v>33</x:v>
      </x:c>
      <x:c r="H1" s="52" t="s">
        <x:v>103</x:v>
      </x:c>
      <x:c r="I1" s="52">
        <x:f>F1-K1</x:f>
        <x:v>9</x:v>
      </x:c>
      <x:c r="J1" s="52" t="s">
        <x:v>93</x:v>
      </x:c>
      <x:c r="K1" s="52"/>
    </x:row>
    <x:row r="2" spans="1:11" ht="20.100000000000001" customHeight="1">
      <x:c r="A2" s="267" t="s">
        <x:v>24</x:v>
      </x:c>
      <x:c r="B2" s="268"/>
      <x:c r="C2" s="271">
        <x:f>SUM(C4:D7)</x:f>
        <x:v>3832000</x:v>
      </x:c>
      <x:c r="D2" s="271"/>
      <x:c r="E2" s="274" t="s">
        <x:v>9</x:v>
      </x:c>
      <x:c r="F2" s="275"/>
      <x:c r="G2" s="263">
        <x:v>147550</x:v>
      </x:c>
      <x:c r="H2" s="261" t="s">
        <x:v>60</x:v>
      </x:c>
      <x:c r="I2" s="262"/>
      <x:c r="J2" s="259" t="s">
        <x:v>140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1" ht="30.949999999999999" customHeight="1">
      <x:c r="A4" s="265" t="s">
        <x:v>11</x:v>
      </x:c>
      <x:c r="B4" s="266"/>
      <x:c r="C4" s="258">
        <x:v>3176000</x:v>
      </x:c>
      <x:c r="D4" s="258"/>
      <x:c r="E4" s="273" t="s">
        <x:v>137</x:v>
      </x:c>
      <x:c r="F4" s="273"/>
      <x:c r="G4" s="135">
        <x:f>INT(C4*0.0275)</x:f>
        <x:v>87340</x:v>
      </x:c>
      <x:c r="H4" s="54" t="s">
        <x:v>43</x:v>
      </x:c>
      <x:c r="I4" s="126"/>
      <x:c r="J4" s="83" t="s">
        <x:v>18</x:v>
      </x:c>
      <x:c r="K4" s="58"/>
    </x:row>
    <x:row r="5" spans="1:11" ht="30.949999999999999" customHeight="1">
      <x:c r="A5" s="265" t="s">
        <x:v>50</x:v>
      </x:c>
      <x:c r="B5" s="266"/>
      <x:c r="C5" s="258">
        <x:v>656000</x:v>
      </x:c>
      <x:c r="D5" s="258"/>
      <x:c r="E5" s="257" t="s">
        <x:v>146</x:v>
      </x:c>
      <x:c r="F5" s="257"/>
      <x:c r="G5" s="135">
        <x:f>INT(C5*0.01)</x:f>
        <x:v>6560</x:v>
      </x:c>
      <x:c r="H5" s="54" t="s">
        <x:v>60</x:v>
      </x:c>
      <x:c r="I5" s="126"/>
      <x:c r="J5" s="83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>
        <x:v>680000</x:v>
      </x:c>
      <x:c r="H6" s="54"/>
      <x:c r="I6" s="126"/>
      <x:c r="J6" s="83" t="s">
        <x:v>114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6"/>
      <x:c r="J7" s="83" t="s">
        <x:v>118</x:v>
      </x:c>
      <x:c r="K7" s="58"/>
    </x:row>
    <x:row r="8" spans="1:11" ht="21.949999999999999" customHeight="1">
      <x:c r="A8" s="256" t="s">
        <x:v>108</x:v>
      </x:c>
      <x:c r="B8" s="257"/>
      <x:c r="C8" s="258">
        <x:v>123550</x:v>
      </x:c>
      <x:c r="D8" s="258"/>
      <x:c r="E8" s="284" t="s">
        <x:v>128</x:v>
      </x:c>
      <x:c r="F8" s="285"/>
      <x:c r="G8" s="290">
        <x:f>C5+G2-G6-C22</x:f>
        <x:v>123550</x:v>
      </x:c>
      <x:c r="H8" s="54" t="s">
        <x:v>16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30.949999999999999" customHeight="1">
      <x:c r="A10" s="256" t="s">
        <x:v>129</x:v>
      </x:c>
      <x:c r="B10" s="257"/>
      <x:c r="C10" s="258">
        <x:v>50000</x:v>
      </x:c>
      <x:c r="D10" s="258"/>
      <x:c r="E10" s="257" t="s">
        <x:v>69</x:v>
      </x:c>
      <x:c r="F10" s="257"/>
      <x:c r="G10" s="55"/>
      <x:c r="H10" s="54"/>
      <x:c r="I10" s="126"/>
      <x:c r="J10" s="54" t="s">
        <x:v>4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37</x:v>
      </x:c>
      <x:c r="I11" s="58"/>
      <x:c r="J11" s="54" t="s">
        <x:v>102</x:v>
      </x:c>
      <x:c r="K11" s="137">
        <x:v>14194</x:v>
      </x:c>
    </x:row>
    <x:row r="12" spans="1:13" ht="21.949999999999999" customHeight="1">
      <x:c r="A12" s="59" t="s">
        <x:v>39</x:v>
      </x:c>
      <x:c r="B12" s="294" t="s">
        <x:v>22</x:v>
      </x:c>
      <x:c r="C12" s="81">
        <x:v>18</x:v>
      </x:c>
      <x:c r="D12" s="284" t="s">
        <x:v>100</x:v>
      </x:c>
      <x:c r="E12" s="285"/>
      <x:c r="F12" s="288">
        <x:v>13</x:v>
      </x:c>
      <x:c r="G12" s="289"/>
      <x:c r="H12" s="54" t="s">
        <x:v>80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112</x:v>
      </x:c>
      <x:c r="B13" s="295"/>
      <x:c r="C13" s="136">
        <x:f>SUM('1:9'!$C$12)</x:f>
        <x:v>192</x:v>
      </x:c>
      <x:c r="D13" s="276"/>
      <x:c r="E13" s="277"/>
      <x:c r="F13" s="286">
        <x:f>SUM('1:9'!$F$12)</x:f>
        <x:v>63</x:v>
      </x:c>
      <x:c r="G13" s="287"/>
      <x:c r="H13" s="54" t="s">
        <x:v>131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39</x:v>
      </x:c>
      <x:c r="B14" s="294" t="s">
        <x:v>34</x:v>
      </x:c>
      <x:c r="C14" s="81">
        <x:v>48</x:v>
      </x:c>
      <x:c r="D14" s="284" t="s">
        <x:v>84</x:v>
      </x:c>
      <x:c r="E14" s="285"/>
      <x:c r="F14" s="288">
        <x:v>33</x:v>
      </x:c>
      <x:c r="G14" s="289"/>
      <x:c r="H14" s="54" t="s">
        <x:v>104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112</x:v>
      </x:c>
      <x:c r="B15" s="295"/>
      <x:c r="C15" s="136">
        <x:f>SUM('1:9'!$C$14)</x:f>
        <x:v>519</x:v>
      </x:c>
      <x:c r="D15" s="276"/>
      <x:c r="E15" s="277"/>
      <x:c r="F15" s="286">
        <x:f>SUM('1:9'!$F$14)</x:f>
        <x:v>237</x:v>
      </x:c>
      <x:c r="G15" s="287"/>
      <x:c r="H15" s="54" t="s">
        <x:v>87</x:v>
      </x:c>
      <x:c r="I15" s="58"/>
      <x:c r="J15" s="54" t="s">
        <x:v>140</x:v>
      </x:c>
      <x:c r="K15" s="58"/>
      <x:c r="L15" s="60"/>
      <x:c r="M15" s="11"/>
    </x:row>
    <x:row r="16" spans="1:13" ht="21.949999999999999" customHeight="1">
      <x:c r="A16" s="59" t="s">
        <x:v>39</x:v>
      </x:c>
      <x:c r="B16" s="294" t="s">
        <x:v>2</x:v>
      </x:c>
      <x:c r="C16" s="81">
        <x:v>2</x:v>
      </x:c>
      <x:c r="D16" s="284" t="s">
        <x:v>111</x:v>
      </x:c>
      <x:c r="E16" s="285"/>
      <x:c r="F16" s="282">
        <x:v>13</x:v>
      </x:c>
      <x:c r="G16" s="282"/>
      <x:c r="H16" s="54"/>
      <x:c r="I16" s="58"/>
      <x:c r="J16" s="54" t="s">
        <x:v>78</x:v>
      </x:c>
      <x:c r="K16" s="58">
        <x:v>44860</x:v>
      </x:c>
      <x:c r="L16" s="60"/>
      <x:c r="M16" s="11"/>
    </x:row>
    <x:row r="17" spans="1:13" ht="21.949999999999999" customHeight="1">
      <x:c r="A17" s="59" t="s">
        <x:v>112</x:v>
      </x:c>
      <x:c r="B17" s="295"/>
      <x:c r="C17" s="136">
        <x:f>SUM('1:9'!$C$16)</x:f>
        <x:v>58</x:v>
      </x:c>
      <x:c r="D17" s="276"/>
      <x:c r="E17" s="277"/>
      <x:c r="F17" s="283">
        <x:f>SUM('1:9'!$F$16)</x:f>
        <x:v>114</x:v>
      </x:c>
      <x:c r="G17" s="283"/>
      <x:c r="H17" s="54" t="s">
        <x:v>56</x:v>
      </x:c>
      <x:c r="I17" s="58"/>
      <x:c r="J17" s="54" t="s">
        <x:v>72</x:v>
      </x:c>
      <x:c r="K17" s="58"/>
      <x:c r="L17" s="60"/>
      <x:c r="M17" s="11"/>
    </x:row>
    <x:row r="18" spans="1:13" ht="21.949999999999999" customHeight="1">
      <x:c r="A18" s="59" t="s">
        <x:v>39</x:v>
      </x:c>
      <x:c r="B18" s="294" t="s">
        <x:v>120</x:v>
      </x:c>
      <x:c r="C18" s="81">
        <x:v>39</x:v>
      </x:c>
      <x:c r="D18" s="284" t="s">
        <x:v>122</x:v>
      </x:c>
      <x:c r="E18" s="285"/>
      <x:c r="F18" s="292">
        <x:v>7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112</x:v>
      </x:c>
      <x:c r="B19" s="295"/>
      <x:c r="C19" s="136">
        <x:f>SUM('1:9'!$C$18)</x:f>
        <x:v>310</x:v>
      </x:c>
      <x:c r="D19" s="276"/>
      <x:c r="E19" s="277"/>
      <x:c r="F19" s="283">
        <x:f>SUM('1:9'!$F$18)</x:f>
        <x:v>107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95</x:v>
      </x:c>
      <x:c r="E20" s="257"/>
      <x:c r="F20" s="282">
        <x:v>57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132</x:v>
      </x:c>
      <x:c r="E21" s="257"/>
      <x:c r="F21" s="283">
        <x:f>SUM('1:9'!$F$20)</x:f>
        <x:v>538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77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121</x:v>
      </x:c>
      <x:c r="B23" s="257"/>
      <x:c r="C23" s="312"/>
      <x:c r="D23" s="313"/>
      <x:c r="E23" s="313"/>
      <x:c r="F23" s="313"/>
      <x:c r="G23" s="313"/>
      <x:c r="H23" s="109" t="s">
        <x:v>127</x:v>
      </x:c>
      <x:c r="I23" s="110">
        <x:f>SUM(I4:I22)</x:f>
        <x:v>0</x:v>
      </x:c>
      <x:c r="J23" s="61" t="s">
        <x:v>99</x:v>
      </x:c>
      <x:c r="K23" s="62">
        <x:f>SUM(K4:K22)</x:f>
        <x:v>59054</x:v>
      </x:c>
      <x:c r="M23" s="90" t="s">
        <x:v>107</x:v>
      </x:c>
      <x:c r="N23" s="279">
        <x:f>C5+C6</x:f>
        <x:v>656000</x:v>
      </x:c>
      <x:c r="O23" s="280"/>
    </x:row>
    <x:row r="24" spans="1:11" ht="34.149999999999999" customHeight="1">
      <x:c r="A24" s="256" t="s">
        <x:v>59</x:v>
      </x:c>
      <x:c r="B24" s="257"/>
      <x:c r="C24" s="257" t="s">
        <x:v>91</x:v>
      </x:c>
      <x:c r="D24" s="257"/>
      <x:c r="E24" s="257" t="s">
        <x:v>135</x:v>
      </x:c>
      <x:c r="F24" s="257"/>
      <x:c r="G24" s="257"/>
      <x:c r="H24" s="109" t="s">
        <x:v>59</x:v>
      </x:c>
      <x:c r="I24" s="111">
        <x:f>I23/A25</x:f>
        <x:v>0</x:v>
      </x:c>
      <x:c r="J24" s="61" t="s">
        <x:v>59</x:v>
      </x:c>
      <x:c r="K24" s="63">
        <x:f>K23/A25</x:f>
        <x:v>0.015410751565762004</x:v>
      </x:c>
    </x:row>
    <x:row r="25" spans="1:11" ht="34.149999999999999" customHeight="1">
      <x:c r="A25" s="308">
        <x:f>C2</x:f>
        <x:v>3832000</x:v>
      </x:c>
      <x:c r="B25" s="272"/>
      <x:c r="C25" s="272">
        <x:f>E25/I1</x:f>
        <x:v>4287500</x:v>
      </x:c>
      <x:c r="D25" s="272"/>
      <x:c r="E25" s="272">
        <x:f>SUM('1:9'!$A$25)</x:f>
        <x:v>38587500</x:v>
      </x:c>
      <x:c r="F25" s="272"/>
      <x:c r="G25" s="272"/>
      <x:c r="H25" s="109" t="s">
        <x:v>19</x:v>
      </x:c>
      <x:c r="I25" s="110">
        <x:f>SUM('1:9'!$I$23)</x:f>
        <x:v>12776871</x:v>
      </x:c>
      <x:c r="J25" s="61" t="s">
        <x:v>19</x:v>
      </x:c>
      <x:c r="K25" s="62">
        <x:f>SUM('1:9'!$K$23)</x:f>
        <x:v>672118</x:v>
      </x:c>
    </x:row>
    <x:row r="26" spans="1:11" ht="34.149999999999999" customHeight="1">
      <x:c r="A26" s="256" t="s">
        <x:v>71</x:v>
      </x:c>
      <x:c r="B26" s="257"/>
      <x:c r="C26" s="257"/>
      <x:c r="D26" s="257"/>
      <x:c r="E26" s="258"/>
      <x:c r="F26" s="258"/>
      <x:c r="G26" s="258"/>
      <x:c r="H26" s="109" t="s">
        <x:v>110</x:v>
      </x:c>
      <x:c r="I26" s="112">
        <x:f>I25/$E$25</x:f>
        <x:v>0.3311142468415938</x:v>
      </x:c>
      <x:c r="J26" s="64" t="s">
        <x:v>110</x:v>
      </x:c>
      <x:c r="K26" s="65">
        <x:f>K25/$E$25</x:f>
        <x:v>0.017418023971493359</x:v>
      </x:c>
    </x:row>
    <x:row r="27" spans="1:13" ht="30.949999999999999" customHeight="1">
      <x:c r="A27" s="314" t="s">
        <x:v>68</x:v>
      </x:c>
      <x:c r="B27" s="54" t="s">
        <x:v>44</x:v>
      </x:c>
      <x:c r="C27" s="272">
        <x:f>4000000/31</x:f>
        <x:v>129032.25806451614</x:v>
      </x:c>
      <x:c r="D27" s="272"/>
      <x:c r="E27" s="55" t="s">
        <x:v>52</x:v>
      </x:c>
      <x:c r="F27" s="258"/>
      <x:c r="G27" s="258"/>
      <x:c r="H27" s="113" t="s">
        <x:v>85</x:v>
      </x:c>
      <x:c r="I27" s="114">
        <x:f>SUM(C27:D34,F27:G32)</x:f>
        <x:v>792669.3548387097</x:v>
      </x:c>
      <x:c r="M27" s="66"/>
    </x:row>
    <x:row r="28" spans="1:13" ht="30.949999999999999" customHeight="1">
      <x:c r="A28" s="315"/>
      <x:c r="B28" s="54" t="s">
        <x:v>29</x:v>
      </x:c>
      <x:c r="C28" s="272">
        <x:f>3800000/31</x:f>
        <x:v>122580.64516129032</x:v>
      </x:c>
      <x:c r="D28" s="272"/>
      <x:c r="E28" s="55" t="s">
        <x:v>52</x:v>
      </x:c>
      <x:c r="F28" s="311"/>
      <x:c r="G28" s="311"/>
      <x:c r="H28" s="113" t="s">
        <x:v>59</x:v>
      </x:c>
      <x:c r="I28" s="115">
        <x:f>I27/$A$25</x:f>
        <x:v>0.20685525961344198</x:v>
      </x:c>
      <x:c r="M28" s="66"/>
    </x:row>
    <x:row r="29" spans="1:13" ht="30.949999999999999" customHeight="1">
      <x:c r="A29" s="315"/>
      <x:c r="B29" s="54" t="s">
        <x:v>21</x:v>
      </x:c>
      <x:c r="C29" s="272">
        <x:f>3200000/31</x:f>
        <x:v>103225.80645161291</x:v>
      </x:c>
      <x:c r="D29" s="272"/>
      <x:c r="E29" s="54" t="s">
        <x:v>52</x:v>
      </x:c>
      <x:c r="F29" s="258">
        <x:v>29250</x:v>
      </x:c>
      <x:c r="G29" s="258"/>
      <x:c r="H29" s="113" t="s">
        <x:v>19</x:v>
      </x:c>
      <x:c r="I29" s="114">
        <x:f>SUM('1:9'!$I$27)</x:f>
        <x:v>6727974.193548386</x:v>
      </x:c>
      <x:c r="M29" s="66"/>
    </x:row>
    <x:row r="30" spans="1:13" ht="30.949999999999999" customHeight="1">
      <x:c r="A30" s="315"/>
      <x:c r="B30" s="54" t="s">
        <x:v>41</x:v>
      </x:c>
      <x:c r="C30" s="272">
        <x:f>3400000/31</x:f>
        <x:v>109677.41935483871</x:v>
      </x:c>
      <x:c r="D30" s="272"/>
      <x:c r="E30" s="55"/>
      <x:c r="F30" s="306"/>
      <x:c r="G30" s="307"/>
      <x:c r="H30" s="113" t="s">
        <x:v>110</x:v>
      </x:c>
      <x:c r="I30" s="115">
        <x:f>I29/$I$27</x:f>
        <x:v>8.4877435370481518</x:v>
      </x:c>
      <x:c r="M30" s="66"/>
    </x:row>
    <x:row r="31" spans="1:7" customHeight="1">
      <x:c r="A31" s="315"/>
      <x:c r="B31" s="54" t="s">
        <x:v>12</x:v>
      </x:c>
      <x:c r="C31" s="309">
        <x:f>3500000/31</x:f>
        <x:v>112903.22580645161</x:v>
      </x:c>
      <x:c r="D31" s="310"/>
      <x:c r="E31" s="55" t="s">
        <x:v>62</x:v>
      </x:c>
      <x:c r="F31" s="306">
        <x:v>130000</x:v>
      </x:c>
      <x:c r="G31" s="307"/>
    </x:row>
    <x:row r="32" spans="1:7" customHeight="1">
      <x:c r="A32" s="315"/>
      <x:c r="B32" s="355" t="s">
        <x:v>40</x:v>
      </x:c>
      <x:c r="C32" s="304">
        <x:v>56000</x:v>
      </x:c>
      <x:c r="D32" s="305"/>
      <x:c r="E32" s="55" t="s">
        <x:v>1</x:v>
      </x:c>
      <x:c r="F32" s="306"/>
      <x:c r="G32" s="307"/>
    </x:row>
    <x:row r="33" spans="1:4" customHeight="1">
      <x:c r="A33" s="315"/>
      <x:c r="B33" s="355" t="s">
        <x:v>149</x:v>
      </x:c>
      <x:c r="C33" s="304"/>
      <x:c r="D33" s="305"/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2"/>
  <x:dimension ref="A1:O34"/>
  <x:sheetViews>
    <x:sheetView topLeftCell="A22" zoomScale="85" zoomScaleNormal="85" zoomScaleSheetLayoutView="75" workbookViewId="0">
      <x:selection activeCell="E27" activeCellId="0" sqref="E27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9.375" style="53" bestFit="1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89</x:v>
      </x:c>
      <x:c r="D1" s="68"/>
      <x:c r="E1" s="68">
        <x:v>3</x:v>
      </x:c>
      <x:c r="F1" s="68">
        <x:v>10</x:v>
      </x:c>
      <x:c r="G1" s="68" t="s">
        <x:v>3</x:v>
      </x:c>
      <x:c r="H1" s="52" t="s">
        <x:v>103</x:v>
      </x:c>
      <x:c r="I1" s="52">
        <x:f>F1-K1</x:f>
        <x:v>10</x:v>
      </x:c>
      <x:c r="J1" s="52" t="s">
        <x:v>93</x:v>
      </x:c>
      <x:c r="K1" s="52"/>
    </x:row>
    <x:row r="2" spans="1:11" ht="20.100000000000001" customHeight="1">
      <x:c r="A2" s="267" t="s">
        <x:v>24</x:v>
      </x:c>
      <x:c r="B2" s="268"/>
      <x:c r="C2" s="271">
        <x:f>SUM(C4:D7)</x:f>
        <x:v>3205000</x:v>
      </x:c>
      <x:c r="D2" s="271"/>
      <x:c r="E2" s="274" t="s">
        <x:v>9</x:v>
      </x:c>
      <x:c r="F2" s="275"/>
      <x:c r="G2" s="263">
        <x:v>123550</x:v>
      </x:c>
      <x:c r="H2" s="261" t="s">
        <x:v>60</x:v>
      </x:c>
      <x:c r="I2" s="262"/>
      <x:c r="J2" s="259" t="s">
        <x:v>140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1" ht="30.949999999999999" customHeight="1">
      <x:c r="A4" s="265" t="s">
        <x:v>11</x:v>
      </x:c>
      <x:c r="B4" s="266"/>
      <x:c r="C4" s="258">
        <x:v>2807244</x:v>
      </x:c>
      <x:c r="D4" s="258"/>
      <x:c r="E4" s="273" t="s">
        <x:v>137</x:v>
      </x:c>
      <x:c r="F4" s="273"/>
      <x:c r="G4" s="135">
        <x:f>INT(C4*0.0275)</x:f>
        <x:v>77199</x:v>
      </x:c>
      <x:c r="H4" s="54" t="s">
        <x:v>43</x:v>
      </x:c>
      <x:c r="I4" s="126">
        <x:v>424010</x:v>
      </x:c>
      <x:c r="J4" s="83" t="s">
        <x:v>18</x:v>
      </x:c>
      <x:c r="K4" s="58"/>
    </x:row>
    <x:row r="5" spans="1:11" ht="30.949999999999999" customHeight="1">
      <x:c r="A5" s="265" t="s">
        <x:v>50</x:v>
      </x:c>
      <x:c r="B5" s="266"/>
      <x:c r="C5" s="258">
        <x:v>397756</x:v>
      </x:c>
      <x:c r="D5" s="258"/>
      <x:c r="E5" s="257" t="s">
        <x:v>146</x:v>
      </x:c>
      <x:c r="F5" s="257"/>
      <x:c r="G5" s="135">
        <x:f>INT(C5*0.01)</x:f>
        <x:v>3977</x:v>
      </x:c>
      <x:c r="H5" s="54" t="s">
        <x:v>60</x:v>
      </x:c>
      <x:c r="I5" s="126">
        <x:v>426708</x:v>
      </x:c>
      <x:c r="J5" s="83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>
        <x:v>460000</x:v>
      </x:c>
      <x:c r="H6" s="54"/>
      <x:c r="I6" s="126"/>
      <x:c r="J6" s="83" t="s">
        <x:v>114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6">
        <x:v>276600</x:v>
      </x:c>
      <x:c r="J7" s="83" t="s">
        <x:v>118</x:v>
      </x:c>
      <x:c r="K7" s="58"/>
    </x:row>
    <x:row r="8" spans="1:11" ht="21.949999999999999" customHeight="1">
      <x:c r="A8" s="256" t="s">
        <x:v>108</x:v>
      </x:c>
      <x:c r="B8" s="257"/>
      <x:c r="C8" s="258">
        <x:v>61350</x:v>
      </x:c>
      <x:c r="D8" s="258"/>
      <x:c r="E8" s="284" t="s">
        <x:v>128</x:v>
      </x:c>
      <x:c r="F8" s="285"/>
      <x:c r="G8" s="290">
        <x:f>C5+G2-G6-C22</x:f>
        <x:v>61306</x:v>
      </x:c>
      <x:c r="H8" s="54" t="s">
        <x:v>16</x:v>
      </x:c>
      <x:c r="I8" s="126">
        <x:v>56000</x:v>
      </x:c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30.949999999999999" customHeight="1">
      <x:c r="A10" s="256" t="s">
        <x:v>129</x:v>
      </x:c>
      <x:c r="B10" s="257"/>
      <x:c r="C10" s="258">
        <x:v>214000</x:v>
      </x:c>
      <x:c r="D10" s="258"/>
      <x:c r="E10" s="257" t="s">
        <x:v>69</x:v>
      </x:c>
      <x:c r="F10" s="257"/>
      <x:c r="G10" s="55"/>
      <x:c r="H10" s="54"/>
      <x:c r="I10" s="126"/>
      <x:c r="J10" s="54" t="s">
        <x:v>4</x:v>
      </x:c>
      <x:c r="K10" s="58">
        <x:v>13000</x:v>
      </x:c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37</x:v>
      </x:c>
      <x:c r="I11" s="58"/>
      <x:c r="J11" s="54" t="s">
        <x:v>102</x:v>
      </x:c>
      <x:c r="K11" s="137">
        <x:v>14194</x:v>
      </x:c>
    </x:row>
    <x:row r="12" spans="1:13" ht="21.949999999999999" customHeight="1">
      <x:c r="A12" s="59" t="s">
        <x:v>39</x:v>
      </x:c>
      <x:c r="B12" s="294" t="s">
        <x:v>22</x:v>
      </x:c>
      <x:c r="C12" s="81">
        <x:v>4</x:v>
      </x:c>
      <x:c r="D12" s="284" t="s">
        <x:v>100</x:v>
      </x:c>
      <x:c r="E12" s="285"/>
      <x:c r="F12" s="288">
        <x:v>8</x:v>
      </x:c>
      <x:c r="G12" s="289"/>
      <x:c r="H12" s="54" t="s">
        <x:v>80</x:v>
      </x:c>
      <x:c r="J12" s="54"/>
      <x:c r="K12" s="58"/>
      <x:c r="L12" s="60"/>
      <x:c r="M12" s="11"/>
    </x:row>
    <x:row r="13" spans="1:13" ht="21.949999999999999" customHeight="1">
      <x:c r="A13" s="59" t="s">
        <x:v>112</x:v>
      </x:c>
      <x:c r="B13" s="295"/>
      <x:c r="C13" s="136">
        <x:f>SUM('1:10'!$C$12)</x:f>
        <x:v>196</x:v>
      </x:c>
      <x:c r="D13" s="276"/>
      <x:c r="E13" s="277"/>
      <x:c r="F13" s="286">
        <x:f>SUM('1:10'!$F$12)</x:f>
        <x:v>71</x:v>
      </x:c>
      <x:c r="G13" s="287"/>
      <x:c r="H13" s="54" t="s">
        <x:v>131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39</x:v>
      </x:c>
      <x:c r="B14" s="294" t="s">
        <x:v>34</x:v>
      </x:c>
      <x:c r="C14" s="81">
        <x:v>34</x:v>
      </x:c>
      <x:c r="D14" s="284" t="s">
        <x:v>84</x:v>
      </x:c>
      <x:c r="E14" s="285"/>
      <x:c r="F14" s="288">
        <x:v>12</x:v>
      </x:c>
      <x:c r="G14" s="289"/>
      <x:c r="H14" s="54" t="s">
        <x:v>104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112</x:v>
      </x:c>
      <x:c r="B15" s="295"/>
      <x:c r="C15" s="136">
        <x:f>SUM('1:10'!$C$14)</x:f>
        <x:v>553</x:v>
      </x:c>
      <x:c r="D15" s="276"/>
      <x:c r="E15" s="277"/>
      <x:c r="F15" s="286">
        <x:f>SUM('1:10'!$F$14)</x:f>
        <x:v>249</x:v>
      </x:c>
      <x:c r="G15" s="287"/>
      <x:c r="H15" s="54" t="s">
        <x:v>87</x:v>
      </x:c>
      <x:c r="I15" s="58">
        <x:v>188400</x:v>
      </x:c>
      <x:c r="J15" s="54" t="s">
        <x:v>140</x:v>
      </x:c>
      <x:c r="K15" s="58"/>
      <x:c r="L15" s="60"/>
      <x:c r="M15" s="11"/>
    </x:row>
    <x:row r="16" spans="1:13" ht="21.949999999999999" customHeight="1">
      <x:c r="A16" s="59" t="s">
        <x:v>39</x:v>
      </x:c>
      <x:c r="B16" s="294" t="s">
        <x:v>2</x:v>
      </x:c>
      <x:c r="C16" s="81">
        <x:v>4</x:v>
      </x:c>
      <x:c r="D16" s="284" t="s">
        <x:v>111</x:v>
      </x:c>
      <x:c r="E16" s="285"/>
      <x:c r="F16" s="282">
        <x:v>8</x:v>
      </x:c>
      <x:c r="G16" s="282"/>
      <x:c r="H16" s="54"/>
      <x:c r="I16" s="58"/>
      <x:c r="J16" s="54" t="s">
        <x:v>78</x:v>
      </x:c>
      <x:c r="K16" s="58">
        <x:v>381140</x:v>
      </x:c>
      <x:c r="L16" s="60"/>
      <x:c r="M16" s="11"/>
    </x:row>
    <x:row r="17" spans="1:13" ht="21.949999999999999" customHeight="1">
      <x:c r="A17" s="59" t="s">
        <x:v>112</x:v>
      </x:c>
      <x:c r="B17" s="295"/>
      <x:c r="C17" s="136">
        <x:f>SUM('1:10'!$C$16)</x:f>
        <x:v>62</x:v>
      </x:c>
      <x:c r="D17" s="276"/>
      <x:c r="E17" s="277"/>
      <x:c r="F17" s="283">
        <x:f>F19</x:f>
        <x:v>122</x:v>
      </x:c>
      <x:c r="G17" s="283"/>
      <x:c r="H17" s="54" t="s">
        <x:v>56</x:v>
      </x:c>
      <x:c r="I17" s="58"/>
      <x:c r="J17" s="54" t="s">
        <x:v>72</x:v>
      </x:c>
      <x:c r="K17" s="58"/>
      <x:c r="L17" s="60"/>
      <x:c r="M17" s="11"/>
    </x:row>
    <x:row r="18" spans="1:13" ht="21.949999999999999" customHeight="1">
      <x:c r="A18" s="59" t="s">
        <x:v>39</x:v>
      </x:c>
      <x:c r="B18" s="294" t="s">
        <x:v>120</x:v>
      </x:c>
      <x:c r="C18" s="81">
        <x:v>26</x:v>
      </x:c>
      <x:c r="D18" s="284" t="s">
        <x:v>122</x:v>
      </x:c>
      <x:c r="E18" s="285"/>
      <x:c r="F18" s="292">
        <x:v>15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112</x:v>
      </x:c>
      <x:c r="B19" s="295"/>
      <x:c r="C19" s="136">
        <x:f>SUM('1:10'!$C$18)</x:f>
        <x:v>336</x:v>
      </x:c>
      <x:c r="D19" s="276"/>
      <x:c r="E19" s="277"/>
      <x:c r="F19" s="283">
        <x:f>SUM('1:10'!$F$18)</x:f>
        <x:v>122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95</x:v>
      </x:c>
      <x:c r="E20" s="257"/>
      <x:c r="F20" s="282">
        <x:v>53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132</x:v>
      </x:c>
      <x:c r="E21" s="257"/>
      <x:c r="F21" s="283">
        <x:f>SUM('1:10'!$F$20)</x:f>
        <x:v>591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77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121</x:v>
      </x:c>
      <x:c r="B23" s="257"/>
      <x:c r="C23" s="312"/>
      <x:c r="D23" s="313"/>
      <x:c r="E23" s="313"/>
      <x:c r="F23" s="313"/>
      <x:c r="G23" s="313"/>
      <x:c r="H23" s="109" t="s">
        <x:v>127</x:v>
      </x:c>
      <x:c r="I23" s="110">
        <x:f>SUM(I4:I22)</x:f>
        <x:v>1371718</x:v>
      </x:c>
      <x:c r="J23" s="61" t="s">
        <x:v>99</x:v>
      </x:c>
      <x:c r="K23" s="62">
        <x:f>SUM(K4:K22)</x:f>
        <x:v>408334</x:v>
      </x:c>
      <x:c r="M23" s="90" t="s">
        <x:v>107</x:v>
      </x:c>
      <x:c r="N23" s="279">
        <x:f>C5+C6</x:f>
        <x:v>397756</x:v>
      </x:c>
      <x:c r="O23" s="280"/>
    </x:row>
    <x:row r="24" spans="1:11" ht="34.149999999999999" customHeight="1">
      <x:c r="A24" s="256" t="s">
        <x:v>59</x:v>
      </x:c>
      <x:c r="B24" s="257"/>
      <x:c r="C24" s="257" t="s">
        <x:v>91</x:v>
      </x:c>
      <x:c r="D24" s="257"/>
      <x:c r="E24" s="257" t="s">
        <x:v>135</x:v>
      </x:c>
      <x:c r="F24" s="257"/>
      <x:c r="G24" s="257"/>
      <x:c r="H24" s="109" t="s">
        <x:v>59</x:v>
      </x:c>
      <x:c r="I24" s="111">
        <x:f>I23/A25</x:f>
        <x:v>0.42799313572542902</x:v>
      </x:c>
      <x:c r="J24" s="61" t="s">
        <x:v>59</x:v>
      </x:c>
      <x:c r="K24" s="63">
        <x:f>K23/A25</x:f>
        <x:v>0.12740530421216847</x:v>
      </x:c>
    </x:row>
    <x:row r="25" spans="1:11" ht="34.149999999999999" customHeight="1">
      <x:c r="A25" s="308">
        <x:f>C2</x:f>
        <x:v>3205000</x:v>
      </x:c>
      <x:c r="B25" s="272"/>
      <x:c r="C25" s="272">
        <x:f>E25/I1</x:f>
        <x:v>4179250</x:v>
      </x:c>
      <x:c r="D25" s="272"/>
      <x:c r="E25" s="272">
        <x:f>SUM('1:10'!$A$25)</x:f>
        <x:v>41792500</x:v>
      </x:c>
      <x:c r="F25" s="272"/>
      <x:c r="G25" s="272"/>
      <x:c r="H25" s="109" t="s">
        <x:v>19</x:v>
      </x:c>
      <x:c r="I25" s="110">
        <x:f>SUM('1:10'!$I$21)</x:f>
        <x:v>0</x:v>
      </x:c>
      <x:c r="J25" s="61" t="s">
        <x:v>19</x:v>
      </x:c>
      <x:c r="K25" s="62">
        <x:f>SUM('1:10'!$K$21)</x:f>
        <x:v>0</x:v>
      </x:c>
    </x:row>
    <x:row r="26" spans="1:11" ht="34.149999999999999" customHeight="1">
      <x:c r="A26" s="256" t="s">
        <x:v>71</x:v>
      </x:c>
      <x:c r="B26" s="257"/>
      <x:c r="C26" s="257"/>
      <x:c r="D26" s="257"/>
      <x:c r="E26" s="258"/>
      <x:c r="F26" s="258"/>
      <x:c r="G26" s="258"/>
      <x:c r="H26" s="109" t="s">
        <x:v>110</x:v>
      </x:c>
      <x:c r="I26" s="112">
        <x:f>I25/$E$25</x:f>
        <x:v>0</x:v>
      </x:c>
      <x:c r="J26" s="64" t="s">
        <x:v>110</x:v>
      </x:c>
      <x:c r="K26" s="65">
        <x:f>K25/$E$25</x:f>
        <x:v>0</x:v>
      </x:c>
    </x:row>
    <x:row r="27" spans="1:13" ht="30.949999999999999" customHeight="1">
      <x:c r="A27" s="314" t="s">
        <x:v>68</x:v>
      </x:c>
      <x:c r="B27" s="54" t="s">
        <x:v>44</x:v>
      </x:c>
      <x:c r="C27" s="272">
        <x:f>4000000/31</x:f>
        <x:v>129032.25806451614</x:v>
      </x:c>
      <x:c r="D27" s="272"/>
      <x:c r="E27" s="55" t="s">
        <x:v>52</x:v>
      </x:c>
      <x:c r="F27" s="258"/>
      <x:c r="G27" s="258"/>
      <x:c r="H27" s="113" t="s">
        <x:v>85</x:v>
      </x:c>
      <x:c r="I27" s="114">
        <x:f>SUM(C27:D34,F27:G32)</x:f>
        <x:v>749419.3548387097</x:v>
      </x:c>
      <x:c r="M27" s="66"/>
    </x:row>
    <x:row r="28" spans="1:13" ht="30.949999999999999" customHeight="1">
      <x:c r="A28" s="315"/>
      <x:c r="B28" s="54" t="s">
        <x:v>29</x:v>
      </x:c>
      <x:c r="C28" s="272">
        <x:f>3800000/31</x:f>
        <x:v>122580.64516129032</x:v>
      </x:c>
      <x:c r="D28" s="272"/>
      <x:c r="E28" s="55" t="s">
        <x:v>52</x:v>
      </x:c>
      <x:c r="F28" s="311">
        <x:v>52000</x:v>
      </x:c>
      <x:c r="G28" s="311"/>
      <x:c r="H28" s="113" t="s">
        <x:v>59</x:v>
      </x:c>
      <x:c r="I28" s="115">
        <x:f>I27/$A$25</x:f>
        <x:v>0.23382819183735093</x:v>
      </x:c>
      <x:c r="M28" s="66"/>
    </x:row>
    <x:row r="29" spans="1:13" ht="30.949999999999999" customHeight="1">
      <x:c r="A29" s="315"/>
      <x:c r="B29" s="54" t="s">
        <x:v>21</x:v>
      </x:c>
      <x:c r="C29" s="272">
        <x:f>3200000/31</x:f>
        <x:v>103225.80645161291</x:v>
      </x:c>
      <x:c r="D29" s="272"/>
      <x:c r="E29" s="54" t="s">
        <x:v>52</x:v>
      </x:c>
      <x:c r="F29" s="258"/>
      <x:c r="G29" s="258"/>
      <x:c r="H29" s="113" t="s">
        <x:v>19</x:v>
      </x:c>
      <x:c r="I29" s="114">
        <x:f>SUM('1:10'!$I$25)</x:f>
        <x:v>71148041</x:v>
      </x:c>
      <x:c r="M29" s="66"/>
    </x:row>
    <x:row r="30" spans="1:13" ht="30.949999999999999" customHeight="1">
      <x:c r="A30" s="315"/>
      <x:c r="B30" s="54" t="s">
        <x:v>41</x:v>
      </x:c>
      <x:c r="C30" s="272">
        <x:f>3400000/31</x:f>
        <x:v>109677.41935483871</x:v>
      </x:c>
      <x:c r="D30" s="272"/>
      <x:c r="E30" s="55"/>
      <x:c r="F30" s="306"/>
      <x:c r="G30" s="307"/>
      <x:c r="H30" s="113" t="s">
        <x:v>110</x:v>
      </x:c>
      <x:c r="I30" s="115">
        <x:f>I29/$I$27</x:f>
        <x:v>94.937554709022038</x:v>
      </x:c>
      <x:c r="M30" s="66"/>
    </x:row>
    <x:row r="31" spans="1:7" customHeight="1">
      <x:c r="A31" s="315"/>
      <x:c r="B31" s="54" t="s">
        <x:v>12</x:v>
      </x:c>
      <x:c r="C31" s="309">
        <x:f>3500000/31</x:f>
        <x:v>112903.22580645161</x:v>
      </x:c>
      <x:c r="D31" s="310"/>
      <x:c r="E31" s="55" t="s">
        <x:v>62</x:v>
      </x:c>
      <x:c r="F31" s="306">
        <x:v>120000</x:v>
      </x:c>
      <x:c r="G31" s="307"/>
    </x:row>
    <x:row r="32" spans="1:7" customHeight="1">
      <x:c r="A32" s="315"/>
      <x:c r="B32" s="355" t="s">
        <x:v>40</x:v>
      </x:c>
      <x:c r="C32" s="304"/>
      <x:c r="D32" s="305"/>
      <x:c r="E32" s="55" t="s">
        <x:v>1</x:v>
      </x:c>
      <x:c r="F32" s="306"/>
      <x:c r="G32" s="307"/>
    </x:row>
    <x:row r="33" spans="1:4" customHeight="1">
      <x:c r="A33" s="315"/>
      <x:c r="B33" s="355" t="s">
        <x:v>149</x:v>
      </x:c>
      <x:c r="C33" s="304"/>
      <x:c r="D33" s="305"/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3"/>
  <x:dimension ref="A1:P34"/>
  <x:sheetViews>
    <x:sheetView topLeftCell="A10" zoomScale="85" zoomScaleNormal="85" zoomScaleSheetLayoutView="75" workbookViewId="0">
      <x:selection activeCell="E27" activeCellId="0" sqref="E27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89</x:v>
      </x:c>
      <x:c r="D1" s="68"/>
      <x:c r="E1" s="68">
        <x:v>3</x:v>
      </x:c>
      <x:c r="F1" s="68">
        <x:v>11</x:v>
      </x:c>
      <x:c r="G1" s="68" t="s">
        <x:v>48</x:v>
      </x:c>
      <x:c r="H1" s="52" t="s">
        <x:v>103</x:v>
      </x:c>
      <x:c r="I1" s="52">
        <x:f>F1-K1</x:f>
        <x:v>11</x:v>
      </x:c>
      <x:c r="J1" s="52" t="s">
        <x:v>93</x:v>
      </x:c>
      <x:c r="K1" s="52"/>
    </x:row>
    <x:row r="2" spans="1:11" ht="20.100000000000001" customHeight="1">
      <x:c r="A2" s="267" t="s">
        <x:v>24</x:v>
      </x:c>
      <x:c r="B2" s="268"/>
      <x:c r="C2" s="271">
        <x:f>SUM(C4:D7)</x:f>
        <x:v>4533500</x:v>
      </x:c>
      <x:c r="D2" s="271"/>
      <x:c r="E2" s="274" t="s">
        <x:v>9</x:v>
      </x:c>
      <x:c r="F2" s="275"/>
      <x:c r="G2" s="263">
        <x:v>61350</x:v>
      </x:c>
      <x:c r="H2" s="261" t="s">
        <x:v>60</x:v>
      </x:c>
      <x:c r="I2" s="262"/>
      <x:c r="J2" s="259" t="s">
        <x:v>140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1" ht="30.949999999999999" customHeight="1">
      <x:c r="A4" s="265" t="s">
        <x:v>11</x:v>
      </x:c>
      <x:c r="B4" s="266"/>
      <x:c r="C4" s="258">
        <x:v>3728000</x:v>
      </x:c>
      <x:c r="D4" s="258"/>
      <x:c r="E4" s="273" t="s">
        <x:v>137</x:v>
      </x:c>
      <x:c r="F4" s="273"/>
      <x:c r="G4" s="135">
        <x:f>INT(C4*0.0275)</x:f>
        <x:v>102520</x:v>
      </x:c>
      <x:c r="H4" s="54" t="s">
        <x:v>43</x:v>
      </x:c>
      <x:c r="I4" s="126">
        <x:v>2185032</x:v>
      </x:c>
      <x:c r="J4" s="83" t="s">
        <x:v>18</x:v>
      </x:c>
      <x:c r="K4" s="58"/>
    </x:row>
    <x:row r="5" spans="1:11" ht="30.949999999999999" customHeight="1">
      <x:c r="A5" s="265" t="s">
        <x:v>50</x:v>
      </x:c>
      <x:c r="B5" s="266"/>
      <x:c r="C5" s="258">
        <x:v>805500</x:v>
      </x:c>
      <x:c r="D5" s="258"/>
      <x:c r="E5" s="257" t="s">
        <x:v>146</x:v>
      </x:c>
      <x:c r="F5" s="257"/>
      <x:c r="G5" s="135">
        <x:f>INT(C5*0.01)</x:f>
        <x:v>8055</x:v>
      </x:c>
      <x:c r="H5" s="54" t="s">
        <x:v>60</x:v>
      </x:c>
      <x:c r="I5" s="126">
        <x:v>213282</x:v>
      </x:c>
      <x:c r="J5" s="83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>
        <x:v>780000</x:v>
      </x:c>
      <x:c r="H6" s="54"/>
      <x:c r="I6" s="126"/>
      <x:c r="J6" s="83" t="s">
        <x:v>114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6">
        <x:v>109600</x:v>
      </x:c>
      <x:c r="J7" s="83" t="s">
        <x:v>118</x:v>
      </x:c>
      <x:c r="K7" s="58"/>
    </x:row>
    <x:row r="8" spans="1:11" ht="21.949999999999999" customHeight="1">
      <x:c r="A8" s="256" t="s">
        <x:v>108</x:v>
      </x:c>
      <x:c r="B8" s="257"/>
      <x:c r="C8" s="258">
        <x:v>87350</x:v>
      </x:c>
      <x:c r="D8" s="258"/>
      <x:c r="E8" s="284" t="s">
        <x:v>128</x:v>
      </x:c>
      <x:c r="F8" s="285"/>
      <x:c r="G8" s="290">
        <x:f>C5+G2-G6-C22</x:f>
        <x:v>86850</x:v>
      </x:c>
      <x:c r="H8" s="54" t="s">
        <x:v>16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30.949999999999999" customHeight="1">
      <x:c r="A10" s="256" t="s">
        <x:v>129</x:v>
      </x:c>
      <x:c r="B10" s="257"/>
      <x:c r="C10" s="258">
        <x:v>46000</x:v>
      </x:c>
      <x:c r="D10" s="258"/>
      <x:c r="E10" s="257" t="s">
        <x:v>69</x:v>
      </x:c>
      <x:c r="F10" s="257"/>
      <x:c r="G10" s="55"/>
      <x:c r="H10" s="54"/>
      <x:c r="I10" s="126"/>
      <x:c r="J10" s="54" t="s">
        <x:v>4</x:v>
      </x:c>
      <x:c r="K10" s="58"/>
    </x:row>
    <x:row r="11" spans="1:16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37</x:v>
      </x:c>
      <x:c r="I11" s="58"/>
      <x:c r="J11" s="54" t="s">
        <x:v>102</x:v>
      </x:c>
      <x:c r="K11" s="137">
        <x:v>14194</x:v>
      </x:c>
      <x:c r="M11" s="52"/>
      <x:c r="N11" s="52"/>
      <x:c r="O11" s="52"/>
      <x:c r="P11" s="52"/>
    </x:row>
    <x:row r="12" spans="1:12" ht="21.949999999999999" customHeight="1">
      <x:c r="A12" s="59" t="s">
        <x:v>39</x:v>
      </x:c>
      <x:c r="B12" s="294" t="s">
        <x:v>22</x:v>
      </x:c>
      <x:c r="C12" s="81">
        <x:v>14</x:v>
      </x:c>
      <x:c r="D12" s="284" t="s">
        <x:v>100</x:v>
      </x:c>
      <x:c r="E12" s="285"/>
      <x:c r="F12" s="288">
        <x:v>13</x:v>
      </x:c>
      <x:c r="G12" s="289"/>
      <x:c r="H12" s="54" t="s">
        <x:v>80</x:v>
      </x:c>
      <x:c r="I12" s="58"/>
      <x:c r="J12" s="54"/>
      <x:c r="K12" s="58"/>
      <x:c r="L12" s="60"/>
    </x:row>
    <x:row r="13" spans="1:12" ht="21.949999999999999" customHeight="1">
      <x:c r="A13" s="59" t="s">
        <x:v>112</x:v>
      </x:c>
      <x:c r="B13" s="295"/>
      <x:c r="C13" s="136">
        <x:f>SUM('1:11'!$C$12)</x:f>
        <x:v>210</x:v>
      </x:c>
      <x:c r="D13" s="276"/>
      <x:c r="E13" s="277"/>
      <x:c r="F13" s="286">
        <x:f>SUM('1:11'!$F$12)</x:f>
        <x:v>84</x:v>
      </x:c>
      <x:c r="G13" s="287"/>
      <x:c r="H13" s="54" t="s">
        <x:v>131</x:v>
      </x:c>
      <x:c r="I13" s="58"/>
      <x:c r="J13" s="54"/>
      <x:c r="K13" s="58"/>
      <x:c r="L13" s="60"/>
    </x:row>
    <x:row r="14" spans="1:12" ht="21.949999999999999" customHeight="1">
      <x:c r="A14" s="59" t="s">
        <x:v>39</x:v>
      </x:c>
      <x:c r="B14" s="294" t="s">
        <x:v>34</x:v>
      </x:c>
      <x:c r="C14" s="81">
        <x:v>43</x:v>
      </x:c>
      <x:c r="D14" s="284" t="s">
        <x:v>84</x:v>
      </x:c>
      <x:c r="E14" s="285"/>
      <x:c r="F14" s="288">
        <x:v>15</x:v>
      </x:c>
      <x:c r="G14" s="289"/>
      <x:c r="H14" s="54" t="s">
        <x:v>104</x:v>
      </x:c>
      <x:c r="I14" s="58"/>
      <x:c r="J14" s="54"/>
      <x:c r="K14" s="58"/>
      <x:c r="L14" s="60"/>
    </x:row>
    <x:row r="15" spans="1:12" ht="21.949999999999999" customHeight="1">
      <x:c r="A15" s="59" t="s">
        <x:v>112</x:v>
      </x:c>
      <x:c r="B15" s="295"/>
      <x:c r="C15" s="136">
        <x:f>SUM('1:11'!$C$14)</x:f>
        <x:v>596</x:v>
      </x:c>
      <x:c r="D15" s="276"/>
      <x:c r="E15" s="277"/>
      <x:c r="F15" s="286">
        <x:f>SUM('1:11'!$F$14)</x:f>
        <x:v>264</x:v>
      </x:c>
      <x:c r="G15" s="287"/>
      <x:c r="H15" s="54" t="s">
        <x:v>87</x:v>
      </x:c>
      <x:c r="I15" s="58">
        <x:v>99800</x:v>
      </x:c>
      <x:c r="J15" s="54" t="s">
        <x:v>140</x:v>
      </x:c>
      <x:c r="K15" s="58"/>
      <x:c r="L15" s="60"/>
    </x:row>
    <x:row r="16" spans="1:12" ht="21.949999999999999" customHeight="1">
      <x:c r="A16" s="59" t="s">
        <x:v>39</x:v>
      </x:c>
      <x:c r="B16" s="294" t="s">
        <x:v>2</x:v>
      </x:c>
      <x:c r="C16" s="81">
        <x:v>6</x:v>
      </x:c>
      <x:c r="D16" s="284" t="s">
        <x:v>111</x:v>
      </x:c>
      <x:c r="E16" s="285"/>
      <x:c r="F16" s="282">
        <x:v>25</x:v>
      </x:c>
      <x:c r="G16" s="282"/>
      <x:c r="H16" s="54"/>
      <x:c r="I16" s="58"/>
      <x:c r="J16" s="54" t="s">
        <x:v>78</x:v>
      </x:c>
      <x:c r="K16" s="58"/>
      <x:c r="L16" s="60"/>
    </x:row>
    <x:row r="17" spans="1:12" ht="21.949999999999999" customHeight="1">
      <x:c r="A17" s="59" t="s">
        <x:v>112</x:v>
      </x:c>
      <x:c r="B17" s="295"/>
      <x:c r="C17" s="136">
        <x:f>SUM('1:11'!$C$16)</x:f>
        <x:v>68</x:v>
      </x:c>
      <x:c r="D17" s="276"/>
      <x:c r="E17" s="277"/>
      <x:c r="F17" s="283">
        <x:f>SUM('1:11'!$F$16)</x:f>
        <x:v>147</x:v>
      </x:c>
      <x:c r="G17" s="283"/>
      <x:c r="H17" s="54" t="s">
        <x:v>56</x:v>
      </x:c>
      <x:c r="I17" s="58"/>
      <x:c r="J17" s="54" t="s">
        <x:v>72</x:v>
      </x:c>
      <x:c r="K17" s="58"/>
      <x:c r="L17" s="60"/>
    </x:row>
    <x:row r="18" spans="1:12" ht="21.949999999999999" customHeight="1">
      <x:c r="A18" s="59" t="s">
        <x:v>39</x:v>
      </x:c>
      <x:c r="B18" s="294" t="s">
        <x:v>120</x:v>
      </x:c>
      <x:c r="C18" s="81">
        <x:v>30</x:v>
      </x:c>
      <x:c r="D18" s="284" t="s">
        <x:v>122</x:v>
      </x:c>
      <x:c r="E18" s="285"/>
      <x:c r="F18" s="292">
        <x:v>9</x:v>
      </x:c>
      <x:c r="G18" s="293"/>
      <x:c r="H18" s="54"/>
      <x:c r="I18" s="58"/>
      <x:c r="J18" s="54"/>
      <x:c r="K18" s="58"/>
      <x:c r="L18" s="60"/>
    </x:row>
    <x:row r="19" spans="1:12" ht="21.949999999999999" customHeight="1">
      <x:c r="A19" s="59" t="s">
        <x:v>112</x:v>
      </x:c>
      <x:c r="B19" s="295"/>
      <x:c r="C19" s="136">
        <x:f>SUM('1:11'!$C$18)</x:f>
        <x:v>366</x:v>
      </x:c>
      <x:c r="D19" s="276"/>
      <x:c r="E19" s="277"/>
      <x:c r="F19" s="283">
        <x:f>SUM('1:11'!$F$18)</x:f>
        <x:v>131</x:v>
      </x:c>
      <x:c r="G19" s="283"/>
      <x:c r="H19" s="54"/>
      <x:c r="I19" s="58"/>
      <x:c r="J19" s="54"/>
      <x:c r="K19" s="58"/>
      <x:c r="L19" s="60"/>
    </x:row>
    <x:row r="20" spans="4:12" ht="21.949999999999999" customHeight="1">
      <x:c r="D20" s="257" t="s">
        <x:v>95</x:v>
      </x:c>
      <x:c r="E20" s="257"/>
      <x:c r="F20" s="282">
        <x:v>74</x:v>
      </x:c>
      <x:c r="G20" s="282"/>
      <x:c r="H20" s="54"/>
      <x:c r="I20" s="58"/>
      <x:c r="J20" s="54"/>
      <x:c r="K20" s="58"/>
      <x:c r="L20" s="60"/>
    </x:row>
    <x:row r="21" spans="4:12" ht="21.949999999999999" customHeight="1">
      <x:c r="D21" s="257" t="s">
        <x:v>132</x:v>
      </x:c>
      <x:c r="E21" s="257"/>
      <x:c r="F21" s="283">
        <x:f>SUM('1:11'!$F$20)</x:f>
        <x:v>665</x:v>
      </x:c>
      <x:c r="G21" s="283"/>
      <x:c r="H21" s="54"/>
      <x:c r="I21" s="58"/>
      <x:c r="J21" s="54"/>
      <x:c r="K21" s="58"/>
      <x:c r="L21" s="60"/>
    </x:row>
    <x:row r="22" spans="1:12" ht="32.100000000000001" customHeight="1">
      <x:c r="A22" s="256" t="s">
        <x:v>77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</x:row>
    <x:row r="23" spans="1:15" ht="34.149999999999999" customHeight="1">
      <x:c r="A23" s="256" t="s">
        <x:v>121</x:v>
      </x:c>
      <x:c r="B23" s="257"/>
      <x:c r="C23" s="312"/>
      <x:c r="D23" s="313"/>
      <x:c r="E23" s="313"/>
      <x:c r="F23" s="313"/>
      <x:c r="G23" s="313"/>
      <x:c r="H23" s="109" t="s">
        <x:v>127</x:v>
      </x:c>
      <x:c r="I23" s="110">
        <x:f>SUM(I4:I22)</x:f>
        <x:v>2607714</x:v>
      </x:c>
      <x:c r="J23" s="61" t="s">
        <x:v>99</x:v>
      </x:c>
      <x:c r="K23" s="62">
        <x:f>SUM(K4:K22)</x:f>
        <x:v>14194</x:v>
      </x:c>
      <x:c r="M23" s="90" t="s">
        <x:v>107</x:v>
      </x:c>
      <x:c r="N23" s="279">
        <x:f>C5+C6</x:f>
        <x:v>805500</x:v>
      </x:c>
      <x:c r="O23" s="280"/>
    </x:row>
    <x:row r="24" spans="1:11" ht="34.149999999999999" customHeight="1">
      <x:c r="A24" s="256" t="s">
        <x:v>59</x:v>
      </x:c>
      <x:c r="B24" s="257"/>
      <x:c r="C24" s="257" t="s">
        <x:v>91</x:v>
      </x:c>
      <x:c r="D24" s="257"/>
      <x:c r="E24" s="257" t="s">
        <x:v>135</x:v>
      </x:c>
      <x:c r="F24" s="257"/>
      <x:c r="G24" s="257"/>
      <x:c r="H24" s="109" t="s">
        <x:v>59</x:v>
      </x:c>
      <x:c r="I24" s="111">
        <x:f>I23/A25</x:f>
        <x:v>0.57520988198963274</x:v>
      </x:c>
      <x:c r="J24" s="61" t="s">
        <x:v>59</x:v>
      </x:c>
      <x:c r="K24" s="63">
        <x:f>K23/A25</x:f>
        <x:v>0.0031309143046211537</x:v>
      </x:c>
    </x:row>
    <x:row r="25" spans="1:11" ht="34.149999999999999" customHeight="1">
      <x:c r="A25" s="308">
        <x:f>C2</x:f>
        <x:v>4533500</x:v>
      </x:c>
      <x:c r="B25" s="272"/>
      <x:c r="C25" s="272">
        <x:f>E25/I1</x:f>
        <x:v>4211454.5454545459</x:v>
      </x:c>
      <x:c r="D25" s="272"/>
      <x:c r="E25" s="272">
        <x:f>SUM('1:11'!$A$25)</x:f>
        <x:v>46326000</x:v>
      </x:c>
      <x:c r="F25" s="272"/>
      <x:c r="G25" s="272"/>
      <x:c r="H25" s="109" t="s">
        <x:v>19</x:v>
      </x:c>
      <x:c r="I25" s="110">
        <x:f>SUM('1:11'!$I$21)</x:f>
        <x:v>0</x:v>
      </x:c>
      <x:c r="J25" s="61" t="s">
        <x:v>19</x:v>
      </x:c>
      <x:c r="K25" s="62">
        <x:f>SUM('1:11'!$K$21)</x:f>
        <x:v>0</x:v>
      </x:c>
    </x:row>
    <x:row r="26" spans="1:11" ht="34.149999999999999" customHeight="1">
      <x:c r="A26" s="256" t="s">
        <x:v>71</x:v>
      </x:c>
      <x:c r="B26" s="257"/>
      <x:c r="C26" s="257"/>
      <x:c r="D26" s="257"/>
      <x:c r="E26" s="258"/>
      <x:c r="F26" s="258"/>
      <x:c r="G26" s="258"/>
      <x:c r="H26" s="109" t="s">
        <x:v>110</x:v>
      </x:c>
      <x:c r="I26" s="112">
        <x:f>I25/$E$25</x:f>
        <x:v>0</x:v>
      </x:c>
      <x:c r="J26" s="64" t="s">
        <x:v>110</x:v>
      </x:c>
      <x:c r="K26" s="65">
        <x:f>K25/$E$25</x:f>
        <x:v>0</x:v>
      </x:c>
    </x:row>
    <x:row r="27" spans="1:9" ht="30.949999999999999" customHeight="1">
      <x:c r="A27" s="314" t="s">
        <x:v>68</x:v>
      </x:c>
      <x:c r="B27" s="54" t="s">
        <x:v>44</x:v>
      </x:c>
      <x:c r="C27" s="272">
        <x:f>4000000/31</x:f>
        <x:v>129032.25806451614</x:v>
      </x:c>
      <x:c r="D27" s="272"/>
      <x:c r="E27" s="55" t="s">
        <x:v>52</x:v>
      </x:c>
      <x:c r="F27" s="258"/>
      <x:c r="G27" s="258"/>
      <x:c r="H27" s="113" t="s">
        <x:v>85</x:v>
      </x:c>
      <x:c r="I27" s="114">
        <x:f>SUM(C27:D34,F27:G32)</x:f>
        <x:v>697419.3548387097</x:v>
      </x:c>
    </x:row>
    <x:row r="28" spans="1:9" ht="30.949999999999999" customHeight="1">
      <x:c r="A28" s="315"/>
      <x:c r="B28" s="54" t="s">
        <x:v>29</x:v>
      </x:c>
      <x:c r="C28" s="272">
        <x:f>3800000/31</x:f>
        <x:v>122580.64516129032</x:v>
      </x:c>
      <x:c r="D28" s="272"/>
      <x:c r="E28" s="55" t="s">
        <x:v>52</x:v>
      </x:c>
      <x:c r="F28" s="311"/>
      <x:c r="G28" s="311"/>
      <x:c r="H28" s="113" t="s">
        <x:v>59</x:v>
      </x:c>
      <x:c r="I28" s="115">
        <x:f>I27/$A$25</x:f>
        <x:v>0.1538368489773265</x:v>
      </x:c>
    </x:row>
    <x:row r="29" spans="1:9" ht="30.949999999999999" customHeight="1">
      <x:c r="A29" s="315"/>
      <x:c r="B29" s="54" t="s">
        <x:v>21</x:v>
      </x:c>
      <x:c r="C29" s="272">
        <x:f>3200000/31</x:f>
        <x:v>103225.80645161291</x:v>
      </x:c>
      <x:c r="D29" s="272"/>
      <x:c r="E29" s="54" t="s">
        <x:v>52</x:v>
      </x:c>
      <x:c r="F29" s="258"/>
      <x:c r="G29" s="258"/>
      <x:c r="H29" s="113" t="s">
        <x:v>19</x:v>
      </x:c>
      <x:c r="I29" s="114">
        <x:f>SUM('1:11'!$I$25)</x:f>
        <x:v>71148041</x:v>
      </x:c>
    </x:row>
    <x:row r="30" spans="1:9" ht="30.949999999999999" customHeight="1">
      <x:c r="A30" s="315"/>
      <x:c r="B30" s="54" t="s">
        <x:v>41</x:v>
      </x:c>
      <x:c r="C30" s="272">
        <x:f>3400000/31</x:f>
        <x:v>109677.41935483871</x:v>
      </x:c>
      <x:c r="D30" s="272"/>
      <x:c r="E30" s="55" t="s">
        <x:v>32</x:v>
      </x:c>
      <x:c r="F30" s="306"/>
      <x:c r="G30" s="307"/>
      <x:c r="H30" s="113" t="s">
        <x:v>110</x:v>
      </x:c>
      <x:c r="I30" s="115">
        <x:f>I29/$I$27</x:f>
        <x:v>102.01615499537465</x:v>
      </x:c>
    </x:row>
    <x:row r="31" spans="1:7" customHeight="1">
      <x:c r="A31" s="315"/>
      <x:c r="B31" s="54" t="s">
        <x:v>12</x:v>
      </x:c>
      <x:c r="C31" s="309">
        <x:f>3500000/31</x:f>
        <x:v>112903.22580645161</x:v>
      </x:c>
      <x:c r="D31" s="310"/>
      <x:c r="E31" s="55" t="s">
        <x:v>62</x:v>
      </x:c>
      <x:c r="F31" s="306">
        <x:v>120000</x:v>
      </x:c>
      <x:c r="G31" s="307"/>
    </x:row>
    <x:row r="32" spans="1:7" customHeight="1">
      <x:c r="A32" s="315"/>
      <x:c r="B32" s="355" t="s">
        <x:v>40</x:v>
      </x:c>
      <x:c r="C32" s="304"/>
      <x:c r="D32" s="305"/>
      <x:c r="E32" s="55" t="s">
        <x:v>1</x:v>
      </x:c>
      <x:c r="F32" s="306"/>
      <x:c r="G32" s="307"/>
    </x:row>
    <x:row r="33" spans="1:4" customHeight="1">
      <x:c r="A33" s="315"/>
      <x:c r="B33" s="355" t="s">
        <x:v>149</x:v>
      </x:c>
      <x:c r="C33" s="304"/>
      <x:c r="D33" s="305"/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4"/>
  <x:dimension ref="A1:O34"/>
  <x:sheetViews>
    <x:sheetView topLeftCell="A11" zoomScale="85" zoomScaleNormal="85" zoomScaleSheetLayoutView="75" workbookViewId="0">
      <x:selection activeCell="E27" activeCellId="0" sqref="E27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89</x:v>
      </x:c>
      <x:c r="D1" s="68"/>
      <x:c r="E1" s="68">
        <x:v>3</x:v>
      </x:c>
      <x:c r="F1" s="68">
        <x:v>12</x:v>
      </x:c>
      <x:c r="G1" s="68" t="s">
        <x:v>38</x:v>
      </x:c>
      <x:c r="H1" s="52" t="s">
        <x:v>103</x:v>
      </x:c>
      <x:c r="I1" s="52">
        <x:f>F1-K1</x:f>
        <x:v>12</x:v>
      </x:c>
      <x:c r="J1" s="52" t="s">
        <x:v>93</x:v>
      </x:c>
      <x:c r="K1" s="52"/>
    </x:row>
    <x:row r="2" spans="1:11" ht="20.100000000000001" customHeight="1">
      <x:c r="A2" s="267" t="s">
        <x:v>24</x:v>
      </x:c>
      <x:c r="B2" s="268"/>
      <x:c r="C2" s="271">
        <x:f>SUM(C4:D7)</x:f>
        <x:v>5983500</x:v>
      </x:c>
      <x:c r="D2" s="271"/>
      <x:c r="E2" s="274" t="s">
        <x:v>9</x:v>
      </x:c>
      <x:c r="F2" s="275"/>
      <x:c r="G2" s="263">
        <x:v>87350</x:v>
      </x:c>
      <x:c r="H2" s="261" t="s">
        <x:v>60</x:v>
      </x:c>
      <x:c r="I2" s="262"/>
      <x:c r="J2" s="259" t="s">
        <x:v>140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1" ht="30.949999999999999" customHeight="1">
      <x:c r="A4" s="265" t="s">
        <x:v>11</x:v>
      </x:c>
      <x:c r="B4" s="266"/>
      <x:c r="C4" s="258">
        <x:v>5871500</x:v>
      </x:c>
      <x:c r="D4" s="258"/>
      <x:c r="E4" s="273" t="s">
        <x:v>137</x:v>
      </x:c>
      <x:c r="F4" s="273"/>
      <x:c r="G4" s="135">
        <x:f>INT(C4*0.0275)</x:f>
        <x:v>161466</x:v>
      </x:c>
      <x:c r="H4" s="54" t="s">
        <x:v>43</x:v>
      </x:c>
      <x:c r="I4" s="126">
        <x:v>653100</x:v>
      </x:c>
      <x:c r="J4" s="83" t="s">
        <x:v>18</x:v>
      </x:c>
      <x:c r="K4" s="58">
        <x:v>240000</x:v>
      </x:c>
    </x:row>
    <x:row r="5" spans="1:11" ht="30.949999999999999" customHeight="1">
      <x:c r="A5" s="265" t="s">
        <x:v>50</x:v>
      </x:c>
      <x:c r="B5" s="266"/>
      <x:c r="C5" s="258">
        <x:v>112000</x:v>
      </x:c>
      <x:c r="D5" s="258"/>
      <x:c r="E5" s="257" t="s">
        <x:v>146</x:v>
      </x:c>
      <x:c r="F5" s="257"/>
      <x:c r="G5" s="135">
        <x:f>INT(C5*0.01)</x:f>
        <x:v>1120</x:v>
      </x:c>
      <x:c r="H5" s="54" t="s">
        <x:v>60</x:v>
      </x:c>
      <x:c r="I5" s="126"/>
      <x:c r="J5" s="83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>
        <x:v>50000</x:v>
      </x:c>
      <x:c r="H6" s="54"/>
      <x:c r="I6" s="126"/>
      <x:c r="J6" s="83" t="s">
        <x:v>114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6">
        <x:v>209100</x:v>
      </x:c>
      <x:c r="J7" s="83" t="s">
        <x:v>118</x:v>
      </x:c>
      <x:c r="K7" s="58"/>
    </x:row>
    <x:row r="8" spans="1:11" ht="21.949999999999999" customHeight="1">
      <x:c r="A8" s="256" t="s">
        <x:v>108</x:v>
      </x:c>
      <x:c r="B8" s="257"/>
      <x:c r="C8" s="258">
        <x:v>149350</x:v>
      </x:c>
      <x:c r="D8" s="258"/>
      <x:c r="E8" s="284" t="s">
        <x:v>128</x:v>
      </x:c>
      <x:c r="F8" s="285"/>
      <x:c r="G8" s="290">
        <x:f>C5+G2-G6-C22</x:f>
        <x:v>149350</x:v>
      </x:c>
      <x:c r="H8" s="54" t="s">
        <x:v>16</x:v>
      </x:c>
      <x:c r="I8" s="126">
        <x:v>56000</x:v>
      </x:c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30.949999999999999" customHeight="1">
      <x:c r="A10" s="256" t="s">
        <x:v>129</x:v>
      </x:c>
      <x:c r="B10" s="257"/>
      <x:c r="C10" s="258"/>
      <x:c r="D10" s="258"/>
      <x:c r="E10" s="257" t="s">
        <x:v>69</x:v>
      </x:c>
      <x:c r="F10" s="257"/>
      <x:c r="G10" s="55"/>
      <x:c r="H10" s="54"/>
      <x:c r="I10" s="126"/>
      <x:c r="J10" s="54" t="s">
        <x:v>4</x:v>
      </x:c>
      <x:c r="K10" s="58"/>
    </x:row>
    <x:row r="11" spans="1:11" ht="33" customHeight="1">
      <x:c r="A11" s="256" t="s">
        <x:v>106</x:v>
      </x:c>
      <x:c r="B11" s="257"/>
      <x:c r="C11" s="352"/>
      <x:c r="D11" s="296"/>
      <x:c r="E11" s="296"/>
      <x:c r="F11" s="296"/>
      <x:c r="G11" s="296"/>
      <x:c r="H11" s="54" t="s">
        <x:v>37</x:v>
      </x:c>
      <x:c r="I11" s="58"/>
      <x:c r="J11" s="54" t="s">
        <x:v>102</x:v>
      </x:c>
      <x:c r="K11" s="137">
        <x:v>14194</x:v>
      </x:c>
    </x:row>
    <x:row r="12" spans="1:13" ht="21.949999999999999" customHeight="1">
      <x:c r="A12" s="59" t="s">
        <x:v>39</x:v>
      </x:c>
      <x:c r="B12" s="294" t="s">
        <x:v>22</x:v>
      </x:c>
      <x:c r="C12" s="81">
        <x:v>23</x:v>
      </x:c>
      <x:c r="D12" s="284" t="s">
        <x:v>100</x:v>
      </x:c>
      <x:c r="E12" s="285"/>
      <x:c r="F12" s="288">
        <x:v>7</x:v>
      </x:c>
      <x:c r="G12" s="289"/>
      <x:c r="H12" s="54" t="s">
        <x:v>80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112</x:v>
      </x:c>
      <x:c r="B13" s="295"/>
      <x:c r="C13" s="136">
        <x:f>SUM('1:12'!$C$12)</x:f>
        <x:v>233</x:v>
      </x:c>
      <x:c r="D13" s="276"/>
      <x:c r="E13" s="277"/>
      <x:c r="F13" s="286">
        <x:f>SUM('1:12'!$F$12)</x:f>
        <x:v>91</x:v>
      </x:c>
      <x:c r="G13" s="287"/>
      <x:c r="H13" s="54" t="s">
        <x:v>131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39</x:v>
      </x:c>
      <x:c r="B14" s="294" t="s">
        <x:v>34</x:v>
      </x:c>
      <x:c r="C14" s="81">
        <x:v>73</x:v>
      </x:c>
      <x:c r="D14" s="284" t="s">
        <x:v>84</x:v>
      </x:c>
      <x:c r="E14" s="285"/>
      <x:c r="F14" s="288">
        <x:v>11</x:v>
      </x:c>
      <x:c r="G14" s="289"/>
      <x:c r="H14" s="54" t="s">
        <x:v>104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112</x:v>
      </x:c>
      <x:c r="B15" s="295"/>
      <x:c r="C15" s="136">
        <x:f>SUM('1:12'!$C$14)</x:f>
        <x:v>669</x:v>
      </x:c>
      <x:c r="D15" s="276"/>
      <x:c r="E15" s="277"/>
      <x:c r="F15" s="286">
        <x:f>SUM('1:12'!$F$14)</x:f>
        <x:v>275</x:v>
      </x:c>
      <x:c r="G15" s="287"/>
      <x:c r="H15" s="54" t="s">
        <x:v>87</x:v>
      </x:c>
      <x:c r="I15" s="58">
        <x:v>148000</x:v>
      </x:c>
      <x:c r="J15" s="54" t="s">
        <x:v>140</x:v>
      </x:c>
      <x:c r="K15" s="58"/>
      <x:c r="L15" s="60"/>
      <x:c r="M15" s="11"/>
    </x:row>
    <x:row r="16" spans="1:13" ht="21.949999999999999" customHeight="1">
      <x:c r="A16" s="59" t="s">
        <x:v>39</x:v>
      </x:c>
      <x:c r="B16" s="294" t="s">
        <x:v>2</x:v>
      </x:c>
      <x:c r="C16" s="81">
        <x:v>8</x:v>
      </x:c>
      <x:c r="D16" s="284" t="s">
        <x:v>111</x:v>
      </x:c>
      <x:c r="E16" s="285"/>
      <x:c r="F16" s="282">
        <x:v>36</x:v>
      </x:c>
      <x:c r="G16" s="282"/>
      <x:c r="H16" s="54"/>
      <x:c r="I16" s="58"/>
      <x:c r="J16" s="54" t="s">
        <x:v>78</x:v>
      </x:c>
      <x:c r="K16" s="58">
        <x:v>9200</x:v>
      </x:c>
      <x:c r="L16" s="60"/>
      <x:c r="M16" s="11"/>
    </x:row>
    <x:row r="17" spans="1:13" ht="21.949999999999999" customHeight="1">
      <x:c r="A17" s="59" t="s">
        <x:v>112</x:v>
      </x:c>
      <x:c r="B17" s="295"/>
      <x:c r="C17" s="136">
        <x:f>SUM('1:12'!$C$16)</x:f>
        <x:v>76</x:v>
      </x:c>
      <x:c r="D17" s="276"/>
      <x:c r="E17" s="277"/>
      <x:c r="F17" s="283">
        <x:f>SUM('1:12'!$F$16)</x:f>
        <x:v>183</x:v>
      </x:c>
      <x:c r="G17" s="283"/>
      <x:c r="H17" s="54" t="s">
        <x:v>56</x:v>
      </x:c>
      <x:c r="I17" s="58"/>
      <x:c r="J17" s="54" t="s">
        <x:v>72</x:v>
      </x:c>
      <x:c r="K17" s="58"/>
      <x:c r="L17" s="60"/>
      <x:c r="M17" s="11"/>
    </x:row>
    <x:row r="18" spans="1:13" ht="21.949999999999999" customHeight="1">
      <x:c r="A18" s="59" t="s">
        <x:v>39</x:v>
      </x:c>
      <x:c r="B18" s="294" t="s">
        <x:v>120</x:v>
      </x:c>
      <x:c r="C18" s="81">
        <x:v>28</x:v>
      </x:c>
      <x:c r="D18" s="284" t="s">
        <x:v>122</x:v>
      </x:c>
      <x:c r="E18" s="285"/>
      <x:c r="F18" s="292">
        <x:v>22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112</x:v>
      </x:c>
      <x:c r="B19" s="295"/>
      <x:c r="C19" s="136">
        <x:f>SUM('1:12'!$C$18)</x:f>
        <x:v>394</x:v>
      </x:c>
      <x:c r="D19" s="276"/>
      <x:c r="E19" s="277"/>
      <x:c r="F19" s="283">
        <x:f>SUM('1:12'!$F$18)</x:f>
        <x:v>153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95</x:v>
      </x:c>
      <x:c r="E20" s="257"/>
      <x:c r="F20" s="324">
        <x:v>70</x:v>
      </x:c>
      <x:c r="G20" s="325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132</x:v>
      </x:c>
      <x:c r="E21" s="257"/>
      <x:c r="F21" s="283">
        <x:f>SUM('1:12'!$F$20)</x:f>
        <x:v>735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77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121</x:v>
      </x:c>
      <x:c r="B23" s="257"/>
      <x:c r="C23" s="312"/>
      <x:c r="D23" s="312"/>
      <x:c r="E23" s="312"/>
      <x:c r="F23" s="312"/>
      <x:c r="G23" s="312"/>
      <x:c r="H23" s="109" t="s">
        <x:v>127</x:v>
      </x:c>
      <x:c r="I23" s="110">
        <x:f>SUM(I4:I22)</x:f>
        <x:v>1066200</x:v>
      </x:c>
      <x:c r="J23" s="61" t="s">
        <x:v>99</x:v>
      </x:c>
      <x:c r="K23" s="62">
        <x:f>SUM(K4:K22)</x:f>
        <x:v>263394</x:v>
      </x:c>
      <x:c r="M23" s="90" t="s">
        <x:v>107</x:v>
      </x:c>
      <x:c r="N23" s="279">
        <x:f>C5+C6</x:f>
        <x:v>112000</x:v>
      </x:c>
      <x:c r="O23" s="280"/>
    </x:row>
    <x:row r="24" spans="1:11" ht="34.149999999999999" customHeight="1">
      <x:c r="A24" s="256" t="s">
        <x:v>59</x:v>
      </x:c>
      <x:c r="B24" s="257"/>
      <x:c r="C24" s="257" t="s">
        <x:v>91</x:v>
      </x:c>
      <x:c r="D24" s="257"/>
      <x:c r="E24" s="257" t="s">
        <x:v>135</x:v>
      </x:c>
      <x:c r="F24" s="257"/>
      <x:c r="G24" s="257"/>
      <x:c r="H24" s="109" t="s">
        <x:v>59</x:v>
      </x:c>
      <x:c r="I24" s="111">
        <x:f>I23/A25</x:f>
        <x:v>0.17819002256204564</x:v>
      </x:c>
      <x:c r="J24" s="61" t="s">
        <x:v>59</x:v>
      </x:c>
      <x:c r="K24" s="63">
        <x:f>K23/A25</x:f>
        <x:v>0.044020055151667084</x:v>
      </x:c>
    </x:row>
    <x:row r="25" spans="1:11" ht="34.149999999999999" customHeight="1">
      <x:c r="A25" s="308">
        <x:f>C2</x:f>
        <x:v>5983500</x:v>
      </x:c>
      <x:c r="B25" s="272"/>
      <x:c r="C25" s="272">
        <x:f>E25/I1</x:f>
        <x:v>4359125</x:v>
      </x:c>
      <x:c r="D25" s="272"/>
      <x:c r="E25" s="272">
        <x:f>SUM('1:12'!$A$25)</x:f>
        <x:v>52309500</x:v>
      </x:c>
      <x:c r="F25" s="272"/>
      <x:c r="G25" s="272"/>
      <x:c r="H25" s="109" t="s">
        <x:v>19</x:v>
      </x:c>
      <x:c r="I25" s="110">
        <x:f>SUM('1:12'!$I$21)</x:f>
        <x:v>0</x:v>
      </x:c>
      <x:c r="J25" s="61" t="s">
        <x:v>19</x:v>
      </x:c>
      <x:c r="K25" s="62">
        <x:f>SUM('1:12'!$K$21)</x:f>
        <x:v>0</x:v>
      </x:c>
    </x:row>
    <x:row r="26" spans="1:11" ht="34.149999999999999" customHeight="1">
      <x:c r="A26" s="256" t="s">
        <x:v>71</x:v>
      </x:c>
      <x:c r="B26" s="257"/>
      <x:c r="C26" s="257"/>
      <x:c r="D26" s="257"/>
      <x:c r="E26" s="258"/>
      <x:c r="F26" s="258"/>
      <x:c r="G26" s="258"/>
      <x:c r="H26" s="109" t="s">
        <x:v>110</x:v>
      </x:c>
      <x:c r="I26" s="112">
        <x:f>I25/$E$25</x:f>
        <x:v>0</x:v>
      </x:c>
      <x:c r="J26" s="64" t="s">
        <x:v>110</x:v>
      </x:c>
      <x:c r="K26" s="65">
        <x:f>K25/$E$25</x:f>
        <x:v>0</x:v>
      </x:c>
    </x:row>
    <x:row r="27" spans="1:13" ht="30.949999999999999" customHeight="1">
      <x:c r="A27" s="314" t="s">
        <x:v>68</x:v>
      </x:c>
      <x:c r="B27" s="54" t="s">
        <x:v>44</x:v>
      </x:c>
      <x:c r="C27" s="272">
        <x:f>4000000/31</x:f>
        <x:v>129032.25806451614</x:v>
      </x:c>
      <x:c r="D27" s="272"/>
      <x:c r="E27" s="55" t="s">
        <x:v>52</x:v>
      </x:c>
      <x:c r="F27" s="351"/>
      <x:c r="G27" s="351"/>
      <x:c r="H27" s="113" t="s">
        <x:v>85</x:v>
      </x:c>
      <x:c r="I27" s="114">
        <x:f>SUM(C27:D34,F27:G32)</x:f>
        <x:v>760419.3548387097</x:v>
      </x:c>
      <x:c r="M27" s="66"/>
    </x:row>
    <x:row r="28" spans="1:13" ht="30.949999999999999" customHeight="1">
      <x:c r="A28" s="315"/>
      <x:c r="B28" s="54" t="s">
        <x:v>29</x:v>
      </x:c>
      <x:c r="C28" s="272">
        <x:f>3800000/31</x:f>
        <x:v>122580.64516129032</x:v>
      </x:c>
      <x:c r="D28" s="272"/>
      <x:c r="E28" s="55" t="s">
        <x:v>52</x:v>
      </x:c>
      <x:c r="F28" s="353"/>
      <x:c r="G28" s="353"/>
      <x:c r="H28" s="113" t="s">
        <x:v>59</x:v>
      </x:c>
      <x:c r="I28" s="115">
        <x:f>I27/$A$25</x:f>
        <x:v>0.12708604576564045</x:v>
      </x:c>
      <x:c r="M28" s="66"/>
    </x:row>
    <x:row r="29" spans="1:13" ht="30.949999999999999" customHeight="1">
      <x:c r="A29" s="315"/>
      <x:c r="B29" s="54" t="s">
        <x:v>21</x:v>
      </x:c>
      <x:c r="C29" s="272">
        <x:f>3200000/31</x:f>
        <x:v>103225.80645161291</x:v>
      </x:c>
      <x:c r="D29" s="272"/>
      <x:c r="E29" s="54" t="s">
        <x:v>52</x:v>
      </x:c>
      <x:c r="F29" s="258"/>
      <x:c r="G29" s="258"/>
      <x:c r="H29" s="113" t="s">
        <x:v>19</x:v>
      </x:c>
      <x:c r="I29" s="114">
        <x:f>SUM('1:12'!$I$25)</x:f>
        <x:v>71148041</x:v>
      </x:c>
      <x:c r="M29" s="66"/>
    </x:row>
    <x:row r="30" spans="1:13" ht="30.949999999999999" customHeight="1">
      <x:c r="A30" s="315"/>
      <x:c r="B30" s="54" t="s">
        <x:v>41</x:v>
      </x:c>
      <x:c r="C30" s="272">
        <x:f>3400000/31</x:f>
        <x:v>109677.41935483871</x:v>
      </x:c>
      <x:c r="D30" s="272"/>
      <x:c r="E30" s="55"/>
      <x:c r="F30" s="306"/>
      <x:c r="G30" s="307"/>
      <x:c r="H30" s="113" t="s">
        <x:v>110</x:v>
      </x:c>
      <x:c r="I30" s="115">
        <x:f>I29/$I$27</x:f>
        <x:v>93.564216306791664</x:v>
      </x:c>
      <x:c r="M30" s="66"/>
    </x:row>
    <x:row r="31" spans="1:7" customHeight="1">
      <x:c r="A31" s="315"/>
      <x:c r="B31" s="54" t="s">
        <x:v>12</x:v>
      </x:c>
      <x:c r="C31" s="309">
        <x:f>3500000/31</x:f>
        <x:v>112903.22580645161</x:v>
      </x:c>
      <x:c r="D31" s="310"/>
      <x:c r="E31" s="55" t="s">
        <x:v>62</x:v>
      </x:c>
      <x:c r="F31" s="306">
        <x:v>120000</x:v>
      </x:c>
      <x:c r="G31" s="307"/>
    </x:row>
    <x:row r="32" spans="1:7" customHeight="1">
      <x:c r="A32" s="315"/>
      <x:c r="B32" s="355" t="s">
        <x:v>40</x:v>
      </x:c>
      <x:c r="C32" s="304">
        <x:v>63000</x:v>
      </x:c>
      <x:c r="D32" s="305"/>
      <x:c r="E32" s="55" t="s">
        <x:v>1</x:v>
      </x:c>
      <x:c r="F32" s="306"/>
      <x:c r="G32" s="307"/>
    </x:row>
    <x:row r="33" spans="1:4" customHeight="1">
      <x:c r="A33" s="315"/>
      <x:c r="B33" s="355" t="s">
        <x:v>149</x:v>
      </x:c>
      <x:c r="C33" s="304"/>
      <x:c r="D33" s="305"/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A27:A34"/>
    <x:mergeCell ref="C32:D32"/>
    <x:mergeCell ref="C33:D33"/>
    <x:mergeCell ref="C34:D34"/>
    <x:mergeCell ref="F31:G31"/>
    <x:mergeCell ref="F30:G30"/>
    <x:mergeCell ref="C30:D30"/>
    <x:mergeCell ref="C31:D31"/>
    <x:mergeCell ref="C28:D28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0:B10"/>
    <x:mergeCell ref="C10:D10"/>
    <x:mergeCell ref="E10:F10"/>
    <x:mergeCell ref="A11:B11"/>
    <x:mergeCell ref="E2:F3"/>
    <x:mergeCell ref="A4:B4"/>
    <x:mergeCell ref="C4:D4"/>
    <x:mergeCell ref="E4:F4"/>
    <x:mergeCell ref="A2:B3"/>
    <x:mergeCell ref="C2:D3"/>
    <x:mergeCell ref="A5:B5"/>
    <x:mergeCell ref="C5:D5"/>
    <x:mergeCell ref="E5:F5"/>
    <x:mergeCell ref="A8:B9"/>
    <x:mergeCell ref="C8:D9"/>
    <x:mergeCell ref="A6:B7"/>
    <x:mergeCell ref="N23:O23"/>
    <x:mergeCell ref="G6:G7"/>
    <x:mergeCell ref="G8:G9"/>
    <x:mergeCell ref="C11:G11"/>
    <x:mergeCell ref="F18:G18"/>
    <x:mergeCell ref="F19:G19"/>
    <x:mergeCell ref="D21:E21"/>
    <x:mergeCell ref="F21:G21"/>
    <x:mergeCell ref="C29:D29"/>
    <x:mergeCell ref="F29:G29"/>
    <x:mergeCell ref="C26:D26"/>
    <x:mergeCell ref="E26:G26"/>
    <x:mergeCell ref="J2:K2"/>
    <x:mergeCell ref="H2:I2"/>
    <x:mergeCell ref="G2:G3"/>
    <x:mergeCell ref="C6:D7"/>
    <x:mergeCell ref="E6:F7"/>
    <x:mergeCell ref="E8:F9"/>
    <x:mergeCell ref="F28:G28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5"/>
  <x:dimension ref="A1:O34"/>
  <x:sheetViews>
    <x:sheetView topLeftCell="A15" zoomScale="85" zoomScaleNormal="85" zoomScaleSheetLayoutView="75" workbookViewId="0">
      <x:selection activeCell="E27" activeCellId="0" sqref="E27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89</x:v>
      </x:c>
      <x:c r="D1" s="68"/>
      <x:c r="E1" s="68">
        <x:v>3</x:v>
      </x:c>
      <x:c r="F1" s="68">
        <x:v>13</x:v>
      </x:c>
      <x:c r="G1" s="68" t="s">
        <x:v>20</x:v>
      </x:c>
      <x:c r="H1" s="52" t="s">
        <x:v>103</x:v>
      </x:c>
      <x:c r="I1" s="52">
        <x:f>F1-K1</x:f>
        <x:v>13</x:v>
      </x:c>
      <x:c r="J1" s="52" t="s">
        <x:v>93</x:v>
      </x:c>
      <x:c r="K1" s="52"/>
    </x:row>
    <x:row r="2" spans="1:11" ht="20.100000000000001" customHeight="1">
      <x:c r="A2" s="267" t="s">
        <x:v>24</x:v>
      </x:c>
      <x:c r="B2" s="268"/>
      <x:c r="C2" s="271">
        <x:f>SUM(C4:D7)</x:f>
        <x:v>5073500</x:v>
      </x:c>
      <x:c r="D2" s="271"/>
      <x:c r="E2" s="274" t="s">
        <x:v>9</x:v>
      </x:c>
      <x:c r="F2" s="275"/>
      <x:c r="G2" s="263">
        <x:v>149350</x:v>
      </x:c>
      <x:c r="H2" s="261" t="s">
        <x:v>60</x:v>
      </x:c>
      <x:c r="I2" s="262"/>
      <x:c r="J2" s="259" t="s">
        <x:v>140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1" ht="30.949999999999999" customHeight="1">
      <x:c r="A4" s="265" t="s">
        <x:v>11</x:v>
      </x:c>
      <x:c r="B4" s="266"/>
      <x:c r="C4" s="258">
        <x:v>4484500</x:v>
      </x:c>
      <x:c r="D4" s="258"/>
      <x:c r="E4" s="273" t="s">
        <x:v>137</x:v>
      </x:c>
      <x:c r="F4" s="273"/>
      <x:c r="G4" s="135">
        <x:f>INT(C4*0.0275)</x:f>
        <x:v>123323</x:v>
      </x:c>
      <x:c r="H4" s="54" t="s">
        <x:v>43</x:v>
      </x:c>
      <x:c r="I4" s="126">
        <x:v>415500</x:v>
      </x:c>
      <x:c r="J4" s="83" t="s">
        <x:v>18</x:v>
      </x:c>
      <x:c r="K4" s="58"/>
    </x:row>
    <x:row r="5" spans="1:11" ht="30.949999999999999" customHeight="1">
      <x:c r="A5" s="265" t="s">
        <x:v>50</x:v>
      </x:c>
      <x:c r="B5" s="266"/>
      <x:c r="C5" s="258">
        <x:v>589000</x:v>
      </x:c>
      <x:c r="D5" s="258"/>
      <x:c r="E5" s="257" t="s">
        <x:v>146</x:v>
      </x:c>
      <x:c r="F5" s="257"/>
      <x:c r="G5" s="135">
        <x:f>INT(C5*0.01)</x:f>
        <x:v>5890</x:v>
      </x:c>
      <x:c r="H5" s="54" t="s">
        <x:v>60</x:v>
      </x:c>
      <x:c r="I5" s="126">
        <x:v>180752</x:v>
      </x:c>
      <x:c r="J5" s="83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>
        <x:v>503000</x:v>
      </x:c>
      <x:c r="H6" s="54"/>
      <x:c r="I6" s="126"/>
      <x:c r="J6" s="83" t="s">
        <x:v>114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6">
        <x:v>230850</x:v>
      </x:c>
      <x:c r="J7" s="83" t="s">
        <x:v>118</x:v>
      </x:c>
      <x:c r="K7" s="58">
        <x:v>12500</x:v>
      </x:c>
    </x:row>
    <x:row r="8" spans="1:11" ht="21.949999999999999" customHeight="1">
      <x:c r="A8" s="256" t="s">
        <x:v>108</x:v>
      </x:c>
      <x:c r="B8" s="257"/>
      <x:c r="C8" s="258">
        <x:v>235350</x:v>
      </x:c>
      <x:c r="D8" s="258"/>
      <x:c r="E8" s="284" t="s">
        <x:v>128</x:v>
      </x:c>
      <x:c r="F8" s="285"/>
      <x:c r="G8" s="290">
        <x:f>C5+G2-G6-C22</x:f>
        <x:v>235350</x:v>
      </x:c>
      <x:c r="H8" s="54" t="s">
        <x:v>16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30.949999999999999" customHeight="1">
      <x:c r="A10" s="256" t="s">
        <x:v>129</x:v>
      </x:c>
      <x:c r="B10" s="257"/>
      <x:c r="C10" s="258">
        <x:v>104000</x:v>
      </x:c>
      <x:c r="D10" s="258"/>
      <x:c r="E10" s="257" t="s">
        <x:v>69</x:v>
      </x:c>
      <x:c r="F10" s="257"/>
      <x:c r="G10" s="55"/>
      <x:c r="H10" s="54"/>
      <x:c r="I10" s="126"/>
      <x:c r="J10" s="54" t="s">
        <x:v>4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37</x:v>
      </x:c>
      <x:c r="I11" s="58"/>
      <x:c r="J11" s="54" t="s">
        <x:v>102</x:v>
      </x:c>
      <x:c r="K11" s="137">
        <x:v>14194</x:v>
      </x:c>
    </x:row>
    <x:row r="12" spans="1:13" ht="21.949999999999999" customHeight="1">
      <x:c r="A12" s="59" t="s">
        <x:v>39</x:v>
      </x:c>
      <x:c r="B12" s="294" t="s">
        <x:v>22</x:v>
      </x:c>
      <x:c r="C12" s="81">
        <x:v>20</x:v>
      </x:c>
      <x:c r="D12" s="284" t="s">
        <x:v>100</x:v>
      </x:c>
      <x:c r="E12" s="285"/>
      <x:c r="F12" s="288">
        <x:v>5</x:v>
      </x:c>
      <x:c r="G12" s="289"/>
      <x:c r="H12" s="54" t="s">
        <x:v>80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112</x:v>
      </x:c>
      <x:c r="B13" s="295"/>
      <x:c r="C13" s="136">
        <x:f>SUM('1:13'!$C$12)</x:f>
        <x:v>253</x:v>
      </x:c>
      <x:c r="D13" s="276"/>
      <x:c r="E13" s="277"/>
      <x:c r="F13" s="286">
        <x:f>SUM('1:13'!$F$12)</x:f>
        <x:v>96</x:v>
      </x:c>
      <x:c r="G13" s="287"/>
      <x:c r="H13" s="54" t="s">
        <x:v>131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39</x:v>
      </x:c>
      <x:c r="B14" s="294" t="s">
        <x:v>34</x:v>
      </x:c>
      <x:c r="C14" s="81">
        <x:v>52</x:v>
      </x:c>
      <x:c r="D14" s="284" t="s">
        <x:v>84</x:v>
      </x:c>
      <x:c r="E14" s="285"/>
      <x:c r="F14" s="288">
        <x:v>15</x:v>
      </x:c>
      <x:c r="G14" s="289"/>
      <x:c r="H14" s="54" t="s">
        <x:v>104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112</x:v>
      </x:c>
      <x:c r="B15" s="295"/>
      <x:c r="C15" s="136">
        <x:f>SUM('1:13'!$C$14)</x:f>
        <x:v>721</x:v>
      </x:c>
      <x:c r="D15" s="276"/>
      <x:c r="E15" s="277"/>
      <x:c r="F15" s="286">
        <x:f>SUM('1:13'!$F$14)</x:f>
        <x:v>290</x:v>
      </x:c>
      <x:c r="G15" s="287"/>
      <x:c r="H15" s="54" t="s">
        <x:v>87</x:v>
      </x:c>
      <x:c r="I15" s="58">
        <x:v>257300</x:v>
      </x:c>
      <x:c r="J15" s="54" t="s">
        <x:v>140</x:v>
      </x:c>
      <x:c r="K15" s="58"/>
      <x:c r="L15" s="60"/>
      <x:c r="M15" s="11"/>
    </x:row>
    <x:row r="16" spans="1:13" ht="21.949999999999999" customHeight="1">
      <x:c r="A16" s="59" t="s">
        <x:v>39</x:v>
      </x:c>
      <x:c r="B16" s="294" t="s">
        <x:v>2</x:v>
      </x:c>
      <x:c r="C16" s="81">
        <x:v>5</x:v>
      </x:c>
      <x:c r="D16" s="284" t="s">
        <x:v>111</x:v>
      </x:c>
      <x:c r="E16" s="285"/>
      <x:c r="F16" s="282">
        <x:v>14</x:v>
      </x:c>
      <x:c r="G16" s="282"/>
      <x:c r="H16" s="54"/>
      <x:c r="I16" s="58"/>
      <x:c r="J16" s="54" t="s">
        <x:v>78</x:v>
      </x:c>
      <x:c r="K16" s="58"/>
      <x:c r="L16" s="60"/>
      <x:c r="M16" s="11"/>
    </x:row>
    <x:row r="17" spans="1:13" ht="21.949999999999999" customHeight="1">
      <x:c r="A17" s="59" t="s">
        <x:v>112</x:v>
      </x:c>
      <x:c r="B17" s="295"/>
      <x:c r="C17" s="136">
        <x:f>SUM('1:13'!$C$16)</x:f>
        <x:v>81</x:v>
      </x:c>
      <x:c r="D17" s="276"/>
      <x:c r="E17" s="277"/>
      <x:c r="F17" s="283">
        <x:f>SUM('1:13'!$F$16)</x:f>
        <x:v>197</x:v>
      </x:c>
      <x:c r="G17" s="283"/>
      <x:c r="H17" s="54" t="s">
        <x:v>56</x:v>
      </x:c>
      <x:c r="I17" s="58"/>
      <x:c r="J17" s="54" t="s">
        <x:v>72</x:v>
      </x:c>
      <x:c r="K17" s="58"/>
      <x:c r="L17" s="60"/>
      <x:c r="M17" s="11"/>
    </x:row>
    <x:row r="18" spans="1:13" ht="21.949999999999999" customHeight="1">
      <x:c r="A18" s="59" t="s">
        <x:v>39</x:v>
      </x:c>
      <x:c r="B18" s="294" t="s">
        <x:v>120</x:v>
      </x:c>
      <x:c r="C18" s="81">
        <x:v>45</x:v>
      </x:c>
      <x:c r="D18" s="284" t="s">
        <x:v>122</x:v>
      </x:c>
      <x:c r="E18" s="285"/>
      <x:c r="F18" s="292">
        <x:v>19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112</x:v>
      </x:c>
      <x:c r="B19" s="295"/>
      <x:c r="C19" s="136">
        <x:f>SUM('1:13'!$C$18)</x:f>
        <x:v>439</x:v>
      </x:c>
      <x:c r="D19" s="276"/>
      <x:c r="E19" s="277"/>
      <x:c r="F19" s="283">
        <x:f>SUM('1:13'!$F$18)</x:f>
        <x:v>172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95</x:v>
      </x:c>
      <x:c r="E20" s="257"/>
      <x:c r="F20" s="282">
        <x:v>85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132</x:v>
      </x:c>
      <x:c r="E21" s="257"/>
      <x:c r="F21" s="283">
        <x:f>SUM('1:13'!$F$20)</x:f>
        <x:v>820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77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121</x:v>
      </x:c>
      <x:c r="B23" s="257"/>
      <x:c r="C23" s="312"/>
      <x:c r="D23" s="313"/>
      <x:c r="E23" s="313"/>
      <x:c r="F23" s="313"/>
      <x:c r="G23" s="313"/>
      <x:c r="H23" s="109" t="s">
        <x:v>127</x:v>
      </x:c>
      <x:c r="I23" s="110">
        <x:f>SUM(I4:I22)</x:f>
        <x:v>1084402</x:v>
      </x:c>
      <x:c r="J23" s="61" t="s">
        <x:v>99</x:v>
      </x:c>
      <x:c r="K23" s="62">
        <x:f>SUM(K4:K22)</x:f>
        <x:v>26694</x:v>
      </x:c>
      <x:c r="M23" s="90" t="s">
        <x:v>107</x:v>
      </x:c>
      <x:c r="N23" s="279">
        <x:f>C5+C6</x:f>
        <x:v>589000</x:v>
      </x:c>
      <x:c r="O23" s="280"/>
    </x:row>
    <x:row r="24" spans="1:11" ht="34.149999999999999" customHeight="1">
      <x:c r="A24" s="256" t="s">
        <x:v>59</x:v>
      </x:c>
      <x:c r="B24" s="257"/>
      <x:c r="C24" s="257" t="s">
        <x:v>91</x:v>
      </x:c>
      <x:c r="D24" s="257"/>
      <x:c r="E24" s="257" t="s">
        <x:v>135</x:v>
      </x:c>
      <x:c r="F24" s="257"/>
      <x:c r="G24" s="257"/>
      <x:c r="H24" s="109" t="s">
        <x:v>59</x:v>
      </x:c>
      <x:c r="I24" s="111">
        <x:f>I23/A25</x:f>
        <x:v>0.21373844486054991</x:v>
      </x:c>
      <x:c r="J24" s="61" t="s">
        <x:v>59</x:v>
      </x:c>
      <x:c r="K24" s="63">
        <x:f>K23/A25</x:f>
        <x:v>0.0052614565881541342</x:v>
      </x:c>
    </x:row>
    <x:row r="25" spans="1:11" ht="34.149999999999999" customHeight="1">
      <x:c r="A25" s="308">
        <x:f>C2</x:f>
        <x:v>5073500</x:v>
      </x:c>
      <x:c r="B25" s="272"/>
      <x:c r="C25" s="272">
        <x:f>E25/I1</x:f>
        <x:v>4414076.923076923</x:v>
      </x:c>
      <x:c r="D25" s="272"/>
      <x:c r="E25" s="272">
        <x:f>SUM('1:13'!$A$25)</x:f>
        <x:v>57383000</x:v>
      </x:c>
      <x:c r="F25" s="272"/>
      <x:c r="G25" s="272"/>
      <x:c r="H25" s="109" t="s">
        <x:v>19</x:v>
      </x:c>
      <x:c r="I25" s="110">
        <x:f>SUM('1:13'!$I$21)</x:f>
        <x:v>0</x:v>
      </x:c>
      <x:c r="J25" s="61" t="s">
        <x:v>19</x:v>
      </x:c>
      <x:c r="K25" s="62">
        <x:f>SUM('1:13'!$K$21)</x:f>
        <x:v>0</x:v>
      </x:c>
    </x:row>
    <x:row r="26" spans="1:11" ht="34.149999999999999" customHeight="1">
      <x:c r="A26" s="256" t="s">
        <x:v>71</x:v>
      </x:c>
      <x:c r="B26" s="257"/>
      <x:c r="C26" s="257"/>
      <x:c r="D26" s="257"/>
      <x:c r="E26" s="258"/>
      <x:c r="F26" s="258"/>
      <x:c r="G26" s="258"/>
      <x:c r="H26" s="109" t="s">
        <x:v>110</x:v>
      </x:c>
      <x:c r="I26" s="112">
        <x:f>I25/$E$25</x:f>
        <x:v>0</x:v>
      </x:c>
      <x:c r="J26" s="64" t="s">
        <x:v>110</x:v>
      </x:c>
      <x:c r="K26" s="65">
        <x:f>K25/$E$25</x:f>
        <x:v>0</x:v>
      </x:c>
    </x:row>
    <x:row r="27" spans="1:13" ht="30.949999999999999" customHeight="1">
      <x:c r="A27" s="314" t="s">
        <x:v>68</x:v>
      </x:c>
      <x:c r="B27" s="54" t="s">
        <x:v>44</x:v>
      </x:c>
      <x:c r="C27" s="272">
        <x:f>4000000/31</x:f>
        <x:v>129032.25806451614</x:v>
      </x:c>
      <x:c r="D27" s="272"/>
      <x:c r="E27" s="55" t="s">
        <x:v>52</x:v>
      </x:c>
      <x:c r="F27" s="258"/>
      <x:c r="G27" s="258"/>
      <x:c r="H27" s="113" t="s">
        <x:v>85</x:v>
      </x:c>
      <x:c r="I27" s="114">
        <x:f>SUM(C27:D34,F27:G32)</x:f>
        <x:v>755919.3548387097</x:v>
      </x:c>
      <x:c r="M27" s="66"/>
    </x:row>
    <x:row r="28" spans="1:13" ht="30.949999999999999" customHeight="1">
      <x:c r="A28" s="315"/>
      <x:c r="B28" s="54" t="s">
        <x:v>29</x:v>
      </x:c>
      <x:c r="C28" s="272">
        <x:f>3800000/31</x:f>
        <x:v>122580.64516129032</x:v>
      </x:c>
      <x:c r="D28" s="272"/>
      <x:c r="E28" s="55" t="s">
        <x:v>52</x:v>
      </x:c>
      <x:c r="F28" s="311">
        <x:v>58500</x:v>
      </x:c>
      <x:c r="G28" s="311"/>
      <x:c r="H28" s="113" t="s">
        <x:v>59</x:v>
      </x:c>
      <x:c r="I28" s="115">
        <x:f>I27/$A$25</x:f>
        <x:v>0.14899366410539266</x:v>
      </x:c>
      <x:c r="M28" s="66"/>
    </x:row>
    <x:row r="29" spans="1:13" ht="30.949999999999999" customHeight="1">
      <x:c r="A29" s="315"/>
      <x:c r="B29" s="54" t="s">
        <x:v>21</x:v>
      </x:c>
      <x:c r="C29" s="272">
        <x:f>3200000/31</x:f>
        <x:v>103225.80645161291</x:v>
      </x:c>
      <x:c r="D29" s="272"/>
      <x:c r="E29" s="54" t="s">
        <x:v>52</x:v>
      </x:c>
      <x:c r="F29" s="258"/>
      <x:c r="G29" s="258"/>
      <x:c r="H29" s="113" t="s">
        <x:v>19</x:v>
      </x:c>
      <x:c r="I29" s="114">
        <x:f>SUM('1:13'!$I$25)</x:f>
        <x:v>71148041</x:v>
      </x:c>
      <x:c r="M29" s="66"/>
    </x:row>
    <x:row r="30" spans="1:13" ht="30.949999999999999" customHeight="1">
      <x:c r="A30" s="315"/>
      <x:c r="B30" s="54" t="s">
        <x:v>41</x:v>
      </x:c>
      <x:c r="C30" s="272">
        <x:f>3400000/31</x:f>
        <x:v>109677.41935483871</x:v>
      </x:c>
      <x:c r="D30" s="272"/>
      <x:c r="E30" s="55"/>
      <x:c r="F30" s="306"/>
      <x:c r="G30" s="307"/>
      <x:c r="H30" s="113" t="s">
        <x:v>110</x:v>
      </x:c>
      <x:c r="I30" s="115">
        <x:f>I29/$I$27</x:f>
        <x:v>94.121205581752619</x:v>
      </x:c>
      <x:c r="M30" s="66"/>
    </x:row>
    <x:row r="31" spans="1:7" customHeight="1">
      <x:c r="A31" s="315"/>
      <x:c r="B31" s="54" t="s">
        <x:v>12</x:v>
      </x:c>
      <x:c r="C31" s="309">
        <x:f>3500000/31</x:f>
        <x:v>112903.22580645161</x:v>
      </x:c>
      <x:c r="D31" s="310"/>
      <x:c r="E31" s="55" t="s">
        <x:v>62</x:v>
      </x:c>
      <x:c r="F31" s="306">
        <x:v>120000</x:v>
      </x:c>
      <x:c r="G31" s="307"/>
    </x:row>
    <x:row r="32" spans="1:7" customHeight="1">
      <x:c r="A32" s="315"/>
      <x:c r="B32" s="355" t="s">
        <x:v>40</x:v>
      </x:c>
      <x:c r="C32" s="304"/>
      <x:c r="D32" s="305"/>
      <x:c r="E32" s="55" t="s">
        <x:v>1</x:v>
      </x:c>
      <x:c r="F32" s="306"/>
      <x:c r="G32" s="307"/>
    </x:row>
    <x:row r="33" spans="1:4" customHeight="1">
      <x:c r="A33" s="315"/>
      <x:c r="B33" s="355" t="s">
        <x:v>149</x:v>
      </x:c>
      <x:c r="C33" s="304"/>
      <x:c r="D33" s="305"/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6"/>
  <x:dimension ref="A1:O34"/>
  <x:sheetViews>
    <x:sheetView topLeftCell="A3" zoomScale="85" zoomScaleNormal="85" zoomScaleSheetLayoutView="75" workbookViewId="0">
      <x:selection activeCell="E27" activeCellId="0" sqref="E27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89</x:v>
      </x:c>
      <x:c r="D1" s="68"/>
      <x:c r="E1" s="68">
        <x:v>3</x:v>
      </x:c>
      <x:c r="F1" s="68">
        <x:v>14</x:v>
      </x:c>
      <x:c r="G1" s="68" t="s">
        <x:v>31</x:v>
      </x:c>
      <x:c r="H1" s="52" t="s">
        <x:v>103</x:v>
      </x:c>
      <x:c r="I1" s="52">
        <x:f>F1-K1</x:f>
        <x:v>14</x:v>
      </x:c>
      <x:c r="J1" s="52" t="s">
        <x:v>93</x:v>
      </x:c>
      <x:c r="K1" s="52"/>
    </x:row>
    <x:row r="2" spans="1:11" ht="20.100000000000001" customHeight="1">
      <x:c r="A2" s="267" t="s">
        <x:v>24</x:v>
      </x:c>
      <x:c r="B2" s="268"/>
      <x:c r="C2" s="271">
        <x:f>SUM(C4:D7)</x:f>
        <x:v>5531500</x:v>
      </x:c>
      <x:c r="D2" s="271"/>
      <x:c r="E2" s="274" t="s">
        <x:v>9</x:v>
      </x:c>
      <x:c r="F2" s="275"/>
      <x:c r="G2" s="263">
        <x:v>235350</x:v>
      </x:c>
      <x:c r="H2" s="261" t="s">
        <x:v>60</x:v>
      </x:c>
      <x:c r="I2" s="262"/>
      <x:c r="J2" s="259" t="s">
        <x:v>140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1" ht="30.949999999999999" customHeight="1">
      <x:c r="A4" s="265" t="s">
        <x:v>11</x:v>
      </x:c>
      <x:c r="B4" s="266"/>
      <x:c r="C4" s="258">
        <x:v>4814600</x:v>
      </x:c>
      <x:c r="D4" s="258"/>
      <x:c r="E4" s="273" t="s">
        <x:v>137</x:v>
      </x:c>
      <x:c r="F4" s="273"/>
      <x:c r="G4" s="135">
        <x:f>INT(C4*0.0275)</x:f>
        <x:v>132401</x:v>
      </x:c>
      <x:c r="H4" s="54" t="s">
        <x:v>43</x:v>
      </x:c>
      <x:c r="I4" s="126">
        <x:v>2928686</x:v>
      </x:c>
      <x:c r="J4" s="83" t="s">
        <x:v>18</x:v>
      </x:c>
      <x:c r="K4" s="58"/>
    </x:row>
    <x:row r="5" spans="1:11" ht="30.949999999999999" customHeight="1">
      <x:c r="A5" s="265" t="s">
        <x:v>50</x:v>
      </x:c>
      <x:c r="B5" s="266"/>
      <x:c r="C5" s="258">
        <x:v>716900</x:v>
      </x:c>
      <x:c r="D5" s="258"/>
      <x:c r="E5" s="257" t="s">
        <x:v>146</x:v>
      </x:c>
      <x:c r="F5" s="257"/>
      <x:c r="G5" s="135">
        <x:f>INT(C5*0.01)</x:f>
        <x:v>7169</x:v>
      </x:c>
      <x:c r="H5" s="54" t="s">
        <x:v>60</x:v>
      </x:c>
      <x:c r="I5" s="126">
        <x:v>625928</x:v>
      </x:c>
      <x:c r="J5" s="83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>
        <x:v>876400</x:v>
      </x:c>
      <x:c r="H6" s="54"/>
      <x:c r="I6" s="126"/>
      <x:c r="J6" s="83" t="s">
        <x:v>114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6">
        <x:v>375700</x:v>
      </x:c>
      <x:c r="J7" s="83" t="s">
        <x:v>118</x:v>
      </x:c>
      <x:c r="K7" s="58"/>
    </x:row>
    <x:row r="8" spans="1:11" ht="21.949999999999999" customHeight="1">
      <x:c r="A8" s="256" t="s">
        <x:v>108</x:v>
      </x:c>
      <x:c r="B8" s="257"/>
      <x:c r="C8" s="258">
        <x:v>75850</x:v>
      </x:c>
      <x:c r="D8" s="258"/>
      <x:c r="E8" s="284" t="s">
        <x:v>128</x:v>
      </x:c>
      <x:c r="F8" s="285"/>
      <x:c r="G8" s="290">
        <x:f>C5+G2-G6-C22</x:f>
        <x:v>75850</x:v>
      </x:c>
      <x:c r="H8" s="54" t="s">
        <x:v>16</x:v>
      </x:c>
      <x:c r="I8" s="126">
        <x:v>56000</x:v>
      </x:c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30.949999999999999" customHeight="1">
      <x:c r="A10" s="256" t="s">
        <x:v>129</x:v>
      </x:c>
      <x:c r="B10" s="257"/>
      <x:c r="C10" s="258">
        <x:v>56400</x:v>
      </x:c>
      <x:c r="D10" s="258"/>
      <x:c r="E10" s="257" t="s">
        <x:v>69</x:v>
      </x:c>
      <x:c r="F10" s="257"/>
      <x:c r="G10" s="55"/>
      <x:c r="H10" s="54"/>
      <x:c r="I10" s="126"/>
      <x:c r="J10" s="54" t="s">
        <x:v>4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37</x:v>
      </x:c>
      <x:c r="I11" s="58"/>
      <x:c r="J11" s="54" t="s">
        <x:v>102</x:v>
      </x:c>
      <x:c r="K11" s="137">
        <x:v>14194</x:v>
      </x:c>
    </x:row>
    <x:row r="12" spans="1:13" ht="21.949999999999999" customHeight="1">
      <x:c r="A12" s="59" t="s">
        <x:v>39</x:v>
      </x:c>
      <x:c r="B12" s="294" t="s">
        <x:v>22</x:v>
      </x:c>
      <x:c r="C12" s="81">
        <x:v>7</x:v>
      </x:c>
      <x:c r="D12" s="284" t="s">
        <x:v>100</x:v>
      </x:c>
      <x:c r="E12" s="285"/>
      <x:c r="F12" s="288">
        <x:v>10</x:v>
      </x:c>
      <x:c r="G12" s="289"/>
      <x:c r="H12" s="54" t="s">
        <x:v>80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112</x:v>
      </x:c>
      <x:c r="B13" s="295"/>
      <x:c r="C13" s="136">
        <x:f>SUM('1:14'!$C$12)</x:f>
        <x:v>260</x:v>
      </x:c>
      <x:c r="D13" s="276"/>
      <x:c r="E13" s="277"/>
      <x:c r="F13" s="286">
        <x:f>SUM('1:14'!$F$12)</x:f>
        <x:v>106</x:v>
      </x:c>
      <x:c r="G13" s="287"/>
      <x:c r="H13" s="54" t="s">
        <x:v>131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39</x:v>
      </x:c>
      <x:c r="B14" s="294" t="s">
        <x:v>34</x:v>
      </x:c>
      <x:c r="C14" s="81">
        <x:v>50</x:v>
      </x:c>
      <x:c r="D14" s="284" t="s">
        <x:v>84</x:v>
      </x:c>
      <x:c r="E14" s="285"/>
      <x:c r="F14" s="288">
        <x:v>18</x:v>
      </x:c>
      <x:c r="G14" s="289"/>
      <x:c r="H14" s="54" t="s">
        <x:v>104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112</x:v>
      </x:c>
      <x:c r="B15" s="295"/>
      <x:c r="C15" s="136">
        <x:f>SUM('1:14'!$C$14)</x:f>
        <x:v>771</x:v>
      </x:c>
      <x:c r="D15" s="276"/>
      <x:c r="E15" s="277"/>
      <x:c r="F15" s="286">
        <x:f>SUM('1:14'!$F$14)</x:f>
        <x:v>308</x:v>
      </x:c>
      <x:c r="G15" s="287"/>
      <x:c r="H15" s="54" t="s">
        <x:v>87</x:v>
      </x:c>
      <x:c r="I15" s="58">
        <x:v>127500</x:v>
      </x:c>
      <x:c r="J15" s="54" t="s">
        <x:v>140</x:v>
      </x:c>
      <x:c r="K15" s="58"/>
      <x:c r="L15" s="60"/>
      <x:c r="M15" s="11"/>
    </x:row>
    <x:row r="16" spans="1:13" ht="21.949999999999999" customHeight="1">
      <x:c r="A16" s="59" t="s">
        <x:v>39</x:v>
      </x:c>
      <x:c r="B16" s="294" t="s">
        <x:v>2</x:v>
      </x:c>
      <x:c r="C16" s="81">
        <x:v>3</x:v>
      </x:c>
      <x:c r="D16" s="284" t="s">
        <x:v>111</x:v>
      </x:c>
      <x:c r="E16" s="285"/>
      <x:c r="F16" s="282">
        <x:v>22</x:v>
      </x:c>
      <x:c r="G16" s="282"/>
      <x:c r="H16" s="54"/>
      <x:c r="I16" s="58"/>
      <x:c r="J16" s="54" t="s">
        <x:v>78</x:v>
      </x:c>
      <x:c r="K16" s="58"/>
      <x:c r="L16" s="60"/>
      <x:c r="M16" s="11"/>
    </x:row>
    <x:row r="17" spans="1:13" ht="21.949999999999999" customHeight="1">
      <x:c r="A17" s="59" t="s">
        <x:v>112</x:v>
      </x:c>
      <x:c r="B17" s="295"/>
      <x:c r="C17" s="136">
        <x:f>SUM('1:14'!$C$16)</x:f>
        <x:v>84</x:v>
      </x:c>
      <x:c r="D17" s="276"/>
      <x:c r="E17" s="277"/>
      <x:c r="F17" s="283">
        <x:f>SUM('1:14'!$F$16)</x:f>
        <x:v>219</x:v>
      </x:c>
      <x:c r="G17" s="283"/>
      <x:c r="H17" s="54" t="s">
        <x:v>56</x:v>
      </x:c>
      <x:c r="I17" s="58"/>
      <x:c r="J17" s="54" t="s">
        <x:v>72</x:v>
      </x:c>
      <x:c r="K17" s="58"/>
      <x:c r="L17" s="60"/>
      <x:c r="M17" s="11"/>
    </x:row>
    <x:row r="18" spans="1:13" ht="21.949999999999999" customHeight="1">
      <x:c r="A18" s="59" t="s">
        <x:v>39</x:v>
      </x:c>
      <x:c r="B18" s="294" t="s">
        <x:v>120</x:v>
      </x:c>
      <x:c r="C18" s="81">
        <x:v>64</x:v>
      </x:c>
      <x:c r="D18" s="284" t="s">
        <x:v>122</x:v>
      </x:c>
      <x:c r="E18" s="285"/>
      <x:c r="F18" s="292">
        <x:v>13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112</x:v>
      </x:c>
      <x:c r="B19" s="295"/>
      <x:c r="C19" s="136">
        <x:f>SUM('1:14'!$C$18)</x:f>
        <x:v>503</x:v>
      </x:c>
      <x:c r="D19" s="276"/>
      <x:c r="E19" s="277"/>
      <x:c r="F19" s="283">
        <x:f>SUM('1:14'!$F$18)</x:f>
        <x:v>185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95</x:v>
      </x:c>
      <x:c r="E20" s="257"/>
      <x:c r="F20" s="282">
        <x:v>75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132</x:v>
      </x:c>
      <x:c r="E21" s="257"/>
      <x:c r="F21" s="283">
        <x:f>SUM('1:14'!$F$20)</x:f>
        <x:v>895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77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121</x:v>
      </x:c>
      <x:c r="B23" s="257"/>
      <x:c r="C23" s="312"/>
      <x:c r="D23" s="313"/>
      <x:c r="E23" s="313"/>
      <x:c r="F23" s="313"/>
      <x:c r="G23" s="313"/>
      <x:c r="H23" s="109" t="s">
        <x:v>127</x:v>
      </x:c>
      <x:c r="I23" s="110">
        <x:f>SUM(I4:I22)</x:f>
        <x:v>4113814</x:v>
      </x:c>
      <x:c r="J23" s="61" t="s">
        <x:v>99</x:v>
      </x:c>
      <x:c r="K23" s="62">
        <x:f>SUM(K4:K22)</x:f>
        <x:v>14194</x:v>
      </x:c>
      <x:c r="M23" s="90" t="s">
        <x:v>107</x:v>
      </x:c>
      <x:c r="N23" s="279">
        <x:f>C5+C6</x:f>
        <x:v>716900</x:v>
      </x:c>
      <x:c r="O23" s="280"/>
    </x:row>
    <x:row r="24" spans="1:11" ht="34.149999999999999" customHeight="1">
      <x:c r="A24" s="256" t="s">
        <x:v>59</x:v>
      </x:c>
      <x:c r="B24" s="257"/>
      <x:c r="C24" s="257" t="s">
        <x:v>91</x:v>
      </x:c>
      <x:c r="D24" s="257"/>
      <x:c r="E24" s="257" t="s">
        <x:v>135</x:v>
      </x:c>
      <x:c r="F24" s="257"/>
      <x:c r="G24" s="257"/>
      <x:c r="H24" s="109" t="s">
        <x:v>59</x:v>
      </x:c>
      <x:c r="I24" s="111">
        <x:f>I23/A25</x:f>
        <x:v>0.74370677031546595</x:v>
      </x:c>
      <x:c r="J24" s="61" t="s">
        <x:v>59</x:v>
      </x:c>
      <x:c r="K24" s="63">
        <x:f>K23/A25</x:f>
        <x:v>0.0025660309138570009</x:v>
      </x:c>
    </x:row>
    <x:row r="25" spans="1:11" ht="34.149999999999999" customHeight="1">
      <x:c r="A25" s="308">
        <x:f>C2</x:f>
        <x:v>5531500</x:v>
      </x:c>
      <x:c r="B25" s="272"/>
      <x:c r="C25" s="272">
        <x:f>E25/I1</x:f>
        <x:v>4493892.8571428573</x:v>
      </x:c>
      <x:c r="D25" s="272"/>
      <x:c r="E25" s="272">
        <x:f>SUM('1:14'!$A$25)</x:f>
        <x:v>62914500</x:v>
      </x:c>
      <x:c r="F25" s="272"/>
      <x:c r="G25" s="272"/>
      <x:c r="H25" s="109" t="s">
        <x:v>19</x:v>
      </x:c>
      <x:c r="I25" s="110">
        <x:f>SUM('1:14'!$I$21)</x:f>
        <x:v>0</x:v>
      </x:c>
      <x:c r="J25" s="61" t="s">
        <x:v>19</x:v>
      </x:c>
      <x:c r="K25" s="62">
        <x:f>SUM('1:14'!$K$21)</x:f>
        <x:v>0</x:v>
      </x:c>
    </x:row>
    <x:row r="26" spans="1:11" ht="34.149999999999999" customHeight="1">
      <x:c r="A26" s="256" t="s">
        <x:v>71</x:v>
      </x:c>
      <x:c r="B26" s="257"/>
      <x:c r="C26" s="257"/>
      <x:c r="D26" s="257"/>
      <x:c r="E26" s="258"/>
      <x:c r="F26" s="258"/>
      <x:c r="G26" s="258"/>
      <x:c r="H26" s="109" t="s">
        <x:v>110</x:v>
      </x:c>
      <x:c r="I26" s="112">
        <x:f>I25/$E$25</x:f>
        <x:v>0</x:v>
      </x:c>
      <x:c r="J26" s="64" t="s">
        <x:v>110</x:v>
      </x:c>
      <x:c r="K26" s="65">
        <x:f>K25/$E$25</x:f>
        <x:v>0</x:v>
      </x:c>
    </x:row>
    <x:row r="27" spans="1:13" ht="30.949999999999999" customHeight="1">
      <x:c r="A27" s="314" t="s">
        <x:v>68</x:v>
      </x:c>
      <x:c r="B27" s="54" t="s">
        <x:v>44</x:v>
      </x:c>
      <x:c r="C27" s="272">
        <x:f>4000000/31</x:f>
        <x:v>129032.25806451614</x:v>
      </x:c>
      <x:c r="D27" s="272"/>
      <x:c r="E27" s="55" t="s">
        <x:v>52</x:v>
      </x:c>
      <x:c r="F27" s="258"/>
      <x:c r="G27" s="258"/>
      <x:c r="H27" s="113" t="s">
        <x:v>85</x:v>
      </x:c>
      <x:c r="I27" s="114">
        <x:f>SUM(C27:D34,F27:G32)</x:f>
        <x:v>767419.3548387097</x:v>
      </x:c>
      <x:c r="M27" s="66"/>
    </x:row>
    <x:row r="28" spans="1:13" ht="30.949999999999999" customHeight="1">
      <x:c r="A28" s="315"/>
      <x:c r="B28" s="54" t="s">
        <x:v>29</x:v>
      </x:c>
      <x:c r="C28" s="272">
        <x:f>3800000/31</x:f>
        <x:v>122580.64516129032</x:v>
      </x:c>
      <x:c r="D28" s="272"/>
      <x:c r="E28" s="55" t="s">
        <x:v>52</x:v>
      </x:c>
      <x:c r="F28" s="311"/>
      <x:c r="G28" s="311"/>
      <x:c r="H28" s="113" t="s">
        <x:v>59</x:v>
      </x:c>
      <x:c r="I28" s="115">
        <x:f>I27/$A$25</x:f>
        <x:v>0.13873621166748798</x:v>
      </x:c>
      <x:c r="M28" s="66"/>
    </x:row>
    <x:row r="29" spans="1:13" ht="30.949999999999999" customHeight="1">
      <x:c r="A29" s="315"/>
      <x:c r="B29" s="54" t="s">
        <x:v>21</x:v>
      </x:c>
      <x:c r="C29" s="272">
        <x:f>3200000/31</x:f>
        <x:v>103225.80645161291</x:v>
      </x:c>
      <x:c r="D29" s="272"/>
      <x:c r="E29" s="54" t="s">
        <x:v>52</x:v>
      </x:c>
      <x:c r="F29" s="258"/>
      <x:c r="G29" s="258"/>
      <x:c r="H29" s="113" t="s">
        <x:v>19</x:v>
      </x:c>
      <x:c r="I29" s="114">
        <x:f>SUM('1:14'!$I$25)</x:f>
        <x:v>71148041</x:v>
      </x:c>
      <x:c r="M29" s="66" t="s">
        <x:v>54</x:v>
      </x:c>
    </x:row>
    <x:row r="30" spans="1:13" ht="30.949999999999999" customHeight="1">
      <x:c r="A30" s="315"/>
      <x:c r="B30" s="54" t="s">
        <x:v>41</x:v>
      </x:c>
      <x:c r="C30" s="272">
        <x:f>3400000/31</x:f>
        <x:v>109677.41935483871</x:v>
      </x:c>
      <x:c r="D30" s="272"/>
      <x:c r="E30" s="55"/>
      <x:c r="F30" s="306"/>
      <x:c r="G30" s="307"/>
      <x:c r="H30" s="113" t="s">
        <x:v>110</x:v>
      </x:c>
      <x:c r="I30" s="115">
        <x:f>I29/$I$27</x:f>
        <x:v>92.71077221521648</x:v>
      </x:c>
      <x:c r="M30" s="66"/>
    </x:row>
    <x:row r="31" spans="1:7" customHeight="1">
      <x:c r="A31" s="315"/>
      <x:c r="B31" s="54" t="s">
        <x:v>12</x:v>
      </x:c>
      <x:c r="C31" s="309">
        <x:f>3500000/31</x:f>
        <x:v>112903.22580645161</x:v>
      </x:c>
      <x:c r="D31" s="310"/>
      <x:c r="E31" s="55" t="s">
        <x:v>62</x:v>
      </x:c>
      <x:c r="F31" s="306">
        <x:v>120000</x:v>
      </x:c>
      <x:c r="G31" s="307"/>
    </x:row>
    <x:row r="32" spans="1:7" customHeight="1">
      <x:c r="A32" s="315"/>
      <x:c r="B32" s="355" t="s">
        <x:v>40</x:v>
      </x:c>
      <x:c r="C32" s="304">
        <x:v>70000</x:v>
      </x:c>
      <x:c r="D32" s="305"/>
      <x:c r="E32" s="55" t="s">
        <x:v>1</x:v>
      </x:c>
      <x:c r="F32" s="306"/>
      <x:c r="G32" s="307"/>
    </x:row>
    <x:row r="33" spans="1:4" customHeight="1">
      <x:c r="A33" s="315"/>
      <x:c r="B33" s="355" t="s">
        <x:v>149</x:v>
      </x:c>
      <x:c r="C33" s="304"/>
      <x:c r="D33" s="305"/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7"/>
  <x:dimension ref="A1:O34"/>
  <x:sheetViews>
    <x:sheetView topLeftCell="A1" zoomScale="85" zoomScaleNormal="85" zoomScaleSheetLayoutView="75" workbookViewId="0">
      <x:selection activeCell="E27" activeCellId="0" sqref="E27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4" width="8.625" style="53" bestFit="1" customWidth="1"/>
    <x:col min="15" max="16384" width="8.625" style="53"/>
  </x:cols>
  <x:sheetData>
    <x:row r="1" spans="1:11" customHeight="1">
      <x:c r="A1" s="51"/>
      <x:c r="B1" s="51"/>
      <x:c r="C1" s="68" t="s">
        <x:v>89</x:v>
      </x:c>
      <x:c r="D1" s="68"/>
      <x:c r="E1" s="68">
        <x:v>3</x:v>
      </x:c>
      <x:c r="F1" s="68">
        <x:v>15</x:v>
      </x:c>
      <x:c r="G1" s="68" t="s">
        <x:v>49</x:v>
      </x:c>
      <x:c r="H1" s="52" t="s">
        <x:v>103</x:v>
      </x:c>
      <x:c r="I1" s="52">
        <x:f>F1-K1</x:f>
        <x:v>15</x:v>
      </x:c>
      <x:c r="J1" s="52" t="s">
        <x:v>93</x:v>
      </x:c>
      <x:c r="K1" s="52"/>
    </x:row>
    <x:row r="2" spans="1:11" ht="20.100000000000001" customHeight="1">
      <x:c r="A2" s="267" t="s">
        <x:v>24</x:v>
      </x:c>
      <x:c r="B2" s="268"/>
      <x:c r="C2" s="271">
        <x:f>SUM(C4:D7)</x:f>
        <x:v>4957000</x:v>
      </x:c>
      <x:c r="D2" s="271"/>
      <x:c r="E2" s="274" t="s">
        <x:v>9</x:v>
      </x:c>
      <x:c r="F2" s="275"/>
      <x:c r="G2" s="263">
        <x:v>75850</x:v>
      </x:c>
      <x:c r="H2" s="261" t="s">
        <x:v>60</x:v>
      </x:c>
      <x:c r="I2" s="262"/>
      <x:c r="J2" s="259" t="s">
        <x:v>140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1" ht="30.949999999999999" customHeight="1">
      <x:c r="A4" s="265" t="s">
        <x:v>11</x:v>
      </x:c>
      <x:c r="B4" s="266"/>
      <x:c r="C4" s="258">
        <x:v>3874000</x:v>
      </x:c>
      <x:c r="D4" s="258"/>
      <x:c r="E4" s="273" t="s">
        <x:v>137</x:v>
      </x:c>
      <x:c r="F4" s="273"/>
      <x:c r="G4" s="135">
        <x:f>INT(C4*0.0275)</x:f>
        <x:v>106535</x:v>
      </x:c>
      <x:c r="H4" s="54" t="s">
        <x:v>43</x:v>
      </x:c>
      <x:c r="I4" s="126"/>
      <x:c r="J4" s="83" t="s">
        <x:v>18</x:v>
      </x:c>
      <x:c r="K4" s="58"/>
    </x:row>
    <x:row r="5" spans="1:13" ht="30.949999999999999" customHeight="1">
      <x:c r="A5" s="265" t="s">
        <x:v>50</x:v>
      </x:c>
      <x:c r="B5" s="266"/>
      <x:c r="C5" s="258">
        <x:v>1083000</x:v>
      </x:c>
      <x:c r="D5" s="258"/>
      <x:c r="E5" s="257" t="s">
        <x:v>146</x:v>
      </x:c>
      <x:c r="F5" s="257"/>
      <x:c r="G5" s="135">
        <x:f>INT(C5*0.01)</x:f>
        <x:v>10830</x:v>
      </x:c>
      <x:c r="H5" s="54" t="s">
        <x:v>60</x:v>
      </x:c>
      <x:c r="I5" s="126"/>
      <x:c r="J5" s="83"/>
      <x:c r="K5" s="58"/>
      <x:c r="M5" s="13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>
        <x:v>1100000</x:v>
      </x:c>
      <x:c r="H6" s="54"/>
      <x:c r="I6" s="126"/>
      <x:c r="J6" s="83" t="s">
        <x:v>114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6"/>
      <x:c r="J7" s="83" t="s">
        <x:v>118</x:v>
      </x:c>
      <x:c r="K7" s="58"/>
    </x:row>
    <x:row r="8" spans="1:11" ht="21.949999999999999" customHeight="1">
      <x:c r="A8" s="256" t="s">
        <x:v>108</x:v>
      </x:c>
      <x:c r="B8" s="257"/>
      <x:c r="C8" s="258">
        <x:v>58850</x:v>
      </x:c>
      <x:c r="D8" s="258"/>
      <x:c r="E8" s="284" t="s">
        <x:v>128</x:v>
      </x:c>
      <x:c r="F8" s="285"/>
      <x:c r="G8" s="290">
        <x:f>C5+G2-G6-C22</x:f>
        <x:v>58850</x:v>
      </x:c>
      <x:c r="H8" s="54" t="s">
        <x:v>16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30.949999999999999" customHeight="1">
      <x:c r="A10" s="256" t="s">
        <x:v>129</x:v>
      </x:c>
      <x:c r="B10" s="257"/>
      <x:c r="C10" s="258">
        <x:v>63000</x:v>
      </x:c>
      <x:c r="D10" s="258"/>
      <x:c r="E10" s="257" t="s">
        <x:v>69</x:v>
      </x:c>
      <x:c r="F10" s="257"/>
      <x:c r="G10" s="55"/>
      <x:c r="H10" s="54"/>
      <x:c r="I10" s="126"/>
      <x:c r="J10" s="54" t="s">
        <x:v>4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37</x:v>
      </x:c>
      <x:c r="I11" s="58"/>
      <x:c r="J11" s="54" t="s">
        <x:v>102</x:v>
      </x:c>
      <x:c r="K11" s="137">
        <x:v>14194</x:v>
      </x:c>
    </x:row>
    <x:row r="12" spans="1:13" ht="21.949999999999999" customHeight="1">
      <x:c r="A12" s="59" t="s">
        <x:v>39</x:v>
      </x:c>
      <x:c r="B12" s="294" t="s">
        <x:v>22</x:v>
      </x:c>
      <x:c r="C12" s="81">
        <x:v>18</x:v>
      </x:c>
      <x:c r="D12" s="284" t="s">
        <x:v>100</x:v>
      </x:c>
      <x:c r="E12" s="285"/>
      <x:c r="F12" s="288">
        <x:v>12</x:v>
      </x:c>
      <x:c r="G12" s="289"/>
      <x:c r="H12" s="54" t="s">
        <x:v>80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112</x:v>
      </x:c>
      <x:c r="B13" s="295"/>
      <x:c r="C13" s="136">
        <x:f>SUM('1:15'!$C$12)</x:f>
        <x:v>278</x:v>
      </x:c>
      <x:c r="D13" s="276"/>
      <x:c r="E13" s="277"/>
      <x:c r="F13" s="286">
        <x:f>SUM('1:15'!$F$12)</x:f>
        <x:v>118</x:v>
      </x:c>
      <x:c r="G13" s="287"/>
      <x:c r="H13" s="54" t="s">
        <x:v>131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39</x:v>
      </x:c>
      <x:c r="B14" s="294" t="s">
        <x:v>34</x:v>
      </x:c>
      <x:c r="C14" s="81">
        <x:v>59</x:v>
      </x:c>
      <x:c r="D14" s="284" t="s">
        <x:v>84</x:v>
      </x:c>
      <x:c r="E14" s="285"/>
      <x:c r="F14" s="288">
        <x:v>33</x:v>
      </x:c>
      <x:c r="G14" s="289"/>
      <x:c r="H14" s="54" t="s">
        <x:v>104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112</x:v>
      </x:c>
      <x:c r="B15" s="295"/>
      <x:c r="C15" s="136">
        <x:f>SUM('1:15'!$C$14)</x:f>
        <x:v>830</x:v>
      </x:c>
      <x:c r="D15" s="276"/>
      <x:c r="E15" s="277"/>
      <x:c r="F15" s="286">
        <x:f>SUM('1:15'!$F$14)</x:f>
        <x:v>341</x:v>
      </x:c>
      <x:c r="G15" s="287"/>
      <x:c r="H15" s="54" t="s">
        <x:v>87</x:v>
      </x:c>
      <x:c r="I15" s="58">
        <x:v>201400</x:v>
      </x:c>
      <x:c r="J15" s="54" t="s">
        <x:v>140</x:v>
      </x:c>
      <x:c r="K15" s="58"/>
      <x:c r="L15" s="60"/>
      <x:c r="M15" s="11"/>
    </x:row>
    <x:row r="16" spans="1:13" ht="21.949999999999999" customHeight="1">
      <x:c r="A16" s="59" t="s">
        <x:v>39</x:v>
      </x:c>
      <x:c r="B16" s="294" t="s">
        <x:v>2</x:v>
      </x:c>
      <x:c r="C16" s="81">
        <x:v>9</x:v>
      </x:c>
      <x:c r="D16" s="284" t="s">
        <x:v>111</x:v>
      </x:c>
      <x:c r="E16" s="285"/>
      <x:c r="F16" s="282">
        <x:v>20</x:v>
      </x:c>
      <x:c r="G16" s="282"/>
      <x:c r="H16" s="54"/>
      <x:c r="I16" s="58"/>
      <x:c r="J16" s="54" t="s">
        <x:v>78</x:v>
      </x:c>
      <x:c r="K16" s="58">
        <x:v>116666</x:v>
      </x:c>
      <x:c r="L16" s="60"/>
      <x:c r="M16" s="11"/>
    </x:row>
    <x:row r="17" spans="1:13" ht="21.949999999999999" customHeight="1">
      <x:c r="A17" s="59" t="s">
        <x:v>112</x:v>
      </x:c>
      <x:c r="B17" s="295"/>
      <x:c r="C17" s="136">
        <x:f>SUM('1:15'!$C$16)</x:f>
        <x:v>93</x:v>
      </x:c>
      <x:c r="D17" s="276"/>
      <x:c r="E17" s="277"/>
      <x:c r="F17" s="283">
        <x:f>SUM('1:15'!$F$16)</x:f>
        <x:v>239</x:v>
      </x:c>
      <x:c r="G17" s="283"/>
      <x:c r="H17" s="54" t="s">
        <x:v>56</x:v>
      </x:c>
      <x:c r="I17" s="58"/>
      <x:c r="J17" s="54" t="s">
        <x:v>72</x:v>
      </x:c>
      <x:c r="K17" s="58"/>
      <x:c r="L17" s="60"/>
      <x:c r="M17" s="11"/>
    </x:row>
    <x:row r="18" spans="1:13" ht="21.949999999999999" customHeight="1">
      <x:c r="A18" s="59" t="s">
        <x:v>39</x:v>
      </x:c>
      <x:c r="B18" s="294" t="s">
        <x:v>120</x:v>
      </x:c>
      <x:c r="C18" s="81">
        <x:v>51</x:v>
      </x:c>
      <x:c r="D18" s="284" t="s">
        <x:v>122</x:v>
      </x:c>
      <x:c r="E18" s="285"/>
      <x:c r="F18" s="292">
        <x:v>18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112</x:v>
      </x:c>
      <x:c r="B19" s="295"/>
      <x:c r="C19" s="136">
        <x:f>SUM('1:15'!$C$18)</x:f>
        <x:v>554</x:v>
      </x:c>
      <x:c r="D19" s="276"/>
      <x:c r="E19" s="277"/>
      <x:c r="F19" s="283">
        <x:f>SUM('1:15'!$F$18)</x:f>
        <x:v>203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95</x:v>
      </x:c>
      <x:c r="E20" s="257"/>
      <x:c r="F20" s="282">
        <x:v>75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132</x:v>
      </x:c>
      <x:c r="E21" s="257"/>
      <x:c r="F21" s="283">
        <x:f>SUM('1:15'!$F$20)</x:f>
        <x:v>970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77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121</x:v>
      </x:c>
      <x:c r="B23" s="257"/>
      <x:c r="C23" s="312"/>
      <x:c r="D23" s="313"/>
      <x:c r="E23" s="313"/>
      <x:c r="F23" s="313"/>
      <x:c r="G23" s="313"/>
      <x:c r="H23" s="109" t="s">
        <x:v>127</x:v>
      </x:c>
      <x:c r="I23" s="110">
        <x:f>SUM(I4:I22)</x:f>
        <x:v>201400</x:v>
      </x:c>
      <x:c r="J23" s="61" t="s">
        <x:v>99</x:v>
      </x:c>
      <x:c r="K23" s="62">
        <x:f>SUM(K4:K22)</x:f>
        <x:v>130860</x:v>
      </x:c>
      <x:c r="M23" s="90" t="s">
        <x:v>107</x:v>
      </x:c>
      <x:c r="N23" s="279">
        <x:f>C5+C6</x:f>
        <x:v>1083000</x:v>
      </x:c>
      <x:c r="O23" s="280"/>
    </x:row>
    <x:row r="24" spans="1:11" ht="34.149999999999999" customHeight="1">
      <x:c r="A24" s="256" t="s">
        <x:v>59</x:v>
      </x:c>
      <x:c r="B24" s="257"/>
      <x:c r="C24" s="257" t="s">
        <x:v>91</x:v>
      </x:c>
      <x:c r="D24" s="257"/>
      <x:c r="E24" s="257" t="s">
        <x:v>135</x:v>
      </x:c>
      <x:c r="F24" s="257"/>
      <x:c r="G24" s="257"/>
      <x:c r="H24" s="109" t="s">
        <x:v>59</x:v>
      </x:c>
      <x:c r="I24" s="111">
        <x:f>I23/A25</x:f>
        <x:v>0.040629412951381887</x:v>
      </x:c>
      <x:c r="J24" s="61" t="s">
        <x:v>59</x:v>
      </x:c>
      <x:c r="K24" s="63">
        <x:f>K23/A25</x:f>
        <x:v>0.02639903167238249</x:v>
      </x:c>
    </x:row>
    <x:row r="25" spans="1:11" ht="34.149999999999999" customHeight="1">
      <x:c r="A25" s="308">
        <x:f>C2</x:f>
        <x:v>4957000</x:v>
      </x:c>
      <x:c r="B25" s="272"/>
      <x:c r="C25" s="272">
        <x:f>E25/I1</x:f>
        <x:v>4524766.666666667</x:v>
      </x:c>
      <x:c r="D25" s="272"/>
      <x:c r="E25" s="272">
        <x:f>SUM('1:15'!$A$25)</x:f>
        <x:v>67871500</x:v>
      </x:c>
      <x:c r="F25" s="272"/>
      <x:c r="G25" s="272"/>
      <x:c r="H25" s="109" t="s">
        <x:v>19</x:v>
      </x:c>
      <x:c r="I25" s="110">
        <x:f>SUM('1:15'!$I$21)</x:f>
        <x:v>0</x:v>
      </x:c>
      <x:c r="J25" s="61" t="s">
        <x:v>19</x:v>
      </x:c>
      <x:c r="K25" s="62">
        <x:f>SUM('1:15'!$K$21)</x:f>
        <x:v>0</x:v>
      </x:c>
    </x:row>
    <x:row r="26" spans="1:11" ht="34.149999999999999" customHeight="1">
      <x:c r="A26" s="256" t="s">
        <x:v>71</x:v>
      </x:c>
      <x:c r="B26" s="257"/>
      <x:c r="C26" s="257"/>
      <x:c r="D26" s="257"/>
      <x:c r="E26" s="258"/>
      <x:c r="F26" s="258"/>
      <x:c r="G26" s="258"/>
      <x:c r="H26" s="109" t="s">
        <x:v>110</x:v>
      </x:c>
      <x:c r="I26" s="112">
        <x:f>I25/$E$25</x:f>
        <x:v>0</x:v>
      </x:c>
      <x:c r="J26" s="64" t="s">
        <x:v>110</x:v>
      </x:c>
      <x:c r="K26" s="65">
        <x:f>K25/$E$25</x:f>
        <x:v>0</x:v>
      </x:c>
    </x:row>
    <x:row r="27" spans="1:13" ht="30.949999999999999" customHeight="1">
      <x:c r="A27" s="314" t="s">
        <x:v>68</x:v>
      </x:c>
      <x:c r="B27" s="54" t="s">
        <x:v>44</x:v>
      </x:c>
      <x:c r="C27" s="272">
        <x:f>4000000/31</x:f>
        <x:v>129032.25806451614</x:v>
      </x:c>
      <x:c r="D27" s="272"/>
      <x:c r="E27" s="55" t="s">
        <x:v>52</x:v>
      </x:c>
      <x:c r="F27" s="258"/>
      <x:c r="G27" s="258"/>
      <x:c r="H27" s="113" t="s">
        <x:v>85</x:v>
      </x:c>
      <x:c r="I27" s="114">
        <x:f>SUM(C27:D34,F27:G32)</x:f>
        <x:v>790269.3548387097</x:v>
      </x:c>
      <x:c r="M27" s="66"/>
    </x:row>
    <x:row r="28" spans="1:13" ht="30.949999999999999" customHeight="1">
      <x:c r="A28" s="315"/>
      <x:c r="B28" s="54" t="s">
        <x:v>29</x:v>
      </x:c>
      <x:c r="C28" s="272">
        <x:f>3800000/31</x:f>
        <x:v>122580.64516129032</x:v>
      </x:c>
      <x:c r="D28" s="272"/>
      <x:c r="E28" s="55" t="s">
        <x:v>52</x:v>
      </x:c>
      <x:c r="F28" s="311"/>
      <x:c r="G28" s="311"/>
      <x:c r="H28" s="113" t="s">
        <x:v>59</x:v>
      </x:c>
      <x:c r="I28" s="115">
        <x:f>I27/$A$25</x:f>
        <x:v>0.15942492532554159</x:v>
      </x:c>
      <x:c r="M28" s="66"/>
    </x:row>
    <x:row r="29" spans="1:13" ht="30.949999999999999" customHeight="1">
      <x:c r="A29" s="315"/>
      <x:c r="B29" s="54" t="s">
        <x:v>21</x:v>
      </x:c>
      <x:c r="C29" s="272">
        <x:f>3200000/31</x:f>
        <x:v>103225.80645161291</x:v>
      </x:c>
      <x:c r="D29" s="272"/>
      <x:c r="E29" s="54" t="s">
        <x:v>52</x:v>
      </x:c>
      <x:c r="F29" s="258">
        <x:v>5850</x:v>
      </x:c>
      <x:c r="G29" s="258"/>
      <x:c r="H29" s="113" t="s">
        <x:v>19</x:v>
      </x:c>
      <x:c r="I29" s="114">
        <x:f>SUM('1:15'!$I$25)</x:f>
        <x:v>71148041</x:v>
      </x:c>
      <x:c r="M29" s="66"/>
    </x:row>
    <x:row r="30" spans="1:13" ht="30.949999999999999" customHeight="1">
      <x:c r="A30" s="315"/>
      <x:c r="B30" s="54" t="s">
        <x:v>41</x:v>
      </x:c>
      <x:c r="C30" s="272">
        <x:f>3400000/31</x:f>
        <x:v>109677.41935483871</x:v>
      </x:c>
      <x:c r="D30" s="272"/>
      <x:c r="E30" s="55"/>
      <x:c r="F30" s="306"/>
      <x:c r="G30" s="307"/>
      <x:c r="H30" s="113" t="s">
        <x:v>110</x:v>
      </x:c>
      <x:c r="I30" s="115">
        <x:f>I29/$I$27</x:f>
        <x:v>90.030115130202645</x:v>
      </x:c>
      <x:c r="M30" s="66"/>
    </x:row>
    <x:row r="31" spans="1:7" customHeight="1">
      <x:c r="A31" s="315"/>
      <x:c r="B31" s="54" t="s">
        <x:v>12</x:v>
      </x:c>
      <x:c r="C31" s="309">
        <x:f>3500000/31</x:f>
        <x:v>112903.22580645161</x:v>
      </x:c>
      <x:c r="D31" s="310"/>
      <x:c r="E31" s="55" t="s">
        <x:v>62</x:v>
      </x:c>
      <x:c r="F31" s="306">
        <x:v>130000</x:v>
      </x:c>
      <x:c r="G31" s="307"/>
    </x:row>
    <x:row r="32" spans="1:7" customHeight="1">
      <x:c r="A32" s="315"/>
      <x:c r="B32" s="355" t="s">
        <x:v>40</x:v>
      </x:c>
      <x:c r="C32" s="304">
        <x:v>77000</x:v>
      </x:c>
      <x:c r="D32" s="305"/>
      <x:c r="E32" s="55" t="s">
        <x:v>1</x:v>
      </x:c>
      <x:c r="F32" s="306"/>
      <x:c r="G32" s="307"/>
    </x:row>
    <x:row r="33" spans="1:4" customHeight="1">
      <x:c r="A33" s="315"/>
      <x:c r="B33" s="355" t="s">
        <x:v>149</x:v>
      </x:c>
      <x:c r="C33" s="304"/>
      <x:c r="D33" s="305"/>
    </x:row>
    <x:row r="34" spans="1:4" customHeight="1">
      <x:c r="A34" s="316"/>
      <x:c r="B34" s="54"/>
      <x:c r="C34" s="306"/>
      <x:c r="D34" s="307"/>
    </x:row>
  </x:sheetData>
  <x:mergeCells count="74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32:G32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8"/>
  <x:dimension ref="A1:O34"/>
  <x:sheetViews>
    <x:sheetView topLeftCell="A1" zoomScale="85" zoomScaleNormal="85" zoomScaleSheetLayoutView="75" workbookViewId="0">
      <x:selection activeCell="E27" activeCellId="0" sqref="E27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12" style="53" bestFit="1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89</x:v>
      </x:c>
      <x:c r="D1" s="68"/>
      <x:c r="E1" s="68">
        <x:v>3</x:v>
      </x:c>
      <x:c r="F1" s="68">
        <x:v>16</x:v>
      </x:c>
      <x:c r="G1" s="68" t="s">
        <x:v>33</x:v>
      </x:c>
      <x:c r="H1" s="52" t="s">
        <x:v>103</x:v>
      </x:c>
      <x:c r="I1" s="52">
        <x:f>F1-K1</x:f>
        <x:v>16</x:v>
      </x:c>
      <x:c r="J1" s="52" t="s">
        <x:v>93</x:v>
      </x:c>
      <x:c r="K1" s="52"/>
    </x:row>
    <x:row r="2" spans="1:11" ht="20.100000000000001" customHeight="1">
      <x:c r="A2" s="267" t="s">
        <x:v>24</x:v>
      </x:c>
      <x:c r="B2" s="268"/>
      <x:c r="C2" s="271">
        <x:f>SUM(C4:D7)</x:f>
        <x:v>4794000</x:v>
      </x:c>
      <x:c r="D2" s="271"/>
      <x:c r="E2" s="274" t="s">
        <x:v>9</x:v>
      </x:c>
      <x:c r="F2" s="275"/>
      <x:c r="G2" s="263">
        <x:v>58850</x:v>
      </x:c>
      <x:c r="H2" s="261" t="s">
        <x:v>60</x:v>
      </x:c>
      <x:c r="I2" s="262"/>
      <x:c r="J2" s="259" t="s">
        <x:v>140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2" ht="30.949999999999999" customHeight="1">
      <x:c r="A4" s="265" t="s">
        <x:v>11</x:v>
      </x:c>
      <x:c r="B4" s="266"/>
      <x:c r="C4" s="258">
        <x:v>3957000</x:v>
      </x:c>
      <x:c r="D4" s="258"/>
      <x:c r="E4" s="273" t="s">
        <x:v>137</x:v>
      </x:c>
      <x:c r="F4" s="273"/>
      <x:c r="G4" s="135">
        <x:f>INT(C4*0.0275)</x:f>
        <x:v>108817</x:v>
      </x:c>
      <x:c r="H4" s="54" t="s">
        <x:v>43</x:v>
      </x:c>
      <x:c r="I4" s="126"/>
      <x:c r="J4" s="83" t="s">
        <x:v>18</x:v>
      </x:c>
      <x:c r="K4" s="58"/>
      <x:c r="L4" s="99"/>
    </x:row>
    <x:row r="5" spans="1:11" ht="30.949999999999999" customHeight="1">
      <x:c r="A5" s="265" t="s">
        <x:v>50</x:v>
      </x:c>
      <x:c r="B5" s="266"/>
      <x:c r="C5" s="258">
        <x:v>837000</x:v>
      </x:c>
      <x:c r="D5" s="258"/>
      <x:c r="E5" s="257" t="s">
        <x:v>146</x:v>
      </x:c>
      <x:c r="F5" s="257"/>
      <x:c r="G5" s="135">
        <x:f>INT(C5*0.01)</x:f>
        <x:v>8370</x:v>
      </x:c>
      <x:c r="H5" s="54" t="s">
        <x:v>60</x:v>
      </x:c>
      <x:c r="I5" s="126"/>
      <x:c r="J5" s="83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>
        <x:v>750000</x:v>
      </x:c>
      <x:c r="H6" s="54"/>
      <x:c r="I6" s="126"/>
      <x:c r="J6" s="83" t="s">
        <x:v>114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6"/>
      <x:c r="J7" s="83" t="s">
        <x:v>118</x:v>
      </x:c>
      <x:c r="K7" s="58"/>
    </x:row>
    <x:row r="8" spans="1:11" ht="21.949999999999999" customHeight="1">
      <x:c r="A8" s="256" t="s">
        <x:v>108</x:v>
      </x:c>
      <x:c r="B8" s="257"/>
      <x:c r="C8" s="258">
        <x:v>145950</x:v>
      </x:c>
      <x:c r="D8" s="258"/>
      <x:c r="E8" s="284" t="s">
        <x:v>128</x:v>
      </x:c>
      <x:c r="F8" s="285"/>
      <x:c r="G8" s="290">
        <x:f>C5+G2-G6-C22</x:f>
        <x:v>145850</x:v>
      </x:c>
      <x:c r="H8" s="54" t="s">
        <x:v>16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30.949999999999999" customHeight="1">
      <x:c r="A10" s="256" t="s">
        <x:v>129</x:v>
      </x:c>
      <x:c r="B10" s="257"/>
      <x:c r="C10" s="258"/>
      <x:c r="D10" s="258"/>
      <x:c r="E10" s="257" t="s">
        <x:v>69</x:v>
      </x:c>
      <x:c r="F10" s="257"/>
      <x:c r="G10" s="55"/>
      <x:c r="H10" s="54"/>
      <x:c r="I10" s="126"/>
      <x:c r="J10" s="54" t="s">
        <x:v>4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37</x:v>
      </x:c>
      <x:c r="I11" s="58"/>
      <x:c r="J11" s="54" t="s">
        <x:v>102</x:v>
      </x:c>
      <x:c r="K11" s="137">
        <x:v>14194</x:v>
      </x:c>
    </x:row>
    <x:row r="12" spans="1:13" ht="21.949999999999999" customHeight="1">
      <x:c r="A12" s="59" t="s">
        <x:v>39</x:v>
      </x:c>
      <x:c r="B12" s="294" t="s">
        <x:v>22</x:v>
      </x:c>
      <x:c r="C12" s="81">
        <x:v>21</x:v>
      </x:c>
      <x:c r="D12" s="284" t="s">
        <x:v>100</x:v>
      </x:c>
      <x:c r="E12" s="285"/>
      <x:c r="F12" s="288">
        <x:v>15</x:v>
      </x:c>
      <x:c r="G12" s="289"/>
      <x:c r="H12" s="54" t="s">
        <x:v>80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112</x:v>
      </x:c>
      <x:c r="B13" s="295"/>
      <x:c r="C13" s="136">
        <x:f>SUM('1:16'!$C$12)</x:f>
        <x:v>299</x:v>
      </x:c>
      <x:c r="D13" s="276"/>
      <x:c r="E13" s="277"/>
      <x:c r="F13" s="286">
        <x:f>SUM('1:16'!$F$12)</x:f>
        <x:v>133</x:v>
      </x:c>
      <x:c r="G13" s="287"/>
      <x:c r="H13" s="54" t="s">
        <x:v>131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39</x:v>
      </x:c>
      <x:c r="B14" s="294" t="s">
        <x:v>34</x:v>
      </x:c>
      <x:c r="C14" s="81">
        <x:v>49</x:v>
      </x:c>
      <x:c r="D14" s="284" t="s">
        <x:v>84</x:v>
      </x:c>
      <x:c r="E14" s="285"/>
      <x:c r="F14" s="288">
        <x:v>25</x:v>
      </x:c>
      <x:c r="G14" s="289"/>
      <x:c r="H14" s="54" t="s">
        <x:v>104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112</x:v>
      </x:c>
      <x:c r="B15" s="295"/>
      <x:c r="C15" s="136">
        <x:f>SUM('1:16'!$C$14)</x:f>
        <x:v>879</x:v>
      </x:c>
      <x:c r="D15" s="276"/>
      <x:c r="E15" s="277"/>
      <x:c r="F15" s="286">
        <x:f>SUM('1:16'!$F$14)</x:f>
        <x:v>366</x:v>
      </x:c>
      <x:c r="G15" s="287"/>
      <x:c r="H15" s="54" t="s">
        <x:v>87</x:v>
      </x:c>
      <x:c r="I15" s="58"/>
      <x:c r="J15" s="54" t="s">
        <x:v>140</x:v>
      </x:c>
      <x:c r="K15" s="58"/>
      <x:c r="L15" s="60"/>
      <x:c r="M15" s="11"/>
    </x:row>
    <x:row r="16" spans="1:13" ht="21.949999999999999" customHeight="1">
      <x:c r="A16" s="59" t="s">
        <x:v>39</x:v>
      </x:c>
      <x:c r="B16" s="294" t="s">
        <x:v>2</x:v>
      </x:c>
      <x:c r="C16" s="81">
        <x:v>6</x:v>
      </x:c>
      <x:c r="D16" s="284" t="s">
        <x:v>111</x:v>
      </x:c>
      <x:c r="E16" s="285"/>
      <x:c r="F16" s="282">
        <x:v>16</x:v>
      </x:c>
      <x:c r="G16" s="282"/>
      <x:c r="H16" s="54"/>
      <x:c r="I16" s="58"/>
      <x:c r="J16" s="54" t="s">
        <x:v>78</x:v>
      </x:c>
      <x:c r="K16" s="58"/>
      <x:c r="L16" s="60"/>
      <x:c r="M16" s="11"/>
    </x:row>
    <x:row r="17" spans="1:13" ht="21.949999999999999" customHeight="1">
      <x:c r="A17" s="59" t="s">
        <x:v>112</x:v>
      </x:c>
      <x:c r="B17" s="295"/>
      <x:c r="C17" s="136">
        <x:f>SUM('1:16'!$C$16)</x:f>
        <x:v>99</x:v>
      </x:c>
      <x:c r="D17" s="276"/>
      <x:c r="E17" s="277"/>
      <x:c r="F17" s="283">
        <x:f>SUM('1:16'!$F$16)</x:f>
        <x:v>255</x:v>
      </x:c>
      <x:c r="G17" s="283"/>
      <x:c r="H17" s="54" t="s">
        <x:v>56</x:v>
      </x:c>
      <x:c r="I17" s="58"/>
      <x:c r="J17" s="54" t="s">
        <x:v>72</x:v>
      </x:c>
      <x:c r="K17" s="58"/>
      <x:c r="L17" s="60"/>
      <x:c r="M17" s="11"/>
    </x:row>
    <x:row r="18" spans="1:13" ht="21.949999999999999" customHeight="1">
      <x:c r="A18" s="59" t="s">
        <x:v>39</x:v>
      </x:c>
      <x:c r="B18" s="294" t="s">
        <x:v>120</x:v>
      </x:c>
      <x:c r="C18" s="81">
        <x:v>44</x:v>
      </x:c>
      <x:c r="D18" s="284" t="s">
        <x:v>122</x:v>
      </x:c>
      <x:c r="E18" s="285"/>
      <x:c r="F18" s="292">
        <x:v>30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112</x:v>
      </x:c>
      <x:c r="B19" s="295"/>
      <x:c r="C19" s="136">
        <x:f>SUM('1:16'!$C$18)</x:f>
        <x:v>598</x:v>
      </x:c>
      <x:c r="D19" s="276"/>
      <x:c r="E19" s="277"/>
      <x:c r="F19" s="283">
        <x:f>SUM('1:16'!$F$18)</x:f>
        <x:v>233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95</x:v>
      </x:c>
      <x:c r="E20" s="257"/>
      <x:c r="F20" s="282">
        <x:v>67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132</x:v>
      </x:c>
      <x:c r="E21" s="257"/>
      <x:c r="F21" s="283">
        <x:f>SUM('1:16'!$F$20)</x:f>
        <x:v>1037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77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121</x:v>
      </x:c>
      <x:c r="B23" s="257"/>
      <x:c r="C23" s="312"/>
      <x:c r="D23" s="313"/>
      <x:c r="E23" s="313"/>
      <x:c r="F23" s="313"/>
      <x:c r="G23" s="313"/>
      <x:c r="H23" s="109" t="s">
        <x:v>127</x:v>
      </x:c>
      <x:c r="I23" s="110">
        <x:f>SUM(I4:I22)</x:f>
        <x:v>0</x:v>
      </x:c>
      <x:c r="J23" s="61" t="s">
        <x:v>99</x:v>
      </x:c>
      <x:c r="K23" s="62">
        <x:f>SUM(K4:K22)</x:f>
        <x:v>14194</x:v>
      </x:c>
      <x:c r="M23" s="90" t="s">
        <x:v>107</x:v>
      </x:c>
      <x:c r="N23" s="279">
        <x:f>C5+C6</x:f>
        <x:v>837000</x:v>
      </x:c>
      <x:c r="O23" s="280"/>
    </x:row>
    <x:row r="24" spans="1:11" ht="34.149999999999999" customHeight="1">
      <x:c r="A24" s="256" t="s">
        <x:v>59</x:v>
      </x:c>
      <x:c r="B24" s="257"/>
      <x:c r="C24" s="257" t="s">
        <x:v>91</x:v>
      </x:c>
      <x:c r="D24" s="257"/>
      <x:c r="E24" s="257" t="s">
        <x:v>135</x:v>
      </x:c>
      <x:c r="F24" s="257"/>
      <x:c r="G24" s="257"/>
      <x:c r="H24" s="109" t="s">
        <x:v>59</x:v>
      </x:c>
      <x:c r="I24" s="111">
        <x:f>I23/A25</x:f>
        <x:v>0</x:v>
      </x:c>
      <x:c r="J24" s="61" t="s">
        <x:v>59</x:v>
      </x:c>
      <x:c r="K24" s="63">
        <x:f>K23/A25</x:f>
        <x:v>0.0029607843137254902</x:v>
      </x:c>
    </x:row>
    <x:row r="25" spans="1:11" ht="34.149999999999999" customHeight="1">
      <x:c r="A25" s="308">
        <x:f>C2</x:f>
        <x:v>4794000</x:v>
      </x:c>
      <x:c r="B25" s="272"/>
      <x:c r="C25" s="272">
        <x:f>E25/I1</x:f>
        <x:v>4541593.75</x:v>
      </x:c>
      <x:c r="D25" s="272"/>
      <x:c r="E25" s="272">
        <x:f>SUM('1:16'!$A$25)</x:f>
        <x:v>72665500</x:v>
      </x:c>
      <x:c r="F25" s="272"/>
      <x:c r="G25" s="272"/>
      <x:c r="H25" s="109" t="s">
        <x:v>19</x:v>
      </x:c>
      <x:c r="I25" s="110">
        <x:f>SUM('1:16'!$I$21)</x:f>
        <x:v>0</x:v>
      </x:c>
      <x:c r="J25" s="61" t="s">
        <x:v>19</x:v>
      </x:c>
      <x:c r="K25" s="62">
        <x:f>SUM('1:16'!$K$21)</x:f>
        <x:v>0</x:v>
      </x:c>
    </x:row>
    <x:row r="26" spans="1:11" ht="34.149999999999999" customHeight="1">
      <x:c r="A26" s="256" t="s">
        <x:v>71</x:v>
      </x:c>
      <x:c r="B26" s="257"/>
      <x:c r="C26" s="257"/>
      <x:c r="D26" s="257"/>
      <x:c r="E26" s="258"/>
      <x:c r="F26" s="258"/>
      <x:c r="G26" s="258"/>
      <x:c r="H26" s="109" t="s">
        <x:v>110</x:v>
      </x:c>
      <x:c r="I26" s="112">
        <x:f>I25/$E$25</x:f>
        <x:v>0</x:v>
      </x:c>
      <x:c r="J26" s="64" t="s">
        <x:v>110</x:v>
      </x:c>
      <x:c r="K26" s="65">
        <x:f>K25/$E$25</x:f>
        <x:v>0</x:v>
      </x:c>
    </x:row>
    <x:row r="27" spans="1:13" ht="30.949999999999999" customHeight="1">
      <x:c r="A27" s="314" t="s">
        <x:v>68</x:v>
      </x:c>
      <x:c r="B27" s="54" t="s">
        <x:v>44</x:v>
      </x:c>
      <x:c r="C27" s="272">
        <x:f>4000000/31</x:f>
        <x:v>129032.25806451614</x:v>
      </x:c>
      <x:c r="D27" s="272"/>
      <x:c r="E27" s="55" t="s">
        <x:v>52</x:v>
      </x:c>
      <x:c r="F27" s="258"/>
      <x:c r="G27" s="258"/>
      <x:c r="H27" s="113" t="s">
        <x:v>85</x:v>
      </x:c>
      <x:c r="I27" s="114">
        <x:f>SUM(C27:D34,F27:G32)</x:f>
        <x:v>817219.3548387097</x:v>
      </x:c>
      <x:c r="M27" s="66"/>
    </x:row>
    <x:row r="28" spans="1:13" ht="30.949999999999999" customHeight="1">
      <x:c r="A28" s="315"/>
      <x:c r="B28" s="54" t="s">
        <x:v>29</x:v>
      </x:c>
      <x:c r="C28" s="272">
        <x:f>3800000/31</x:f>
        <x:v>122580.64516129032</x:v>
      </x:c>
      <x:c r="D28" s="272"/>
      <x:c r="E28" s="55" t="s">
        <x:v>52</x:v>
      </x:c>
      <x:c r="F28" s="311"/>
      <x:c r="G28" s="311"/>
      <x:c r="H28" s="113" t="s">
        <x:v>59</x:v>
      </x:c>
      <x:c r="I28" s="115">
        <x:f>I27/$A$25</x:f>
        <x:v>0.17046711615325608</x:v>
      </x:c>
      <x:c r="M28" s="66"/>
    </x:row>
    <x:row r="29" spans="1:13" ht="30.949999999999999" customHeight="1">
      <x:c r="A29" s="315"/>
      <x:c r="B29" s="54" t="s">
        <x:v>21</x:v>
      </x:c>
      <x:c r="C29" s="272">
        <x:f>3200000/31</x:f>
        <x:v>103225.80645161291</x:v>
      </x:c>
      <x:c r="D29" s="272"/>
      <x:c r="E29" s="54" t="s">
        <x:v>52</x:v>
      </x:c>
      <x:c r="F29" s="258">
        <x:v>46800</x:v>
      </x:c>
      <x:c r="G29" s="258"/>
      <x:c r="H29" s="113" t="s">
        <x:v>19</x:v>
      </x:c>
      <x:c r="I29" s="114">
        <x:f>SUM('1:16'!$I$25)</x:f>
        <x:v>71148041</x:v>
      </x:c>
      <x:c r="M29" s="66"/>
    </x:row>
    <x:row r="30" spans="1:13" ht="30.949999999999999" customHeight="1">
      <x:c r="A30" s="315"/>
      <x:c r="B30" s="54" t="s">
        <x:v>41</x:v>
      </x:c>
      <x:c r="C30" s="272">
        <x:f>3400000/31</x:f>
        <x:v>109677.41935483871</x:v>
      </x:c>
      <x:c r="D30" s="272"/>
      <x:c r="E30" s="55"/>
      <x:c r="F30" s="306"/>
      <x:c r="G30" s="307"/>
      <x:c r="H30" s="113" t="s">
        <x:v>110</x:v>
      </x:c>
      <x:c r="I30" s="115">
        <x:f>I29/$I$27</x:f>
        <x:v>87.061130623909563</x:v>
      </x:c>
      <x:c r="M30" s="66"/>
    </x:row>
    <x:row r="31" spans="1:7" customHeight="1">
      <x:c r="A31" s="315"/>
      <x:c r="B31" s="54" t="s">
        <x:v>12</x:v>
      </x:c>
      <x:c r="C31" s="309">
        <x:f>3500000/31</x:f>
        <x:v>112903.22580645161</x:v>
      </x:c>
      <x:c r="D31" s="310"/>
      <x:c r="E31" s="55" t="s">
        <x:v>62</x:v>
      </x:c>
      <x:c r="F31" s="306">
        <x:v>130000</x:v>
      </x:c>
      <x:c r="G31" s="307"/>
    </x:row>
    <x:row r="32" spans="1:7" customHeight="1">
      <x:c r="A32" s="315"/>
      <x:c r="B32" s="355" t="s">
        <x:v>40</x:v>
      </x:c>
      <x:c r="C32" s="304">
        <x:v>63000</x:v>
      </x:c>
      <x:c r="D32" s="305"/>
      <x:c r="E32" s="55" t="s">
        <x:v>1</x:v>
      </x:c>
      <x:c r="F32" s="306"/>
      <x:c r="G32" s="307"/>
    </x:row>
    <x:row r="33" spans="1:4" customHeight="1">
      <x:c r="A33" s="315"/>
      <x:c r="B33" s="355" t="s">
        <x:v>149</x:v>
      </x:c>
      <x:c r="C33" s="304"/>
      <x:c r="D33" s="305"/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1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9"/>
  <x:dimension ref="A1:O34"/>
  <x:sheetViews>
    <x:sheetView view="pageBreakPreview" topLeftCell="A1" zoomScale="75" zoomScaleNormal="85" zoomScaleSheetLayoutView="75" workbookViewId="0">
      <x:selection activeCell="E27" activeCellId="0" sqref="E27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89</x:v>
      </x:c>
      <x:c r="D1" s="68"/>
      <x:c r="E1" s="68">
        <x:v>3</x:v>
      </x:c>
      <x:c r="F1" s="68">
        <x:v>17</x:v>
      </x:c>
      <x:c r="G1" s="68" t="s">
        <x:v>3</x:v>
      </x:c>
      <x:c r="H1" s="52" t="s">
        <x:v>103</x:v>
      </x:c>
      <x:c r="I1" s="52">
        <x:f>F1-K1</x:f>
        <x:v>17</x:v>
      </x:c>
      <x:c r="J1" s="52" t="s">
        <x:v>93</x:v>
      </x:c>
      <x:c r="K1" s="52"/>
    </x:row>
    <x:row r="2" spans="1:11" ht="20.100000000000001" customHeight="1">
      <x:c r="A2" s="326" t="s">
        <x:v>24</x:v>
      </x:c>
      <x:c r="B2" s="327"/>
      <x:c r="C2" s="330">
        <x:f>SUM(C4:D7)</x:f>
        <x:v>3798500</x:v>
      </x:c>
      <x:c r="D2" s="331"/>
      <x:c r="E2" s="274" t="s">
        <x:v>9</x:v>
      </x:c>
      <x:c r="F2" s="275"/>
      <x:c r="G2" s="263">
        <x:v>145950</x:v>
      </x:c>
      <x:c r="H2" s="334" t="s">
        <x:v>60</x:v>
      </x:c>
      <x:c r="I2" s="335"/>
      <x:c r="J2" s="259" t="s">
        <x:v>140</x:v>
      </x:c>
      <x:c r="K2" s="323"/>
    </x:row>
    <x:row r="3" spans="1:11" ht="20.100000000000001" customHeight="1">
      <x:c r="A3" s="328"/>
      <x:c r="B3" s="329"/>
      <x:c r="C3" s="332"/>
      <x:c r="D3" s="333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1" ht="30.949999999999999" customHeight="1">
      <x:c r="A4" s="337" t="s">
        <x:v>11</x:v>
      </x:c>
      <x:c r="B4" s="338"/>
      <x:c r="C4" s="306">
        <x:v>3686500</x:v>
      </x:c>
      <x:c r="D4" s="307"/>
      <x:c r="E4" s="339" t="s">
        <x:v>137</x:v>
      </x:c>
      <x:c r="F4" s="340"/>
      <x:c r="G4" s="135">
        <x:f>INT(C4*0.0275)</x:f>
        <x:v>101378</x:v>
      </x:c>
      <x:c r="H4" s="54" t="s">
        <x:v>43</x:v>
      </x:c>
      <x:c r="I4" s="126">
        <x:v>1426125</x:v>
      </x:c>
      <x:c r="J4" s="83" t="s">
        <x:v>18</x:v>
      </x:c>
      <x:c r="K4" s="58"/>
    </x:row>
    <x:row r="5" spans="1:11" ht="30.949999999999999" customHeight="1">
      <x:c r="A5" s="337" t="s">
        <x:v>50</x:v>
      </x:c>
      <x:c r="B5" s="338"/>
      <x:c r="C5" s="306">
        <x:v>112000</x:v>
      </x:c>
      <x:c r="D5" s="307"/>
      <x:c r="E5" s="288" t="s">
        <x:v>146</x:v>
      </x:c>
      <x:c r="F5" s="289"/>
      <x:c r="G5" s="135">
        <x:f>INT(C5*0.01)</x:f>
        <x:v>1120</x:v>
      </x:c>
      <x:c r="H5" s="54" t="s">
        <x:v>60</x:v>
      </x:c>
      <x:c r="I5" s="126">
        <x:v>104676</x:v>
      </x:c>
      <x:c r="J5" s="83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>
        <x:v>100000</x:v>
      </x:c>
      <x:c r="H6" s="54"/>
      <x:c r="I6" s="126"/>
      <x:c r="J6" s="83" t="s">
        <x:v>114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6"/>
      <x:c r="J7" s="83" t="s">
        <x:v>118</x:v>
      </x:c>
      <x:c r="K7" s="58"/>
    </x:row>
    <x:row r="8" spans="1:11" ht="21.949999999999999" customHeight="1">
      <x:c r="A8" s="344" t="s">
        <x:v>108</x:v>
      </x:c>
      <x:c r="B8" s="285"/>
      <x:c r="C8" s="297">
        <x:v>157950</x:v>
      </x:c>
      <x:c r="D8" s="298"/>
      <x:c r="E8" s="284" t="s">
        <x:v>128</x:v>
      </x:c>
      <x:c r="F8" s="285"/>
      <x:c r="G8" s="290">
        <x:f>C5+G2-G6-C22</x:f>
        <x:v>157950</x:v>
      </x:c>
      <x:c r="H8" s="54" t="s">
        <x:v>16</x:v>
      </x:c>
      <x:c r="I8" s="126">
        <x:v>56000</x:v>
      </x:c>
      <x:c r="J8" s="83"/>
      <x:c r="K8" s="58"/>
    </x:row>
    <x:row r="9" spans="1:11" ht="21.949999999999999" customHeight="1">
      <x:c r="A9" s="345"/>
      <x:c r="B9" s="277"/>
      <x:c r="C9" s="299"/>
      <x:c r="D9" s="300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30.949999999999999" customHeight="1">
      <x:c r="A10" s="336" t="s">
        <x:v>129</x:v>
      </x:c>
      <x:c r="B10" s="289"/>
      <x:c r="C10" s="306">
        <x:v>151000</x:v>
      </x:c>
      <x:c r="D10" s="307"/>
      <x:c r="E10" s="288" t="s">
        <x:v>69</x:v>
      </x:c>
      <x:c r="F10" s="289"/>
      <x:c r="G10" s="55"/>
      <x:c r="H10" s="54"/>
      <x:c r="I10" s="126"/>
      <x:c r="J10" s="54" t="s">
        <x:v>4</x:v>
      </x:c>
      <x:c r="K10" s="58">
        <x:v>6000</x:v>
      </x:c>
    </x:row>
    <x:row r="11" spans="1:11" ht="33" customHeight="1">
      <x:c r="A11" s="336" t="s">
        <x:v>106</x:v>
      </x:c>
      <x:c r="B11" s="289"/>
      <x:c r="C11" s="341"/>
      <x:c r="D11" s="342"/>
      <x:c r="E11" s="342"/>
      <x:c r="F11" s="342"/>
      <x:c r="G11" s="343"/>
      <x:c r="H11" s="54" t="s">
        <x:v>37</x:v>
      </x:c>
      <x:c r="I11" s="58"/>
      <x:c r="J11" s="54" t="s">
        <x:v>102</x:v>
      </x:c>
      <x:c r="K11" s="137">
        <x:v>14194</x:v>
      </x:c>
    </x:row>
    <x:row r="12" spans="1:13" ht="21.949999999999999" customHeight="1">
      <x:c r="A12" s="59" t="s">
        <x:v>39</x:v>
      </x:c>
      <x:c r="B12" s="294" t="s">
        <x:v>22</x:v>
      </x:c>
      <x:c r="C12" s="81">
        <x:v>5</x:v>
      </x:c>
      <x:c r="D12" s="284" t="s">
        <x:v>100</x:v>
      </x:c>
      <x:c r="E12" s="285"/>
      <x:c r="F12" s="288">
        <x:v>16</x:v>
      </x:c>
      <x:c r="G12" s="289"/>
      <x:c r="H12" s="54" t="s">
        <x:v>80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112</x:v>
      </x:c>
      <x:c r="B13" s="295"/>
      <x:c r="C13" s="136">
        <x:f>SUM('1:17'!$C$12)</x:f>
        <x:v>304</x:v>
      </x:c>
      <x:c r="D13" s="276"/>
      <x:c r="E13" s="277"/>
      <x:c r="F13" s="286">
        <x:f>SUM('1:17'!$F$12)</x:f>
        <x:v>149</x:v>
      </x:c>
      <x:c r="G13" s="287"/>
      <x:c r="H13" s="54" t="s">
        <x:v>131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39</x:v>
      </x:c>
      <x:c r="B14" s="294" t="s">
        <x:v>34</x:v>
      </x:c>
      <x:c r="C14" s="81">
        <x:v>24</x:v>
      </x:c>
      <x:c r="D14" s="284" t="s">
        <x:v>84</x:v>
      </x:c>
      <x:c r="E14" s="285"/>
      <x:c r="F14" s="288">
        <x:v>12</x:v>
      </x:c>
      <x:c r="G14" s="289"/>
      <x:c r="H14" s="54" t="s">
        <x:v>104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112</x:v>
      </x:c>
      <x:c r="B15" s="295"/>
      <x:c r="C15" s="136">
        <x:f>SUM('1:17'!$C$14)</x:f>
        <x:v>903</x:v>
      </x:c>
      <x:c r="D15" s="276"/>
      <x:c r="E15" s="277"/>
      <x:c r="F15" s="286">
        <x:f>SUM('1:17'!$F$14)</x:f>
        <x:v>378</x:v>
      </x:c>
      <x:c r="G15" s="287"/>
      <x:c r="H15" s="54" t="s">
        <x:v>87</x:v>
      </x:c>
      <x:c r="I15" s="58">
        <x:v>138150</x:v>
      </x:c>
      <x:c r="J15" s="54"/>
      <x:c r="K15" s="58"/>
      <x:c r="L15" s="60"/>
      <x:c r="M15" s="11"/>
    </x:row>
    <x:row r="16" spans="1:13" ht="21.949999999999999" customHeight="1">
      <x:c r="A16" s="59" t="s">
        <x:v>39</x:v>
      </x:c>
      <x:c r="B16" s="294" t="s">
        <x:v>2</x:v>
      </x:c>
      <x:c r="C16" s="81">
        <x:v>7</x:v>
      </x:c>
      <x:c r="D16" s="284" t="s">
        <x:v>111</x:v>
      </x:c>
      <x:c r="E16" s="285"/>
      <x:c r="F16" s="324">
        <x:v>7</x:v>
      </x:c>
      <x:c r="G16" s="325"/>
      <x:c r="H16" s="54"/>
      <x:c r="I16" s="58"/>
      <x:c r="J16" s="54" t="s">
        <x:v>78</x:v>
      </x:c>
      <x:c r="K16" s="58"/>
      <x:c r="L16" s="60"/>
      <x:c r="M16" s="11"/>
    </x:row>
    <x:row r="17" spans="1:13" ht="21.949999999999999" customHeight="1">
      <x:c r="A17" s="59" t="s">
        <x:v>112</x:v>
      </x:c>
      <x:c r="B17" s="295"/>
      <x:c r="C17" s="136">
        <x:f>SUM('1:17'!$C$16)</x:f>
        <x:v>106</x:v>
      </x:c>
      <x:c r="D17" s="276"/>
      <x:c r="E17" s="277"/>
      <x:c r="F17" s="286">
        <x:f>SUM('1:17'!$F$16)</x:f>
        <x:v>262</x:v>
      </x:c>
      <x:c r="G17" s="287"/>
      <x:c r="H17" s="54" t="s">
        <x:v>56</x:v>
      </x:c>
      <x:c r="I17" s="58"/>
      <x:c r="J17" s="54" t="s">
        <x:v>72</x:v>
      </x:c>
      <x:c r="K17" s="58"/>
      <x:c r="L17" s="60"/>
      <x:c r="M17" s="11"/>
    </x:row>
    <x:row r="18" spans="1:13" ht="21.949999999999999" customHeight="1">
      <x:c r="A18" s="59" t="s">
        <x:v>39</x:v>
      </x:c>
      <x:c r="B18" s="294" t="s">
        <x:v>120</x:v>
      </x:c>
      <x:c r="C18" s="81">
        <x:v>36</x:v>
      </x:c>
      <x:c r="D18" s="284" t="s">
        <x:v>122</x:v>
      </x:c>
      <x:c r="E18" s="285"/>
      <x:c r="F18" s="324">
        <x:v>17</x:v>
      </x:c>
      <x:c r="G18" s="325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112</x:v>
      </x:c>
      <x:c r="B19" s="295"/>
      <x:c r="C19" s="136">
        <x:f>SUM('1:17'!$C$18)</x:f>
        <x:v>634</x:v>
      </x:c>
      <x:c r="D19" s="276"/>
      <x:c r="E19" s="277"/>
      <x:c r="F19" s="286">
        <x:f>SUM('1:17'!$F$18)</x:f>
        <x:v>250</x:v>
      </x:c>
      <x:c r="G19" s="287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88" t="s">
        <x:v>95</x:v>
      </x:c>
      <x:c r="E20" s="289"/>
      <x:c r="F20" s="324">
        <x:v>60</x:v>
      </x:c>
      <x:c r="G20" s="325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88" t="s">
        <x:v>132</x:v>
      </x:c>
      <x:c r="E21" s="289"/>
      <x:c r="F21" s="286">
        <x:f>SUM('1:17'!$F$20)</x:f>
        <x:v>1097</x:v>
      </x:c>
      <x:c r="G21" s="287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336" t="s">
        <x:v>77</x:v>
      </x:c>
      <x:c r="B22" s="289"/>
      <x:c r="C22" s="346"/>
      <x:c r="D22" s="347"/>
      <x:c r="E22" s="347"/>
      <x:c r="F22" s="347"/>
      <x:c r="G22" s="348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336" t="s">
        <x:v>121</x:v>
      </x:c>
      <x:c r="B23" s="289"/>
      <x:c r="C23" s="320"/>
      <x:c r="D23" s="321"/>
      <x:c r="E23" s="321"/>
      <x:c r="F23" s="321"/>
      <x:c r="G23" s="322"/>
      <x:c r="H23" s="109" t="s">
        <x:v>127</x:v>
      </x:c>
      <x:c r="I23" s="110">
        <x:f>SUM(I4:I22)</x:f>
        <x:v>1724951</x:v>
      </x:c>
      <x:c r="J23" s="61" t="s">
        <x:v>99</x:v>
      </x:c>
      <x:c r="K23" s="62">
        <x:f>SUM(K4:K22)</x:f>
        <x:v>20194</x:v>
      </x:c>
      <x:c r="M23" s="90" t="s">
        <x:v>107</x:v>
      </x:c>
      <x:c r="N23" s="279">
        <x:f>C5+C6</x:f>
        <x:v>112000</x:v>
      </x:c>
      <x:c r="O23" s="280"/>
    </x:row>
    <x:row r="24" spans="1:11" ht="34.149999999999999" customHeight="1">
      <x:c r="A24" s="336" t="s">
        <x:v>59</x:v>
      </x:c>
      <x:c r="B24" s="289"/>
      <x:c r="C24" s="288" t="s">
        <x:v>91</x:v>
      </x:c>
      <x:c r="D24" s="289"/>
      <x:c r="E24" s="288" t="s">
        <x:v>135</x:v>
      </x:c>
      <x:c r="F24" s="319"/>
      <x:c r="G24" s="289"/>
      <x:c r="H24" s="109" t="s">
        <x:v>59</x:v>
      </x:c>
      <x:c r="I24" s="111">
        <x:f>I23/A25</x:f>
        <x:v>0.45411372910359354</x:v>
      </x:c>
      <x:c r="J24" s="61" t="s">
        <x:v>59</x:v>
      </x:c>
      <x:c r="K24" s="63">
        <x:f>K23/A25</x:f>
        <x:v>0.0053163090693694875</x:v>
      </x:c>
    </x:row>
    <x:row r="25" spans="1:11" ht="34.149999999999999" customHeight="1">
      <x:c r="A25" s="350">
        <x:f>C2</x:f>
        <x:v>3798500</x:v>
      </x:c>
      <x:c r="B25" s="310"/>
      <x:c r="C25" s="309">
        <x:f>E25/I1</x:f>
        <x:v>4497882.3529411769</x:v>
      </x:c>
      <x:c r="D25" s="310"/>
      <x:c r="E25" s="309">
        <x:f>SUM('1:17'!$A$25)</x:f>
        <x:v>76464000</x:v>
      </x:c>
      <x:c r="F25" s="318"/>
      <x:c r="G25" s="310"/>
      <x:c r="H25" s="109" t="s">
        <x:v>19</x:v>
      </x:c>
      <x:c r="I25" s="110">
        <x:f>SUM('1:17'!$I$21)</x:f>
        <x:v>0</x:v>
      </x:c>
      <x:c r="J25" s="61" t="s">
        <x:v>19</x:v>
      </x:c>
      <x:c r="K25" s="62">
        <x:f>SUM('1:17'!$K$21)</x:f>
        <x:v>0</x:v>
      </x:c>
    </x:row>
    <x:row r="26" spans="1:11" ht="34.149999999999999" customHeight="1">
      <x:c r="A26" s="336" t="s">
        <x:v>71</x:v>
      </x:c>
      <x:c r="B26" s="289"/>
      <x:c r="C26" s="288"/>
      <x:c r="D26" s="289"/>
      <x:c r="E26" s="306"/>
      <x:c r="F26" s="349"/>
      <x:c r="G26" s="307"/>
      <x:c r="H26" s="109" t="s">
        <x:v>110</x:v>
      </x:c>
      <x:c r="I26" s="112">
        <x:f>I25/$E$25</x:f>
        <x:v>0</x:v>
      </x:c>
      <x:c r="J26" s="64" t="s">
        <x:v>110</x:v>
      </x:c>
      <x:c r="K26" s="65">
        <x:f>K25/$E$25</x:f>
        <x:v>0</x:v>
      </x:c>
    </x:row>
    <x:row r="27" spans="1:13" ht="30.949999999999999" customHeight="1">
      <x:c r="A27" s="301" t="s">
        <x:v>68</x:v>
      </x:c>
      <x:c r="B27" s="54" t="s">
        <x:v>44</x:v>
      </x:c>
      <x:c r="C27" s="309">
        <x:f>4000000/31</x:f>
        <x:v>129032.25806451614</x:v>
      </x:c>
      <x:c r="D27" s="310"/>
      <x:c r="E27" s="55" t="s">
        <x:v>52</x:v>
      </x:c>
      <x:c r="F27" s="306"/>
      <x:c r="G27" s="307"/>
      <x:c r="H27" s="113" t="s">
        <x:v>85</x:v>
      </x:c>
      <x:c r="I27" s="114">
        <x:f>SUM(C27:D34,F27:G32)</x:f>
        <x:v>829419.3548387097</x:v>
      </x:c>
      <x:c r="M27" s="66"/>
    </x:row>
    <x:row r="28" spans="1:13" ht="30.949999999999999" customHeight="1">
      <x:c r="A28" s="302"/>
      <x:c r="B28" s="54" t="s">
        <x:v>29</x:v>
      </x:c>
      <x:c r="C28" s="309">
        <x:f>3800000/31</x:f>
        <x:v>122580.64516129032</x:v>
      </x:c>
      <x:c r="D28" s="310"/>
      <x:c r="E28" s="55" t="s">
        <x:v>52</x:v>
      </x:c>
      <x:c r="F28" s="304"/>
      <x:c r="G28" s="305"/>
      <x:c r="H28" s="113" t="s">
        <x:v>59</x:v>
      </x:c>
      <x:c r="I28" s="115">
        <x:f>I27/$A$25</x:f>
        <x:v>0.21835444381695662</x:v>
      </x:c>
      <x:c r="M28" s="66"/>
    </x:row>
    <x:row r="29" spans="1:13" ht="30.949999999999999" customHeight="1">
      <x:c r="A29" s="302"/>
      <x:c r="B29" s="54" t="s">
        <x:v>21</x:v>
      </x:c>
      <x:c r="C29" s="309">
        <x:f>3200000/31</x:f>
        <x:v>103225.80645161291</x:v>
      </x:c>
      <x:c r="D29" s="310"/>
      <x:c r="E29" s="54" t="s">
        <x:v>52</x:v>
      </x:c>
      <x:c r="F29" s="306"/>
      <x:c r="G29" s="307"/>
      <x:c r="H29" s="113" t="s">
        <x:v>19</x:v>
      </x:c>
      <x:c r="I29" s="114">
        <x:f>SUM('1:17'!$I$25)</x:f>
        <x:v>71148041</x:v>
      </x:c>
      <x:c r="M29" s="66"/>
    </x:row>
    <x:row r="30" spans="1:13" ht="30.949999999999999" customHeight="1">
      <x:c r="A30" s="302"/>
      <x:c r="B30" s="54" t="s">
        <x:v>41</x:v>
      </x:c>
      <x:c r="C30" s="309">
        <x:f>3400000/31</x:f>
        <x:v>109677.41935483871</x:v>
      </x:c>
      <x:c r="D30" s="310"/>
      <x:c r="E30" s="55"/>
      <x:c r="F30" s="306"/>
      <x:c r="G30" s="307"/>
      <x:c r="H30" s="113" t="s">
        <x:v>110</x:v>
      </x:c>
      <x:c r="I30" s="115">
        <x:f>I29/$I$27</x:f>
        <x:v>85.780541031425017</x:v>
      </x:c>
      <x:c r="M30" s="66"/>
    </x:row>
    <x:row r="31" spans="1:7" customHeight="1">
      <x:c r="A31" s="302"/>
      <x:c r="B31" s="54" t="s">
        <x:v>12</x:v>
      </x:c>
      <x:c r="C31" s="309">
        <x:f>3500000/31</x:f>
        <x:v>112903.22580645161</x:v>
      </x:c>
      <x:c r="D31" s="310"/>
      <x:c r="E31" s="55" t="s">
        <x:v>62</x:v>
      </x:c>
      <x:c r="F31" s="306">
        <x:v>120000</x:v>
      </x:c>
      <x:c r="G31" s="307"/>
    </x:row>
    <x:row r="32" spans="1:7" customHeight="1">
      <x:c r="A32" s="302"/>
      <x:c r="B32" s="355" t="s">
        <x:v>40</x:v>
      </x:c>
      <x:c r="C32" s="304"/>
      <x:c r="D32" s="305"/>
      <x:c r="E32" s="55" t="s">
        <x:v>1</x:v>
      </x:c>
      <x:c r="F32" s="306">
        <x:v>132000</x:v>
      </x:c>
      <x:c r="G32" s="307"/>
    </x:row>
    <x:row r="33" spans="1:4" customHeight="1">
      <x:c r="A33" s="302"/>
      <x:c r="B33" s="355" t="s">
        <x:v>149</x:v>
      </x:c>
      <x:c r="C33" s="304"/>
      <x:c r="D33" s="305"/>
    </x:row>
    <x:row r="34" spans="1:4" customHeight="1">
      <x:c r="A34" s="303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52958333492279053" right="0.47972223162651062" top="0.97000002861022949" bottom="0.49000000953674316" header="0.30000001192092896" footer="0.30000001192092896"/>
  <x:pageSetup paperSize="9" scale="51" firstPageNumber="1" fitToWidth="1" fitToHeight="1" orientation="portrait" usePrinterDefaults="1" blackAndWhite="0" draft="0" useFirstPageNumber="0" horizontalDpi="600" verticalDpi="600" copies="1"/>
</x:worksheet>
</file>

<file path=xl/worksheets/sheet2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0"/>
  <x:dimension ref="A1:O34"/>
  <x:sheetViews>
    <x:sheetView topLeftCell="A1" zoomScale="85" zoomScaleNormal="85" zoomScaleSheetLayoutView="75" workbookViewId="0">
      <x:selection activeCell="E27" activeCellId="0" sqref="E27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89</x:v>
      </x:c>
      <x:c r="D1" s="68"/>
      <x:c r="E1" s="68">
        <x:v>3</x:v>
      </x:c>
      <x:c r="F1" s="68">
        <x:v>18</x:v>
      </x:c>
      <x:c r="G1" s="68" t="s">
        <x:v>48</x:v>
      </x:c>
      <x:c r="H1" s="52" t="s">
        <x:v>103</x:v>
      </x:c>
      <x:c r="I1" s="52">
        <x:f>F1-K1</x:f>
        <x:v>18</x:v>
      </x:c>
      <x:c r="J1" s="52" t="s">
        <x:v>93</x:v>
      </x:c>
      <x:c r="K1" s="52"/>
    </x:row>
    <x:row r="2" spans="1:11" ht="20.100000000000001" customHeight="1">
      <x:c r="A2" s="267" t="s">
        <x:v>24</x:v>
      </x:c>
      <x:c r="B2" s="268"/>
      <x:c r="C2" s="271">
        <x:f>SUM(C4:D7)</x:f>
        <x:v>3914000</x:v>
      </x:c>
      <x:c r="D2" s="271"/>
      <x:c r="E2" s="274" t="s">
        <x:v>9</x:v>
      </x:c>
      <x:c r="F2" s="275"/>
      <x:c r="G2" s="263">
        <x:v>157950</x:v>
      </x:c>
      <x:c r="H2" s="261" t="s">
        <x:v>60</x:v>
      </x:c>
      <x:c r="I2" s="262"/>
      <x:c r="J2" s="259" t="s">
        <x:v>140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1" ht="30.949999999999999" customHeight="1">
      <x:c r="A4" s="265" t="s">
        <x:v>11</x:v>
      </x:c>
      <x:c r="B4" s="266"/>
      <x:c r="C4" s="258">
        <x:v>3376000</x:v>
      </x:c>
      <x:c r="D4" s="258"/>
      <x:c r="E4" s="273" t="s">
        <x:v>137</x:v>
      </x:c>
      <x:c r="F4" s="273"/>
      <x:c r="G4" s="135">
        <x:f>INT(C4*0.0275)</x:f>
        <x:v>92840</x:v>
      </x:c>
      <x:c r="H4" s="54" t="s">
        <x:v>43</x:v>
      </x:c>
      <x:c r="I4" s="126">
        <x:v>1571165</x:v>
      </x:c>
      <x:c r="J4" s="83" t="s">
        <x:v>18</x:v>
      </x:c>
      <x:c r="K4" s="58"/>
    </x:row>
    <x:row r="5" spans="1:11" ht="30.949999999999999" customHeight="1">
      <x:c r="A5" s="265" t="s">
        <x:v>50</x:v>
      </x:c>
      <x:c r="B5" s="266"/>
      <x:c r="C5" s="258">
        <x:v>538000</x:v>
      </x:c>
      <x:c r="D5" s="258"/>
      <x:c r="E5" s="257" t="s">
        <x:v>146</x:v>
      </x:c>
      <x:c r="F5" s="257"/>
      <x:c r="G5" s="135">
        <x:f>INT(C5*0.01)</x:f>
        <x:v>5380</x:v>
      </x:c>
      <x:c r="H5" s="54" t="s">
        <x:v>60</x:v>
      </x:c>
      <x:c r="I5" s="126">
        <x:v>231340</x:v>
      </x:c>
      <x:c r="J5" s="83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>
        <x:v>540000</x:v>
      </x:c>
      <x:c r="H6" s="54"/>
      <x:c r="I6" s="126"/>
      <x:c r="J6" s="83" t="s">
        <x:v>114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6">
        <x:v>239490</x:v>
      </x:c>
      <x:c r="J7" s="83" t="s">
        <x:v>118</x:v>
      </x:c>
      <x:c r="K7" s="58"/>
    </x:row>
    <x:row r="8" spans="1:11" ht="21.949999999999999" customHeight="1">
      <x:c r="A8" s="256" t="s">
        <x:v>108</x:v>
      </x:c>
      <x:c r="B8" s="257"/>
      <x:c r="C8" s="258">
        <x:v>155950</x:v>
      </x:c>
      <x:c r="D8" s="258"/>
      <x:c r="E8" s="284" t="s">
        <x:v>128</x:v>
      </x:c>
      <x:c r="F8" s="285"/>
      <x:c r="G8" s="290">
        <x:f>C5+G2-G6-C22</x:f>
        <x:v>155950</x:v>
      </x:c>
      <x:c r="H8" s="54" t="s">
        <x:v>16</x:v>
      </x:c>
      <x:c r="I8" s="126">
        <x:v>56000</x:v>
      </x:c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30.949999999999999" customHeight="1">
      <x:c r="A10" s="256" t="s">
        <x:v>129</x:v>
      </x:c>
      <x:c r="B10" s="257"/>
      <x:c r="C10" s="258">
        <x:v>112000</x:v>
      </x:c>
      <x:c r="D10" s="258"/>
      <x:c r="E10" s="257" t="s">
        <x:v>69</x:v>
      </x:c>
      <x:c r="F10" s="257"/>
      <x:c r="G10" s="55"/>
      <x:c r="H10" s="54"/>
      <x:c r="I10" s="126"/>
      <x:c r="J10" s="54" t="s">
        <x:v>4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37</x:v>
      </x:c>
      <x:c r="I11" s="58"/>
      <x:c r="J11" s="54" t="s">
        <x:v>102</x:v>
      </x:c>
      <x:c r="K11" s="137">
        <x:v>14194</x:v>
      </x:c>
    </x:row>
    <x:row r="12" spans="1:13" ht="21.949999999999999" customHeight="1">
      <x:c r="A12" s="59" t="s">
        <x:v>39</x:v>
      </x:c>
      <x:c r="B12" s="294" t="s">
        <x:v>22</x:v>
      </x:c>
      <x:c r="C12" s="81">
        <x:v>10</x:v>
      </x:c>
      <x:c r="D12" s="284" t="s">
        <x:v>100</x:v>
      </x:c>
      <x:c r="E12" s="285"/>
      <x:c r="F12" s="288">
        <x:v>1</x:v>
      </x:c>
      <x:c r="G12" s="289"/>
      <x:c r="H12" s="54" t="s">
        <x:v>80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112</x:v>
      </x:c>
      <x:c r="B13" s="295"/>
      <x:c r="C13" s="136">
        <x:f>SUM('1:18'!$C$12)</x:f>
        <x:v>314</x:v>
      </x:c>
      <x:c r="D13" s="276"/>
      <x:c r="E13" s="277"/>
      <x:c r="F13" s="286">
        <x:f>SUM('1:18'!$F$12)</x:f>
        <x:v>150</x:v>
      </x:c>
      <x:c r="G13" s="287"/>
      <x:c r="H13" s="54" t="s">
        <x:v>131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39</x:v>
      </x:c>
      <x:c r="B14" s="294" t="s">
        <x:v>34</x:v>
      </x:c>
      <x:c r="C14" s="81">
        <x:v>39</x:v>
      </x:c>
      <x:c r="D14" s="284" t="s">
        <x:v>84</x:v>
      </x:c>
      <x:c r="E14" s="285"/>
      <x:c r="F14" s="288">
        <x:v>10</x:v>
      </x:c>
      <x:c r="G14" s="289"/>
      <x:c r="H14" s="54" t="s">
        <x:v>104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112</x:v>
      </x:c>
      <x:c r="B15" s="295"/>
      <x:c r="C15" s="136">
        <x:f>SUM('1:18'!$C$14)</x:f>
        <x:v>942</x:v>
      </x:c>
      <x:c r="D15" s="276"/>
      <x:c r="E15" s="277"/>
      <x:c r="F15" s="286">
        <x:f>SUM('1:18'!$F$14)</x:f>
        <x:v>388</x:v>
      </x:c>
      <x:c r="G15" s="287"/>
      <x:c r="H15" s="54" t="s">
        <x:v>87</x:v>
      </x:c>
      <x:c r="I15" s="58">
        <x:v>63500</x:v>
      </x:c>
      <x:c r="J15" s="54" t="s">
        <x:v>140</x:v>
      </x:c>
      <x:c r="K15" s="58"/>
      <x:c r="L15" s="60"/>
      <x:c r="M15" s="11"/>
    </x:row>
    <x:row r="16" spans="1:13" ht="21.949999999999999" customHeight="1">
      <x:c r="A16" s="59" t="s">
        <x:v>39</x:v>
      </x:c>
      <x:c r="B16" s="294" t="s">
        <x:v>2</x:v>
      </x:c>
      <x:c r="C16" s="81">
        <x:v>6</x:v>
      </x:c>
      <x:c r="D16" s="284" t="s">
        <x:v>111</x:v>
      </x:c>
      <x:c r="E16" s="285"/>
      <x:c r="F16" s="282">
        <x:v>15</x:v>
      </x:c>
      <x:c r="G16" s="282"/>
      <x:c r="H16" s="54"/>
      <x:c r="I16" s="58"/>
      <x:c r="J16" s="54" t="s">
        <x:v>78</x:v>
      </x:c>
      <x:c r="K16" s="58"/>
      <x:c r="L16" s="60"/>
      <x:c r="M16" s="11"/>
    </x:row>
    <x:row r="17" spans="1:13" ht="21.949999999999999" customHeight="1">
      <x:c r="A17" s="59" t="s">
        <x:v>112</x:v>
      </x:c>
      <x:c r="B17" s="295"/>
      <x:c r="C17" s="136">
        <x:f>SUM('1:18'!$C$16)</x:f>
        <x:v>112</x:v>
      </x:c>
      <x:c r="D17" s="276"/>
      <x:c r="E17" s="277"/>
      <x:c r="F17" s="283">
        <x:f>SUM('1:18'!$F$16)</x:f>
        <x:v>277</x:v>
      </x:c>
      <x:c r="G17" s="283"/>
      <x:c r="H17" s="54" t="s">
        <x:v>56</x:v>
      </x:c>
      <x:c r="I17" s="58"/>
      <x:c r="J17" s="54" t="s">
        <x:v>72</x:v>
      </x:c>
      <x:c r="K17" s="58"/>
      <x:c r="L17" s="60"/>
      <x:c r="M17" s="11"/>
    </x:row>
    <x:row r="18" spans="1:13" ht="21.949999999999999" customHeight="1">
      <x:c r="A18" s="59" t="s">
        <x:v>39</x:v>
      </x:c>
      <x:c r="B18" s="294" t="s">
        <x:v>120</x:v>
      </x:c>
      <x:c r="C18" s="81">
        <x:v>35</x:v>
      </x:c>
      <x:c r="D18" s="284" t="s">
        <x:v>122</x:v>
      </x:c>
      <x:c r="E18" s="285"/>
      <x:c r="F18" s="292">
        <x:v>12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112</x:v>
      </x:c>
      <x:c r="B19" s="295"/>
      <x:c r="C19" s="136">
        <x:f>SUM('1:18'!$C$18)</x:f>
        <x:v>669</x:v>
      </x:c>
      <x:c r="D19" s="276"/>
      <x:c r="E19" s="277"/>
      <x:c r="F19" s="283">
        <x:f>SUM('1:18'!$F$18)</x:f>
        <x:v>262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95</x:v>
      </x:c>
      <x:c r="E20" s="257"/>
      <x:c r="F20" s="282">
        <x:v>43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132</x:v>
      </x:c>
      <x:c r="E21" s="257"/>
      <x:c r="F21" s="283">
        <x:f>SUM('1:18'!$F$20)</x:f>
        <x:v>1140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77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121</x:v>
      </x:c>
      <x:c r="B23" s="257"/>
      <x:c r="C23" s="312"/>
      <x:c r="D23" s="313"/>
      <x:c r="E23" s="313"/>
      <x:c r="F23" s="313"/>
      <x:c r="G23" s="313"/>
      <x:c r="H23" s="109" t="s">
        <x:v>127</x:v>
      </x:c>
      <x:c r="I23" s="110">
        <x:f>SUM(I4:I22)</x:f>
        <x:v>2161495</x:v>
      </x:c>
      <x:c r="J23" s="61" t="s">
        <x:v>99</x:v>
      </x:c>
      <x:c r="K23" s="62">
        <x:f>SUM(K4:K22)</x:f>
        <x:v>14194</x:v>
      </x:c>
      <x:c r="M23" s="90" t="s">
        <x:v>107</x:v>
      </x:c>
      <x:c r="N23" s="279">
        <x:f>C5+C6</x:f>
        <x:v>538000</x:v>
      </x:c>
      <x:c r="O23" s="280"/>
    </x:row>
    <x:row r="24" spans="1:11" ht="34.149999999999999" customHeight="1">
      <x:c r="A24" s="256" t="s">
        <x:v>59</x:v>
      </x:c>
      <x:c r="B24" s="257"/>
      <x:c r="C24" s="257" t="s">
        <x:v>91</x:v>
      </x:c>
      <x:c r="D24" s="257"/>
      <x:c r="E24" s="257" t="s">
        <x:v>135</x:v>
      </x:c>
      <x:c r="F24" s="257"/>
      <x:c r="G24" s="257"/>
      <x:c r="H24" s="109" t="s">
        <x:v>59</x:v>
      </x:c>
      <x:c r="I24" s="111">
        <x:f>I23/A25</x:f>
        <x:v>0.55224706182933059</x:v>
      </x:c>
      <x:c r="J24" s="61" t="s">
        <x:v>59</x:v>
      </x:c>
      <x:c r="K24" s="63">
        <x:f>K23/A25</x:f>
        <x:v>0.0036264690853346961</x:v>
      </x:c>
    </x:row>
    <x:row r="25" spans="1:11" ht="34.149999999999999" customHeight="1">
      <x:c r="A25" s="308">
        <x:f>C2</x:f>
        <x:v>3914000</x:v>
      </x:c>
      <x:c r="B25" s="272"/>
      <x:c r="C25" s="272">
        <x:f>E25/I1</x:f>
        <x:v>4465444.444444444</x:v>
      </x:c>
      <x:c r="D25" s="272"/>
      <x:c r="E25" s="272">
        <x:f>SUM('1:18'!$A$25)</x:f>
        <x:v>80378000</x:v>
      </x:c>
      <x:c r="F25" s="272"/>
      <x:c r="G25" s="272"/>
      <x:c r="H25" s="109" t="s">
        <x:v>19</x:v>
      </x:c>
      <x:c r="I25" s="110">
        <x:f>SUM('1:18'!$I$21)</x:f>
        <x:v>0</x:v>
      </x:c>
      <x:c r="J25" s="61" t="s">
        <x:v>19</x:v>
      </x:c>
      <x:c r="K25" s="62">
        <x:f>SUM('1:18'!$K$21)</x:f>
        <x:v>0</x:v>
      </x:c>
    </x:row>
    <x:row r="26" spans="1:11" ht="34.149999999999999" customHeight="1">
      <x:c r="A26" s="256" t="s">
        <x:v>71</x:v>
      </x:c>
      <x:c r="B26" s="257"/>
      <x:c r="C26" s="257"/>
      <x:c r="D26" s="257"/>
      <x:c r="E26" s="258"/>
      <x:c r="F26" s="258"/>
      <x:c r="G26" s="258"/>
      <x:c r="H26" s="109" t="s">
        <x:v>110</x:v>
      </x:c>
      <x:c r="I26" s="112">
        <x:f>I25/$E$25</x:f>
        <x:v>0</x:v>
      </x:c>
      <x:c r="J26" s="64" t="s">
        <x:v>110</x:v>
      </x:c>
      <x:c r="K26" s="65">
        <x:f>K25/$E$25</x:f>
        <x:v>0</x:v>
      </x:c>
    </x:row>
    <x:row r="27" spans="1:13" ht="30.949999999999999" customHeight="1">
      <x:c r="A27" s="314" t="s">
        <x:v>68</x:v>
      </x:c>
      <x:c r="B27" s="54" t="s">
        <x:v>44</x:v>
      </x:c>
      <x:c r="C27" s="272">
        <x:f>4000000/31</x:f>
        <x:v>129032.25806451614</x:v>
      </x:c>
      <x:c r="D27" s="272"/>
      <x:c r="E27" s="55" t="s">
        <x:v>52</x:v>
      </x:c>
      <x:c r="F27" s="258"/>
      <x:c r="G27" s="258"/>
      <x:c r="H27" s="113" t="s">
        <x:v>85</x:v>
      </x:c>
      <x:c r="I27" s="114">
        <x:f>SUM(C27:D34,F27:G32)</x:f>
        <x:v>753419.3548387097</x:v>
      </x:c>
      <x:c r="M27" s="66"/>
    </x:row>
    <x:row r="28" spans="1:13" ht="30.949999999999999" customHeight="1">
      <x:c r="A28" s="315"/>
      <x:c r="B28" s="54" t="s">
        <x:v>29</x:v>
      </x:c>
      <x:c r="C28" s="272">
        <x:f>3800000/31</x:f>
        <x:v>122580.64516129032</x:v>
      </x:c>
      <x:c r="D28" s="272"/>
      <x:c r="E28" s="55" t="s">
        <x:v>52</x:v>
      </x:c>
      <x:c r="F28" s="311"/>
      <x:c r="G28" s="311"/>
      <x:c r="H28" s="113" t="s">
        <x:v>59</x:v>
      </x:c>
      <x:c r="I28" s="115">
        <x:f>I27/$A$25</x:f>
        <x:v>0.19249344783819869</x:v>
      </x:c>
      <x:c r="M28" s="66"/>
    </x:row>
    <x:row r="29" spans="1:13" ht="30.949999999999999" customHeight="1">
      <x:c r="A29" s="315"/>
      <x:c r="B29" s="54" t="s">
        <x:v>21</x:v>
      </x:c>
      <x:c r="C29" s="272">
        <x:f>3200000/31</x:f>
        <x:v>103225.80645161291</x:v>
      </x:c>
      <x:c r="D29" s="272"/>
      <x:c r="E29" s="54" t="s">
        <x:v>52</x:v>
      </x:c>
      <x:c r="F29" s="258"/>
      <x:c r="G29" s="258"/>
      <x:c r="H29" s="113" t="s">
        <x:v>19</x:v>
      </x:c>
      <x:c r="I29" s="114">
        <x:f>SUM('1:18'!$I$25)</x:f>
        <x:v>71148041</x:v>
      </x:c>
      <x:c r="M29" s="66"/>
    </x:row>
    <x:row r="30" spans="1:13" ht="30.949999999999999" customHeight="1">
      <x:c r="A30" s="315"/>
      <x:c r="B30" s="54" t="s">
        <x:v>41</x:v>
      </x:c>
      <x:c r="C30" s="272">
        <x:f>3400000/31</x:f>
        <x:v>109677.41935483871</x:v>
      </x:c>
      <x:c r="D30" s="272"/>
      <x:c r="E30" s="55"/>
      <x:c r="F30" s="306"/>
      <x:c r="G30" s="307"/>
      <x:c r="H30" s="113" t="s">
        <x:v>110</x:v>
      </x:c>
      <x:c r="I30" s="115">
        <x:f>I29/$I$27</x:f>
        <x:v>94.433519052920019</x:v>
      </x:c>
      <x:c r="M30" s="66"/>
    </x:row>
    <x:row r="31" spans="1:7" customHeight="1">
      <x:c r="A31" s="315"/>
      <x:c r="B31" s="54" t="s">
        <x:v>12</x:v>
      </x:c>
      <x:c r="C31" s="309">
        <x:f>3500000/31</x:f>
        <x:v>112903.22580645161</x:v>
      </x:c>
      <x:c r="D31" s="310"/>
      <x:c r="E31" s="55" t="s">
        <x:v>62</x:v>
      </x:c>
      <x:c r="F31" s="306">
        <x:v>120000</x:v>
      </x:c>
      <x:c r="G31" s="307"/>
    </x:row>
    <x:row r="32" spans="1:7" customHeight="1">
      <x:c r="A32" s="315"/>
      <x:c r="B32" s="355" t="s">
        <x:v>40</x:v>
      </x:c>
      <x:c r="C32" s="304">
        <x:v>56000</x:v>
      </x:c>
      <x:c r="D32" s="305"/>
      <x:c r="E32" s="55" t="s">
        <x:v>1</x:v>
      </x:c>
      <x:c r="F32" s="306"/>
      <x:c r="G32" s="307"/>
    </x:row>
    <x:row r="33" spans="1:4" customHeight="1">
      <x:c r="A33" s="315"/>
      <x:c r="B33" s="355" t="s">
        <x:v>149</x:v>
      </x:c>
      <x:c r="C33" s="304"/>
      <x:c r="D33" s="305"/>
    </x:row>
    <x:row r="34" spans="1:4" customHeight="1">
      <x:c r="A34" s="316"/>
      <x:c r="B34" s="54"/>
      <x:c r="C34" s="306"/>
      <x:c r="D34" s="307"/>
    </x:row>
  </x:sheetData>
  <x:mergeCells count="74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32:G32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1"/>
  <x:dimension ref="A1:O34"/>
  <x:sheetViews>
    <x:sheetView topLeftCell="A1" zoomScale="85" zoomScaleNormal="85" zoomScaleSheetLayoutView="75" workbookViewId="0">
      <x:selection activeCell="E27" activeCellId="0" sqref="E27:E29"/>
    </x:sheetView>
  </x:sheetViews>
  <x:sheetFormatPr defaultColWidth="8.625" defaultRowHeight="13.199999999999999"/>
  <x:cols>
    <x:col min="1" max="1" width="8.625" style="53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ht="30" customHeight="1">
      <x:c r="A1" s="51"/>
      <x:c r="B1" s="51"/>
      <x:c r="C1" s="68" t="s">
        <x:v>89</x:v>
      </x:c>
      <x:c r="D1" s="68"/>
      <x:c r="E1" s="68">
        <x:v>3</x:v>
      </x:c>
      <x:c r="F1" s="68">
        <x:v>19</x:v>
      </x:c>
      <x:c r="G1" s="68" t="s">
        <x:v>38</x:v>
      </x:c>
      <x:c r="H1" s="52" t="s">
        <x:v>103</x:v>
      </x:c>
      <x:c r="I1" s="52">
        <x:f>F1-K1</x:f>
        <x:v>19</x:v>
      </x:c>
      <x:c r="J1" s="52" t="s">
        <x:v>93</x:v>
      </x:c>
      <x:c r="K1" s="52"/>
    </x:row>
    <x:row r="2" spans="1:11" ht="20.100000000000001" customHeight="1">
      <x:c r="A2" s="267" t="s">
        <x:v>24</x:v>
      </x:c>
      <x:c r="B2" s="268"/>
      <x:c r="C2" s="271">
        <x:f>SUM(C4:D7)</x:f>
        <x:v>4080000</x:v>
      </x:c>
      <x:c r="D2" s="271"/>
      <x:c r="E2" s="274" t="s">
        <x:v>9</x:v>
      </x:c>
      <x:c r="F2" s="275"/>
      <x:c r="G2" s="263">
        <x:v>155950</x:v>
      </x:c>
      <x:c r="H2" s="261" t="s">
        <x:v>60</x:v>
      </x:c>
      <x:c r="I2" s="262"/>
      <x:c r="J2" s="259" t="s">
        <x:v>140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1" ht="30.949999999999999" customHeight="1">
      <x:c r="A4" s="265" t="s">
        <x:v>11</x:v>
      </x:c>
      <x:c r="B4" s="266"/>
      <x:c r="C4" s="258">
        <x:v>3818000</x:v>
      </x:c>
      <x:c r="D4" s="258"/>
      <x:c r="E4" s="273" t="s">
        <x:v>137</x:v>
      </x:c>
      <x:c r="F4" s="273"/>
      <x:c r="G4" s="135">
        <x:f>INT(C4*0.0275)</x:f>
        <x:v>104995</x:v>
      </x:c>
      <x:c r="H4" s="54" t="s">
        <x:v>43</x:v>
      </x:c>
      <x:c r="I4" s="126">
        <x:v>1773870</x:v>
      </x:c>
      <x:c r="J4" s="83" t="s">
        <x:v>18</x:v>
      </x:c>
      <x:c r="K4" s="58">
        <x:v>759000</x:v>
      </x:c>
    </x:row>
    <x:row r="5" spans="1:11" ht="30.949999999999999" customHeight="1">
      <x:c r="A5" s="265" t="s">
        <x:v>50</x:v>
      </x:c>
      <x:c r="B5" s="266"/>
      <x:c r="C5" s="258">
        <x:v>262000</x:v>
      </x:c>
      <x:c r="D5" s="258"/>
      <x:c r="E5" s="257" t="s">
        <x:v>146</x:v>
      </x:c>
      <x:c r="F5" s="257"/>
      <x:c r="G5" s="135">
        <x:f>INT(C5*0.01)</x:f>
        <x:v>2620</x:v>
      </x:c>
      <x:c r="H5" s="54" t="s">
        <x:v>60</x:v>
      </x:c>
      <x:c r="I5" s="126">
        <x:v>146060</x:v>
      </x:c>
      <x:c r="J5" s="83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>
        <x:v>300000</x:v>
      </x:c>
      <x:c r="H6" s="54"/>
      <x:c r="I6" s="126"/>
      <x:c r="J6" s="83" t="s">
        <x:v>114</x:v>
      </x:c>
      <x:c r="K6" s="58">
        <x:v>84000</x:v>
      </x:c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6"/>
      <x:c r="J7" s="83" t="s">
        <x:v>118</x:v>
      </x:c>
      <x:c r="K7" s="58"/>
    </x:row>
    <x:row r="8" spans="1:11" ht="21.949999999999999" customHeight="1">
      <x:c r="A8" s="256" t="s">
        <x:v>108</x:v>
      </x:c>
      <x:c r="B8" s="257"/>
      <x:c r="C8" s="258">
        <x:v>118250</x:v>
      </x:c>
      <x:c r="D8" s="258"/>
      <x:c r="E8" s="284" t="s">
        <x:v>128</x:v>
      </x:c>
      <x:c r="F8" s="285"/>
      <x:c r="G8" s="290">
        <x:f>C5+G2-G6-C22</x:f>
        <x:v>117950</x:v>
      </x:c>
      <x:c r="H8" s="54" t="s">
        <x:v>16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30.949999999999999" customHeight="1">
      <x:c r="A10" s="256" t="s">
        <x:v>129</x:v>
      </x:c>
      <x:c r="B10" s="257"/>
      <x:c r="C10" s="258"/>
      <x:c r="D10" s="258"/>
      <x:c r="E10" s="257" t="s">
        <x:v>69</x:v>
      </x:c>
      <x:c r="F10" s="257"/>
      <x:c r="G10" s="55"/>
      <x:c r="H10" s="54"/>
      <x:c r="I10" s="126"/>
      <x:c r="J10" s="54" t="s">
        <x:v>4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37</x:v>
      </x:c>
      <x:c r="I11" s="58"/>
      <x:c r="J11" s="54" t="s">
        <x:v>102</x:v>
      </x:c>
      <x:c r="K11" s="137">
        <x:v>14194</x:v>
      </x:c>
    </x:row>
    <x:row r="12" spans="1:13" ht="21.949999999999999" customHeight="1">
      <x:c r="A12" s="59" t="s">
        <x:v>39</x:v>
      </x:c>
      <x:c r="B12" s="294" t="s">
        <x:v>22</x:v>
      </x:c>
      <x:c r="C12" s="81">
        <x:v>12</x:v>
      </x:c>
      <x:c r="D12" s="284" t="s">
        <x:v>100</x:v>
      </x:c>
      <x:c r="E12" s="285"/>
      <x:c r="F12" s="288">
        <x:v>8</x:v>
      </x:c>
      <x:c r="G12" s="289"/>
      <x:c r="H12" s="54" t="s">
        <x:v>80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112</x:v>
      </x:c>
      <x:c r="B13" s="295"/>
      <x:c r="C13" s="136">
        <x:f>SUM('1:19'!$C$12)</x:f>
        <x:v>326</x:v>
      </x:c>
      <x:c r="D13" s="276"/>
      <x:c r="E13" s="277"/>
      <x:c r="F13" s="286">
        <x:f>SUM('1:19'!$F$12)</x:f>
        <x:v>158</x:v>
      </x:c>
      <x:c r="G13" s="287"/>
      <x:c r="H13" s="54" t="s">
        <x:v>131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39</x:v>
      </x:c>
      <x:c r="B14" s="294" t="s">
        <x:v>34</x:v>
      </x:c>
      <x:c r="C14" s="81">
        <x:v>64</x:v>
      </x:c>
      <x:c r="D14" s="284" t="s">
        <x:v>84</x:v>
      </x:c>
      <x:c r="E14" s="285"/>
      <x:c r="F14" s="288">
        <x:v>16</x:v>
      </x:c>
      <x:c r="G14" s="289"/>
      <x:c r="H14" s="54" t="s">
        <x:v>104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112</x:v>
      </x:c>
      <x:c r="B15" s="295"/>
      <x:c r="C15" s="136">
        <x:f>SUM('1:19'!$C$14)</x:f>
        <x:v>1006</x:v>
      </x:c>
      <x:c r="D15" s="276"/>
      <x:c r="E15" s="277"/>
      <x:c r="F15" s="286">
        <x:f>SUM('1:19'!$F$14)</x:f>
        <x:v>404</x:v>
      </x:c>
      <x:c r="G15" s="287"/>
      <x:c r="H15" s="54" t="s">
        <x:v>87</x:v>
      </x:c>
      <x:c r="I15" s="58">
        <x:v>117700</x:v>
      </x:c>
      <x:c r="J15" s="54" t="s">
        <x:v>140</x:v>
      </x:c>
      <x:c r="K15" s="58"/>
      <x:c r="L15" s="60"/>
      <x:c r="M15" s="11"/>
    </x:row>
    <x:row r="16" spans="1:13" ht="21.949999999999999" customHeight="1">
      <x:c r="A16" s="59" t="s">
        <x:v>39</x:v>
      </x:c>
      <x:c r="B16" s="294" t="s">
        <x:v>2</x:v>
      </x:c>
      <x:c r="C16" s="81">
        <x:v>8</x:v>
      </x:c>
      <x:c r="D16" s="284" t="s">
        <x:v>111</x:v>
      </x:c>
      <x:c r="E16" s="285"/>
      <x:c r="F16" s="282">
        <x:v>13</x:v>
      </x:c>
      <x:c r="G16" s="282"/>
      <x:c r="H16" s="54"/>
      <x:c r="I16" s="58"/>
      <x:c r="J16" s="54" t="s">
        <x:v>78</x:v>
      </x:c>
      <x:c r="K16" s="58"/>
      <x:c r="L16" s="60"/>
      <x:c r="M16" s="11"/>
    </x:row>
    <x:row r="17" spans="1:13" ht="21.949999999999999" customHeight="1">
      <x:c r="A17" s="59" t="s">
        <x:v>112</x:v>
      </x:c>
      <x:c r="B17" s="295"/>
      <x:c r="C17" s="136">
        <x:f>SUM('1:19'!$C$16)</x:f>
        <x:v>120</x:v>
      </x:c>
      <x:c r="D17" s="276"/>
      <x:c r="E17" s="277"/>
      <x:c r="F17" s="283">
        <x:f>SUM('1:19'!$F$16)</x:f>
        <x:v>290</x:v>
      </x:c>
      <x:c r="G17" s="283"/>
      <x:c r="H17" s="54" t="s">
        <x:v>56</x:v>
      </x:c>
      <x:c r="I17" s="58"/>
      <x:c r="J17" s="54" t="s">
        <x:v>72</x:v>
      </x:c>
      <x:c r="K17" s="58"/>
      <x:c r="L17" s="60"/>
      <x:c r="M17" s="11"/>
    </x:row>
    <x:row r="18" spans="1:13" ht="21.949999999999999" customHeight="1">
      <x:c r="A18" s="59" t="s">
        <x:v>39</x:v>
      </x:c>
      <x:c r="B18" s="294" t="s">
        <x:v>120</x:v>
      </x:c>
      <x:c r="C18" s="81">
        <x:v>27</x:v>
      </x:c>
      <x:c r="D18" s="284" t="s">
        <x:v>122</x:v>
      </x:c>
      <x:c r="E18" s="285"/>
      <x:c r="F18" s="292">
        <x:v>4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112</x:v>
      </x:c>
      <x:c r="B19" s="295"/>
      <x:c r="C19" s="136">
        <x:f>SUM('1:19'!$C$18)</x:f>
        <x:v>696</x:v>
      </x:c>
      <x:c r="D19" s="276"/>
      <x:c r="E19" s="277"/>
      <x:c r="F19" s="283">
        <x:f>SUM('1:19'!$F$18)</x:f>
        <x:v>266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95</x:v>
      </x:c>
      <x:c r="E20" s="257"/>
      <x:c r="F20" s="282">
        <x:v>43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132</x:v>
      </x:c>
      <x:c r="E21" s="257"/>
      <x:c r="F21" s="283">
        <x:f>SUM('1:19'!$F$20)</x:f>
        <x:v>1183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77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121</x:v>
      </x:c>
      <x:c r="B23" s="257"/>
      <x:c r="C23" s="312"/>
      <x:c r="D23" s="313"/>
      <x:c r="E23" s="313"/>
      <x:c r="F23" s="313"/>
      <x:c r="G23" s="313"/>
      <x:c r="H23" s="109" t="s">
        <x:v>127</x:v>
      </x:c>
      <x:c r="I23" s="110">
        <x:f>SUM(I4:I22)</x:f>
        <x:v>2037630</x:v>
      </x:c>
      <x:c r="J23" s="61" t="s">
        <x:v>99</x:v>
      </x:c>
      <x:c r="K23" s="62">
        <x:f>SUM(K4:K22)</x:f>
        <x:v>857194</x:v>
      </x:c>
      <x:c r="M23" s="90" t="s">
        <x:v>107</x:v>
      </x:c>
      <x:c r="N23" s="279">
        <x:f>C5+C6</x:f>
        <x:v>262000</x:v>
      </x:c>
      <x:c r="O23" s="280"/>
    </x:row>
    <x:row r="24" spans="1:11" ht="34.149999999999999" customHeight="1">
      <x:c r="A24" s="256" t="s">
        <x:v>59</x:v>
      </x:c>
      <x:c r="B24" s="257"/>
      <x:c r="C24" s="257" t="s">
        <x:v>91</x:v>
      </x:c>
      <x:c r="D24" s="257"/>
      <x:c r="E24" s="257" t="s">
        <x:v>135</x:v>
      </x:c>
      <x:c r="F24" s="257"/>
      <x:c r="G24" s="257"/>
      <x:c r="H24" s="109" t="s">
        <x:v>59</x:v>
      </x:c>
      <x:c r="I24" s="111">
        <x:f>I23/A25</x:f>
        <x:v>0.49941911764705882</x:v>
      </x:c>
      <x:c r="J24" s="61" t="s">
        <x:v>59</x:v>
      </x:c>
      <x:c r="K24" s="63">
        <x:f>K23/A25</x:f>
        <x:v>0.21009656862745099</x:v>
      </x:c>
    </x:row>
    <x:row r="25" spans="1:11" ht="34.149999999999999" customHeight="1">
      <x:c r="A25" s="308">
        <x:f>C2</x:f>
        <x:v>4080000</x:v>
      </x:c>
      <x:c r="B25" s="272"/>
      <x:c r="C25" s="272">
        <x:f>E25/I1</x:f>
        <x:v>4445157.8947368423</x:v>
      </x:c>
      <x:c r="D25" s="272"/>
      <x:c r="E25" s="272">
        <x:f>SUM('1:19'!$A$25)</x:f>
        <x:v>84458000</x:v>
      </x:c>
      <x:c r="F25" s="272"/>
      <x:c r="G25" s="272"/>
      <x:c r="H25" s="109" t="s">
        <x:v>19</x:v>
      </x:c>
      <x:c r="I25" s="110">
        <x:f>SUM('1:18'!$I$21)</x:f>
        <x:v>0</x:v>
      </x:c>
      <x:c r="J25" s="61" t="s">
        <x:v>19</x:v>
      </x:c>
      <x:c r="K25" s="62">
        <x:f>SUM('1:18'!$K$21)</x:f>
        <x:v>0</x:v>
      </x:c>
    </x:row>
    <x:row r="26" spans="1:11" ht="34.149999999999999" customHeight="1">
      <x:c r="A26" s="256" t="s">
        <x:v>71</x:v>
      </x:c>
      <x:c r="B26" s="257"/>
      <x:c r="C26" s="257"/>
      <x:c r="D26" s="257"/>
      <x:c r="E26" s="258"/>
      <x:c r="F26" s="258"/>
      <x:c r="G26" s="258"/>
      <x:c r="H26" s="109" t="s">
        <x:v>110</x:v>
      </x:c>
      <x:c r="I26" s="112">
        <x:f>I25/$E$25</x:f>
        <x:v>0</x:v>
      </x:c>
      <x:c r="J26" s="64" t="s">
        <x:v>110</x:v>
      </x:c>
      <x:c r="K26" s="65">
        <x:f>K25/$E$25</x:f>
        <x:v>0</x:v>
      </x:c>
    </x:row>
    <x:row r="27" spans="1:13" ht="30.949999999999999" customHeight="1">
      <x:c r="A27" s="314" t="s">
        <x:v>68</x:v>
      </x:c>
      <x:c r="B27" s="54" t="s">
        <x:v>44</x:v>
      </x:c>
      <x:c r="C27" s="272">
        <x:f>4000000/31</x:f>
        <x:v>129032.25806451614</x:v>
      </x:c>
      <x:c r="D27" s="272"/>
      <x:c r="E27" s="55" t="s">
        <x:v>52</x:v>
      </x:c>
      <x:c r="F27" s="258"/>
      <x:c r="G27" s="258"/>
      <x:c r="H27" s="113" t="s">
        <x:v>85</x:v>
      </x:c>
      <x:c r="I27" s="114">
        <x:f>SUM(C27:D34,F27:G32)</x:f>
        <x:v>755919.3548387097</x:v>
      </x:c>
      <x:c r="M27" s="66"/>
    </x:row>
    <x:row r="28" spans="1:13" ht="30.949999999999999" customHeight="1">
      <x:c r="A28" s="315"/>
      <x:c r="B28" s="54" t="s">
        <x:v>29</x:v>
      </x:c>
      <x:c r="C28" s="272">
        <x:f>3800000/31</x:f>
        <x:v>122580.64516129032</x:v>
      </x:c>
      <x:c r="D28" s="272"/>
      <x:c r="E28" s="55" t="s">
        <x:v>52</x:v>
      </x:c>
      <x:c r="F28" s="311">
        <x:v>58500</x:v>
      </x:c>
      <x:c r="G28" s="311"/>
      <x:c r="H28" s="113" t="s">
        <x:v>59</x:v>
      </x:c>
      <x:c r="I28" s="115">
        <x:f>I27/$A$25</x:f>
        <x:v>0.18527435167615433</x:v>
      </x:c>
      <x:c r="M28" s="66"/>
    </x:row>
    <x:row r="29" spans="1:13" ht="30.949999999999999" customHeight="1">
      <x:c r="A29" s="315"/>
      <x:c r="B29" s="54" t="s">
        <x:v>21</x:v>
      </x:c>
      <x:c r="C29" s="272">
        <x:f>3200000/31</x:f>
        <x:v>103225.80645161291</x:v>
      </x:c>
      <x:c r="D29" s="272"/>
      <x:c r="E29" s="54" t="s">
        <x:v>52</x:v>
      </x:c>
      <x:c r="F29" s="258"/>
      <x:c r="G29" s="258"/>
      <x:c r="H29" s="113" t="s">
        <x:v>19</x:v>
      </x:c>
      <x:c r="I29" s="114">
        <x:f>SUM('1:18'!$I$25)</x:f>
        <x:v>71148041</x:v>
      </x:c>
      <x:c r="M29" s="66"/>
    </x:row>
    <x:row r="30" spans="1:13" ht="30.949999999999999" customHeight="1">
      <x:c r="A30" s="315"/>
      <x:c r="B30" s="54" t="s">
        <x:v>41</x:v>
      </x:c>
      <x:c r="C30" s="272">
        <x:f>3400000/31</x:f>
        <x:v>109677.41935483871</x:v>
      </x:c>
      <x:c r="D30" s="272"/>
      <x:c r="E30" s="55"/>
      <x:c r="F30" s="306"/>
      <x:c r="G30" s="307"/>
      <x:c r="H30" s="113" t="s">
        <x:v>110</x:v>
      </x:c>
      <x:c r="I30" s="115">
        <x:f>I29/$I$27</x:f>
        <x:v>94.121205581752619</x:v>
      </x:c>
      <x:c r="M30" s="66"/>
    </x:row>
    <x:row r="31" spans="1:7" ht="30" customHeight="1">
      <x:c r="A31" s="315"/>
      <x:c r="B31" s="54" t="s">
        <x:v>12</x:v>
      </x:c>
      <x:c r="C31" s="309">
        <x:f>3500000/31</x:f>
        <x:v>112903.22580645161</x:v>
      </x:c>
      <x:c r="D31" s="310"/>
      <x:c r="E31" s="55" t="s">
        <x:v>62</x:v>
      </x:c>
      <x:c r="F31" s="306">
        <x:v>120000</x:v>
      </x:c>
      <x:c r="G31" s="307"/>
    </x:row>
    <x:row r="32" spans="1:7" ht="30" customHeight="1">
      <x:c r="A32" s="315"/>
      <x:c r="B32" s="355" t="s">
        <x:v>40</x:v>
      </x:c>
      <x:c r="C32" s="304"/>
      <x:c r="D32" s="305"/>
      <x:c r="E32" s="55" t="s">
        <x:v>1</x:v>
      </x:c>
      <x:c r="F32" s="306"/>
      <x:c r="G32" s="307"/>
    </x:row>
    <x:row r="33" spans="1:4" ht="30" customHeight="1">
      <x:c r="A33" s="315"/>
      <x:c r="B33" s="355" t="s">
        <x:v>149</x:v>
      </x:c>
      <x:c r="C33" s="304"/>
      <x:c r="D33" s="305"/>
    </x:row>
    <x:row r="34" spans="1:4" ht="30" customHeight="1">
      <x:c r="A34" s="316"/>
      <x:c r="B34" s="54"/>
      <x:c r="C34" s="306"/>
      <x:c r="D34" s="307"/>
    </x:row>
  </x:sheetData>
  <x:mergeCells count="74">
    <x:mergeCell ref="J2:K2"/>
    <x:mergeCell ref="A2:B3"/>
    <x:mergeCell ref="C2:D3"/>
    <x:mergeCell ref="E2:F3"/>
    <x:mergeCell ref="G2:G3"/>
    <x:mergeCell ref="H2:I2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A4:B4"/>
    <x:mergeCell ref="C4:D4"/>
    <x:mergeCell ref="E4:F4"/>
    <x:mergeCell ref="A5:B5"/>
    <x:mergeCell ref="C5:D5"/>
    <x:mergeCell ref="E5:F5"/>
    <x:mergeCell ref="F14:G14"/>
    <x:mergeCell ref="F15:G15"/>
    <x:mergeCell ref="F12:G12"/>
    <x:mergeCell ref="F13:G13"/>
    <x:mergeCell ref="F16:G16"/>
    <x:mergeCell ref="F17:G17"/>
    <x:mergeCell ref="F18:G18"/>
    <x:mergeCell ref="F19:G19"/>
    <x:mergeCell ref="D20:E20"/>
    <x:mergeCell ref="F20:G20"/>
    <x:mergeCell ref="D21:E21"/>
    <x:mergeCell ref="F21:G21"/>
    <x:mergeCell ref="A22:B22"/>
    <x:mergeCell ref="C22:G22"/>
    <x:mergeCell ref="A23:B23"/>
    <x:mergeCell ref="C23:G23"/>
    <x:mergeCell ref="N23:O23"/>
    <x:mergeCell ref="A24:B24"/>
    <x:mergeCell ref="C24:D24"/>
    <x:mergeCell ref="E24:G24"/>
    <x:mergeCell ref="A25:B25"/>
    <x:mergeCell ref="C25:D25"/>
    <x:mergeCell ref="E25:G25"/>
    <x:mergeCell ref="A26:B26"/>
    <x:mergeCell ref="C26:D26"/>
    <x:mergeCell ref="E26:G26"/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F32:G32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</x:worksheet>
</file>

<file path=xl/worksheets/sheet2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2"/>
  <x:dimension ref="A1:O34"/>
  <x:sheetViews>
    <x:sheetView topLeftCell="A1" zoomScale="85" zoomScaleNormal="85" zoomScaleSheetLayoutView="75" workbookViewId="0">
      <x:selection activeCell="E27" activeCellId="0" sqref="E27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89</x:v>
      </x:c>
      <x:c r="D1" s="68"/>
      <x:c r="E1" s="68">
        <x:v>3</x:v>
      </x:c>
      <x:c r="F1" s="68">
        <x:v>20</x:v>
      </x:c>
      <x:c r="G1" s="68" t="s">
        <x:v>20</x:v>
      </x:c>
      <x:c r="H1" s="52" t="s">
        <x:v>103</x:v>
      </x:c>
      <x:c r="I1" s="52">
        <x:f>F1-K1</x:f>
        <x:v>20</x:v>
      </x:c>
      <x:c r="J1" s="52" t="s">
        <x:v>93</x:v>
      </x:c>
      <x:c r="K1" s="52"/>
    </x:row>
    <x:row r="2" spans="1:11" ht="20.100000000000001" customHeight="1">
      <x:c r="A2" s="267" t="s">
        <x:v>24</x:v>
      </x:c>
      <x:c r="B2" s="268"/>
      <x:c r="C2" s="271">
        <x:f>SUM(C4:D7)</x:f>
        <x:v>4673500</x:v>
      </x:c>
      <x:c r="D2" s="271"/>
      <x:c r="E2" s="274" t="s">
        <x:v>9</x:v>
      </x:c>
      <x:c r="F2" s="275"/>
      <x:c r="G2" s="263">
        <x:v>118250</x:v>
      </x:c>
      <x:c r="H2" s="261" t="s">
        <x:v>60</x:v>
      </x:c>
      <x:c r="I2" s="262"/>
      <x:c r="J2" s="259" t="s">
        <x:v>140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1" ht="30.949999999999999" customHeight="1">
      <x:c r="A4" s="265" t="s">
        <x:v>11</x:v>
      </x:c>
      <x:c r="B4" s="266"/>
      <x:c r="C4" s="258">
        <x:v>4045500</x:v>
      </x:c>
      <x:c r="D4" s="258"/>
      <x:c r="E4" s="273" t="s">
        <x:v>137</x:v>
      </x:c>
      <x:c r="F4" s="273"/>
      <x:c r="G4" s="135">
        <x:f>INT(C4*0.0275)</x:f>
        <x:v>111251</x:v>
      </x:c>
      <x:c r="H4" s="54" t="s">
        <x:v>43</x:v>
      </x:c>
      <x:c r="I4" s="126">
        <x:v>1332826</x:v>
      </x:c>
      <x:c r="J4" s="83" t="s">
        <x:v>18</x:v>
      </x:c>
      <x:c r="K4" s="58"/>
    </x:row>
    <x:row r="5" spans="1:11" ht="30.949999999999999" customHeight="1">
      <x:c r="A5" s="265" t="s">
        <x:v>50</x:v>
      </x:c>
      <x:c r="B5" s="266"/>
      <x:c r="C5" s="258">
        <x:v>628000</x:v>
      </x:c>
      <x:c r="D5" s="258"/>
      <x:c r="E5" s="257" t="s">
        <x:v>146</x:v>
      </x:c>
      <x:c r="F5" s="257"/>
      <x:c r="G5" s="135">
        <x:f>INT(C5*0.01)</x:f>
        <x:v>6280</x:v>
      </x:c>
      <x:c r="H5" s="54" t="s">
        <x:v>60</x:v>
      </x:c>
      <x:c r="I5" s="126">
        <x:v>259972</x:v>
      </x:c>
      <x:c r="J5" s="83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>
        <x:v>600000</x:v>
      </x:c>
      <x:c r="H6" s="54"/>
      <x:c r="I6" s="126"/>
      <x:c r="J6" s="83" t="s">
        <x:v>114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6">
        <x:v>330700</x:v>
      </x:c>
      <x:c r="J7" s="83" t="s">
        <x:v>118</x:v>
      </x:c>
      <x:c r="K7" s="58"/>
    </x:row>
    <x:row r="8" spans="1:11" ht="21.949999999999999" customHeight="1">
      <x:c r="A8" s="256" t="s">
        <x:v>108</x:v>
      </x:c>
      <x:c r="B8" s="257"/>
      <x:c r="C8" s="258">
        <x:v>146250</x:v>
      </x:c>
      <x:c r="D8" s="258"/>
      <x:c r="E8" s="284" t="s">
        <x:v>128</x:v>
      </x:c>
      <x:c r="F8" s="285"/>
      <x:c r="G8" s="290">
        <x:f>C5+G2-G6-C22</x:f>
        <x:v>146250</x:v>
      </x:c>
      <x:c r="H8" s="54" t="s">
        <x:v>16</x:v>
      </x:c>
      <x:c r="I8" s="126">
        <x:v>56000</x:v>
      </x:c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30.949999999999999" customHeight="1">
      <x:c r="A10" s="256" t="s">
        <x:v>129</x:v>
      </x:c>
      <x:c r="B10" s="257"/>
      <x:c r="C10" s="258"/>
      <x:c r="D10" s="258"/>
      <x:c r="E10" s="257" t="s">
        <x:v>69</x:v>
      </x:c>
      <x:c r="F10" s="257"/>
      <x:c r="G10" s="55"/>
      <x:c r="H10" s="54"/>
      <x:c r="I10" s="126"/>
      <x:c r="J10" s="54" t="s">
        <x:v>4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37</x:v>
      </x:c>
      <x:c r="I11" s="58"/>
      <x:c r="J11" s="54" t="s">
        <x:v>102</x:v>
      </x:c>
      <x:c r="K11" s="137">
        <x:v>14194</x:v>
      </x:c>
    </x:row>
    <x:row r="12" spans="1:13" ht="21.949999999999999" customHeight="1">
      <x:c r="A12" s="59" t="s">
        <x:v>39</x:v>
      </x:c>
      <x:c r="B12" s="294" t="s">
        <x:v>22</x:v>
      </x:c>
      <x:c r="C12" s="81">
        <x:v>6</x:v>
      </x:c>
      <x:c r="D12" s="284" t="s">
        <x:v>100</x:v>
      </x:c>
      <x:c r="E12" s="285"/>
      <x:c r="F12" s="288">
        <x:v>9</x:v>
      </x:c>
      <x:c r="G12" s="289"/>
      <x:c r="H12" s="54" t="s">
        <x:v>80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112</x:v>
      </x:c>
      <x:c r="B13" s="295"/>
      <x:c r="C13" s="136">
        <x:f>SUM('1:20'!$C$12)</x:f>
        <x:v>332</x:v>
      </x:c>
      <x:c r="D13" s="276"/>
      <x:c r="E13" s="277"/>
      <x:c r="F13" s="286">
        <x:f>SUM('1:20'!$F$12)</x:f>
        <x:v>167</x:v>
      </x:c>
      <x:c r="G13" s="287"/>
      <x:c r="H13" s="54" t="s">
        <x:v>131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39</x:v>
      </x:c>
      <x:c r="B14" s="294" t="s">
        <x:v>34</x:v>
      </x:c>
      <x:c r="C14" s="81">
        <x:v>36</x:v>
      </x:c>
      <x:c r="D14" s="284" t="s">
        <x:v>84</x:v>
      </x:c>
      <x:c r="E14" s="285"/>
      <x:c r="F14" s="288">
        <x:v>21</x:v>
      </x:c>
      <x:c r="G14" s="289"/>
      <x:c r="H14" s="54" t="s">
        <x:v>104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112</x:v>
      </x:c>
      <x:c r="B15" s="295"/>
      <x:c r="C15" s="136">
        <x:f>SUM('1:20'!$C$14)</x:f>
        <x:v>1042</x:v>
      </x:c>
      <x:c r="D15" s="276"/>
      <x:c r="E15" s="277"/>
      <x:c r="F15" s="286">
        <x:f>SUM('1:20'!$F$14)</x:f>
        <x:v>425</x:v>
      </x:c>
      <x:c r="G15" s="287"/>
      <x:c r="H15" s="54" t="s">
        <x:v>87</x:v>
      </x:c>
      <x:c r="I15" s="58">
        <x:v>85200</x:v>
      </x:c>
      <x:c r="J15" s="54" t="s">
        <x:v>140</x:v>
      </x:c>
      <x:c r="K15" s="58"/>
      <x:c r="L15" s="60"/>
      <x:c r="M15" s="11"/>
    </x:row>
    <x:row r="16" spans="1:13" ht="21.949999999999999" customHeight="1">
      <x:c r="A16" s="59" t="s">
        <x:v>39</x:v>
      </x:c>
      <x:c r="B16" s="294" t="s">
        <x:v>2</x:v>
      </x:c>
      <x:c r="C16" s="81">
        <x:v>10</x:v>
      </x:c>
      <x:c r="D16" s="284" t="s">
        <x:v>111</x:v>
      </x:c>
      <x:c r="E16" s="285"/>
      <x:c r="F16" s="282">
        <x:v>17</x:v>
      </x:c>
      <x:c r="G16" s="282"/>
      <x:c r="H16" s="54"/>
      <x:c r="I16" s="58"/>
      <x:c r="J16" s="54" t="s">
        <x:v>78</x:v>
      </x:c>
      <x:c r="K16" s="58"/>
      <x:c r="L16" s="60"/>
      <x:c r="M16" s="11"/>
    </x:row>
    <x:row r="17" spans="1:13" ht="21.949999999999999" customHeight="1">
      <x:c r="A17" s="59" t="s">
        <x:v>112</x:v>
      </x:c>
      <x:c r="B17" s="295"/>
      <x:c r="C17" s="136">
        <x:f>SUM('1:20'!$C$16)</x:f>
        <x:v>130</x:v>
      </x:c>
      <x:c r="D17" s="276"/>
      <x:c r="E17" s="277"/>
      <x:c r="F17" s="283">
        <x:f>SUM('1:20'!$F$16)</x:f>
        <x:v>307</x:v>
      </x:c>
      <x:c r="G17" s="283"/>
      <x:c r="H17" s="54" t="s">
        <x:v>56</x:v>
      </x:c>
      <x:c r="I17" s="58"/>
      <x:c r="J17" s="54" t="s">
        <x:v>72</x:v>
      </x:c>
      <x:c r="K17" s="58"/>
      <x:c r="L17" s="60"/>
      <x:c r="M17" s="11"/>
    </x:row>
    <x:row r="18" spans="1:13" ht="21.949999999999999" customHeight="1">
      <x:c r="A18" s="59" t="s">
        <x:v>39</x:v>
      </x:c>
      <x:c r="B18" s="294" t="s">
        <x:v>120</x:v>
      </x:c>
      <x:c r="C18" s="81">
        <x:v>41</x:v>
      </x:c>
      <x:c r="D18" s="284" t="s">
        <x:v>122</x:v>
      </x:c>
      <x:c r="E18" s="285"/>
      <x:c r="F18" s="292">
        <x:v>22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112</x:v>
      </x:c>
      <x:c r="B19" s="295"/>
      <x:c r="C19" s="136">
        <x:f>SUM('1:20'!$C$18)</x:f>
        <x:v>737</x:v>
      </x:c>
      <x:c r="D19" s="276"/>
      <x:c r="E19" s="277"/>
      <x:c r="F19" s="283">
        <x:f>SUM('1:20'!$F$18)</x:f>
        <x:v>288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95</x:v>
      </x:c>
      <x:c r="E20" s="257"/>
      <x:c r="F20" s="282">
        <x:v>65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132</x:v>
      </x:c>
      <x:c r="E21" s="257"/>
      <x:c r="F21" s="283">
        <x:f>SUM('1:20'!$F$20)</x:f>
        <x:v>1248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77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121</x:v>
      </x:c>
      <x:c r="B23" s="257"/>
      <x:c r="C23" s="312"/>
      <x:c r="D23" s="313"/>
      <x:c r="E23" s="313"/>
      <x:c r="F23" s="313"/>
      <x:c r="G23" s="313"/>
      <x:c r="H23" s="109" t="s">
        <x:v>127</x:v>
      </x:c>
      <x:c r="I23" s="110">
        <x:f>SUM(I4:I22)</x:f>
        <x:v>2064698</x:v>
      </x:c>
      <x:c r="J23" s="61" t="s">
        <x:v>99</x:v>
      </x:c>
      <x:c r="K23" s="62">
        <x:f>SUM(K4:K22)</x:f>
        <x:v>14194</x:v>
      </x:c>
      <x:c r="M23" s="90" t="s">
        <x:v>107</x:v>
      </x:c>
      <x:c r="N23" s="279">
        <x:f>C5+C6</x:f>
        <x:v>628000</x:v>
      </x:c>
      <x:c r="O23" s="280"/>
    </x:row>
    <x:row r="24" spans="1:11" ht="34.149999999999999" customHeight="1">
      <x:c r="A24" s="256" t="s">
        <x:v>59</x:v>
      </x:c>
      <x:c r="B24" s="257"/>
      <x:c r="C24" s="257" t="s">
        <x:v>91</x:v>
      </x:c>
      <x:c r="D24" s="257"/>
      <x:c r="E24" s="257" t="s">
        <x:v>135</x:v>
      </x:c>
      <x:c r="F24" s="257"/>
      <x:c r="G24" s="257"/>
      <x:c r="H24" s="109" t="s">
        <x:v>59</x:v>
      </x:c>
      <x:c r="I24" s="111">
        <x:f>I23/A25</x:f>
        <x:v>0.44178838129881243</x:v>
      </x:c>
      <x:c r="J24" s="61" t="s">
        <x:v>59</x:v>
      </x:c>
      <x:c r="K24" s="63">
        <x:f>K23/A25</x:f>
        <x:v>0.0030371242109767842</x:v>
      </x:c>
    </x:row>
    <x:row r="25" spans="1:11" ht="34.149999999999999" customHeight="1">
      <x:c r="A25" s="308">
        <x:f>C2</x:f>
        <x:v>4673500</x:v>
      </x:c>
      <x:c r="B25" s="272"/>
      <x:c r="C25" s="272">
        <x:f>E25/I1</x:f>
        <x:v>4456575</x:v>
      </x:c>
      <x:c r="D25" s="272"/>
      <x:c r="E25" s="272">
        <x:f>SUM('1:20'!$A$25)</x:f>
        <x:v>89131500</x:v>
      </x:c>
      <x:c r="F25" s="272"/>
      <x:c r="G25" s="272"/>
      <x:c r="H25" s="109" t="s">
        <x:v>19</x:v>
      </x:c>
      <x:c r="I25" s="110">
        <x:f>SUM('1:20'!$I$21)</x:f>
        <x:v>0</x:v>
      </x:c>
      <x:c r="J25" s="61" t="s">
        <x:v>19</x:v>
      </x:c>
      <x:c r="K25" s="62">
        <x:f>SUM('1:20'!$K$21)</x:f>
        <x:v>0</x:v>
      </x:c>
    </x:row>
    <x:row r="26" spans="1:11" ht="34.149999999999999" customHeight="1">
      <x:c r="A26" s="256" t="s">
        <x:v>71</x:v>
      </x:c>
      <x:c r="B26" s="257"/>
      <x:c r="C26" s="257"/>
      <x:c r="D26" s="257"/>
      <x:c r="E26" s="258"/>
      <x:c r="F26" s="258"/>
      <x:c r="G26" s="258"/>
      <x:c r="H26" s="109" t="s">
        <x:v>110</x:v>
      </x:c>
      <x:c r="I26" s="112">
        <x:f>I25/$E$25</x:f>
        <x:v>0</x:v>
      </x:c>
      <x:c r="J26" s="64" t="s">
        <x:v>110</x:v>
      </x:c>
      <x:c r="K26" s="65">
        <x:f>K25/$E$25</x:f>
        <x:v>0</x:v>
      </x:c>
    </x:row>
    <x:row r="27" spans="1:13" ht="30.949999999999999" customHeight="1">
      <x:c r="A27" s="314" t="s">
        <x:v>68</x:v>
      </x:c>
      <x:c r="B27" s="54" t="s">
        <x:v>44</x:v>
      </x:c>
      <x:c r="C27" s="272">
        <x:f>4000000/31</x:f>
        <x:v>129032.25806451614</x:v>
      </x:c>
      <x:c r="D27" s="272"/>
      <x:c r="E27" s="55" t="s">
        <x:v>52</x:v>
      </x:c>
      <x:c r="F27" s="258"/>
      <x:c r="G27" s="258"/>
      <x:c r="H27" s="113" t="s">
        <x:v>85</x:v>
      </x:c>
      <x:c r="I27" s="114">
        <x:f>SUM(C27:D34,F27:G32)</x:f>
        <x:v>755919.3548387097</x:v>
      </x:c>
      <x:c r="M27" s="66"/>
    </x:row>
    <x:row r="28" spans="1:13" ht="30.949999999999999" customHeight="1">
      <x:c r="A28" s="315"/>
      <x:c r="B28" s="54" t="s">
        <x:v>29</x:v>
      </x:c>
      <x:c r="C28" s="272">
        <x:f>3800000/31</x:f>
        <x:v>122580.64516129032</x:v>
      </x:c>
      <x:c r="D28" s="272"/>
      <x:c r="E28" s="55" t="s">
        <x:v>52</x:v>
      </x:c>
      <x:c r="F28" s="311">
        <x:v>58500</x:v>
      </x:c>
      <x:c r="G28" s="311"/>
      <x:c r="H28" s="113" t="s">
        <x:v>59</x:v>
      </x:c>
      <x:c r="I28" s="115">
        <x:f>I27/$A$25</x:f>
        <x:v>0.16174587671738733</x:v>
      </x:c>
      <x:c r="M28" s="66"/>
    </x:row>
    <x:row r="29" spans="1:13" ht="30.949999999999999" customHeight="1">
      <x:c r="A29" s="315"/>
      <x:c r="B29" s="54" t="s">
        <x:v>21</x:v>
      </x:c>
      <x:c r="C29" s="272">
        <x:f>3200000/31</x:f>
        <x:v>103225.80645161291</x:v>
      </x:c>
      <x:c r="D29" s="272"/>
      <x:c r="E29" s="54" t="s">
        <x:v>52</x:v>
      </x:c>
      <x:c r="F29" s="258"/>
      <x:c r="G29" s="258"/>
      <x:c r="H29" s="113" t="s">
        <x:v>19</x:v>
      </x:c>
      <x:c r="I29" s="114">
        <x:f>SUM('1:20'!$I$25)</x:f>
        <x:v>71148041</x:v>
      </x:c>
      <x:c r="M29" s="66"/>
    </x:row>
    <x:row r="30" spans="1:13" ht="30.949999999999999" customHeight="1">
      <x:c r="A30" s="315"/>
      <x:c r="B30" s="54" t="s">
        <x:v>41</x:v>
      </x:c>
      <x:c r="C30" s="272">
        <x:f>3400000/31</x:f>
        <x:v>109677.41935483871</x:v>
      </x:c>
      <x:c r="D30" s="272"/>
      <x:c r="E30" s="55"/>
      <x:c r="F30" s="306"/>
      <x:c r="G30" s="307"/>
      <x:c r="H30" s="113" t="s">
        <x:v>110</x:v>
      </x:c>
      <x:c r="I30" s="115">
        <x:f>I29/$I$27</x:f>
        <x:v>94.121205581752619</x:v>
      </x:c>
      <x:c r="M30" s="66"/>
    </x:row>
    <x:row r="31" spans="1:7" customHeight="1">
      <x:c r="A31" s="315"/>
      <x:c r="B31" s="54" t="s">
        <x:v>12</x:v>
      </x:c>
      <x:c r="C31" s="309">
        <x:f>3500000/31</x:f>
        <x:v>112903.22580645161</x:v>
      </x:c>
      <x:c r="D31" s="310"/>
      <x:c r="E31" s="55" t="s">
        <x:v>62</x:v>
      </x:c>
      <x:c r="F31" s="306">
        <x:v>120000</x:v>
      </x:c>
      <x:c r="G31" s="307"/>
    </x:row>
    <x:row r="32" spans="1:7" customHeight="1">
      <x:c r="A32" s="315"/>
      <x:c r="B32" s="355" t="s">
        <x:v>40</x:v>
      </x:c>
      <x:c r="C32" s="304"/>
      <x:c r="D32" s="305"/>
      <x:c r="E32" s="55" t="s">
        <x:v>1</x:v>
      </x:c>
      <x:c r="F32" s="306"/>
      <x:c r="G32" s="307"/>
    </x:row>
    <x:row r="33" spans="1:4" customHeight="1">
      <x:c r="A33" s="315"/>
      <x:c r="B33" s="355" t="s">
        <x:v>149</x:v>
      </x:c>
      <x:c r="C33" s="304"/>
      <x:c r="D33" s="305"/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3"/>
  <x:dimension ref="A1:O34"/>
  <x:sheetViews>
    <x:sheetView topLeftCell="A13" zoomScale="85" zoomScaleNormal="85" zoomScaleSheetLayoutView="75" workbookViewId="0">
      <x:selection activeCell="E27" activeCellId="0" sqref="E27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89</x:v>
      </x:c>
      <x:c r="D1" s="68"/>
      <x:c r="E1" s="68">
        <x:v>3</x:v>
      </x:c>
      <x:c r="F1" s="68">
        <x:v>21</x:v>
      </x:c>
      <x:c r="G1" s="68" t="s">
        <x:v>31</x:v>
      </x:c>
      <x:c r="H1" s="52" t="s">
        <x:v>103</x:v>
      </x:c>
      <x:c r="I1" s="52">
        <x:f>F1-K1</x:f>
        <x:v>21</x:v>
      </x:c>
      <x:c r="J1" s="52" t="s">
        <x:v>93</x:v>
      </x:c>
      <x:c r="K1" s="52"/>
    </x:row>
    <x:row r="2" spans="1:11" ht="20.100000000000001" customHeight="1">
      <x:c r="A2" s="267" t="s">
        <x:v>24</x:v>
      </x:c>
      <x:c r="B2" s="268"/>
      <x:c r="C2" s="271">
        <x:f>SUM(C4:D7)</x:f>
        <x:v>5500500</x:v>
      </x:c>
      <x:c r="D2" s="271"/>
      <x:c r="E2" s="274" t="s">
        <x:v>9</x:v>
      </x:c>
      <x:c r="F2" s="275"/>
      <x:c r="G2" s="263">
        <x:v>146250</x:v>
      </x:c>
      <x:c r="H2" s="261" t="s">
        <x:v>60</x:v>
      </x:c>
      <x:c r="I2" s="262"/>
      <x:c r="J2" s="259" t="s">
        <x:v>140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1" ht="30.949999999999999" customHeight="1">
      <x:c r="A4" s="265" t="s">
        <x:v>11</x:v>
      </x:c>
      <x:c r="B4" s="266"/>
      <x:c r="C4" s="258">
        <x:v>3913000</x:v>
      </x:c>
      <x:c r="D4" s="258"/>
      <x:c r="E4" s="273" t="s">
        <x:v>137</x:v>
      </x:c>
      <x:c r="F4" s="273"/>
      <x:c r="G4" s="135">
        <x:f>INT(C4*0.0275)</x:f>
        <x:v>107607</x:v>
      </x:c>
      <x:c r="H4" s="54" t="s">
        <x:v>43</x:v>
      </x:c>
      <x:c r="I4" s="126">
        <x:v>1130694</x:v>
      </x:c>
      <x:c r="J4" s="83" t="s">
        <x:v>18</x:v>
      </x:c>
      <x:c r="K4" s="58"/>
    </x:row>
    <x:row r="5" spans="1:11" ht="30.949999999999999" customHeight="1">
      <x:c r="A5" s="265" t="s">
        <x:v>50</x:v>
      </x:c>
      <x:c r="B5" s="266"/>
      <x:c r="C5" s="258">
        <x:v>1587500</x:v>
      </x:c>
      <x:c r="D5" s="258"/>
      <x:c r="E5" s="257" t="s">
        <x:v>146</x:v>
      </x:c>
      <x:c r="F5" s="257"/>
      <x:c r="G5" s="135">
        <x:f>INT(C5*0.01)</x:f>
        <x:v>15875</x:v>
      </x:c>
      <x:c r="H5" s="54" t="s">
        <x:v>60</x:v>
      </x:c>
      <x:c r="I5" s="126">
        <x:v>73900</x:v>
      </x:c>
      <x:c r="J5" s="83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>
        <x:v>1570000</x:v>
      </x:c>
      <x:c r="H6" s="54"/>
      <x:c r="I6" s="126"/>
      <x:c r="J6" s="83" t="s">
        <x:v>114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6">
        <x:v>305000</x:v>
      </x:c>
      <x:c r="J7" s="83" t="s">
        <x:v>118</x:v>
      </x:c>
      <x:c r="K7" s="58"/>
    </x:row>
    <x:row r="8" spans="1:11" ht="21.949999999999999" customHeight="1">
      <x:c r="A8" s="256" t="s">
        <x:v>108</x:v>
      </x:c>
      <x:c r="B8" s="257"/>
      <x:c r="C8" s="258">
        <x:v>113750</x:v>
      </x:c>
      <x:c r="D8" s="258"/>
      <x:c r="E8" s="284" t="s">
        <x:v>128</x:v>
      </x:c>
      <x:c r="F8" s="285"/>
      <x:c r="G8" s="290">
        <x:f>C5+G2-G6-C22</x:f>
        <x:v>163750</x:v>
      </x:c>
      <x:c r="H8" s="54" t="s">
        <x:v>16</x:v>
      </x:c>
      <x:c r="I8" s="126">
        <x:v>56000</x:v>
      </x:c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30.949999999999999" customHeight="1">
      <x:c r="A10" s="256" t="s">
        <x:v>129</x:v>
      </x:c>
      <x:c r="B10" s="257"/>
      <x:c r="C10" s="258">
        <x:v>108000</x:v>
      </x:c>
      <x:c r="D10" s="258"/>
      <x:c r="E10" s="257" t="s">
        <x:v>69</x:v>
      </x:c>
      <x:c r="F10" s="257"/>
      <x:c r="G10" s="55"/>
      <x:c r="H10" s="54"/>
      <x:c r="I10" s="126"/>
      <x:c r="J10" s="54" t="s">
        <x:v>4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37</x:v>
      </x:c>
      <x:c r="I11" s="58"/>
      <x:c r="J11" s="54" t="s">
        <x:v>102</x:v>
      </x:c>
      <x:c r="K11" s="137">
        <x:v>14194</x:v>
      </x:c>
    </x:row>
    <x:row r="12" spans="1:13" ht="21.949999999999999" customHeight="1">
      <x:c r="A12" s="59" t="s">
        <x:v>39</x:v>
      </x:c>
      <x:c r="B12" s="294" t="s">
        <x:v>22</x:v>
      </x:c>
      <x:c r="C12" s="81">
        <x:v>46</x:v>
      </x:c>
      <x:c r="D12" s="284" t="s">
        <x:v>100</x:v>
      </x:c>
      <x:c r="E12" s="285"/>
      <x:c r="F12" s="288">
        <x:v>3</x:v>
      </x:c>
      <x:c r="G12" s="289"/>
      <x:c r="H12" s="54" t="s">
        <x:v>80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112</x:v>
      </x:c>
      <x:c r="B13" s="295"/>
      <x:c r="C13" s="136">
        <x:f>SUM('1:21'!$C$12)</x:f>
        <x:v>378</x:v>
      </x:c>
      <x:c r="D13" s="276"/>
      <x:c r="E13" s="277"/>
      <x:c r="F13" s="286">
        <x:f>SUM('1:21'!$F$12)</x:f>
        <x:v>170</x:v>
      </x:c>
      <x:c r="G13" s="287"/>
      <x:c r="H13" s="54" t="s">
        <x:v>131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39</x:v>
      </x:c>
      <x:c r="B14" s="294" t="s">
        <x:v>34</x:v>
      </x:c>
      <x:c r="C14" s="81">
        <x:v>66</x:v>
      </x:c>
      <x:c r="D14" s="284" t="s">
        <x:v>84</x:v>
      </x:c>
      <x:c r="E14" s="285"/>
      <x:c r="F14" s="288">
        <x:v>10</x:v>
      </x:c>
      <x:c r="G14" s="289"/>
      <x:c r="H14" s="54" t="s">
        <x:v>104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112</x:v>
      </x:c>
      <x:c r="B15" s="295"/>
      <x:c r="C15" s="136">
        <x:f>SUM('1:21'!$C$14)</x:f>
        <x:v>1108</x:v>
      </x:c>
      <x:c r="D15" s="276"/>
      <x:c r="E15" s="277"/>
      <x:c r="F15" s="286">
        <x:f>SUM('1:21'!$F$14)</x:f>
        <x:v>435</x:v>
      </x:c>
      <x:c r="G15" s="287"/>
      <x:c r="H15" s="54" t="s">
        <x:v>87</x:v>
      </x:c>
      <x:c r="I15" s="58">
        <x:v>189100</x:v>
      </x:c>
      <x:c r="J15" s="54" t="s">
        <x:v>140</x:v>
      </x:c>
      <x:c r="K15" s="58"/>
      <x:c r="L15" s="60"/>
      <x:c r="M15" s="11"/>
    </x:row>
    <x:row r="16" spans="1:13" ht="21.949999999999999" customHeight="1">
      <x:c r="A16" s="59" t="s">
        <x:v>39</x:v>
      </x:c>
      <x:c r="B16" s="294" t="s">
        <x:v>2</x:v>
      </x:c>
      <x:c r="C16" s="81">
        <x:v>2</x:v>
      </x:c>
      <x:c r="D16" s="284" t="s">
        <x:v>111</x:v>
      </x:c>
      <x:c r="E16" s="285"/>
      <x:c r="F16" s="282">
        <x:v>13</x:v>
      </x:c>
      <x:c r="G16" s="282"/>
      <x:c r="H16" s="54"/>
      <x:c r="I16" s="58"/>
      <x:c r="J16" s="54" t="s">
        <x:v>78</x:v>
      </x:c>
      <x:c r="K16" s="58">
        <x:v>120250</x:v>
      </x:c>
      <x:c r="L16" s="60"/>
      <x:c r="M16" s="11"/>
    </x:row>
    <x:row r="17" spans="1:13" ht="21.949999999999999" customHeight="1">
      <x:c r="A17" s="59" t="s">
        <x:v>112</x:v>
      </x:c>
      <x:c r="B17" s="295"/>
      <x:c r="C17" s="136">
        <x:f>SUM('1:21'!$C$16)</x:f>
        <x:v>132</x:v>
      </x:c>
      <x:c r="D17" s="276"/>
      <x:c r="E17" s="277"/>
      <x:c r="F17" s="283">
        <x:f>SUM('1:21'!$F$16)</x:f>
        <x:v>320</x:v>
      </x:c>
      <x:c r="G17" s="283"/>
      <x:c r="H17" s="54" t="s">
        <x:v>56</x:v>
      </x:c>
      <x:c r="I17" s="58"/>
      <x:c r="J17" s="54" t="s">
        <x:v>72</x:v>
      </x:c>
      <x:c r="K17" s="58"/>
      <x:c r="L17" s="60"/>
      <x:c r="M17" s="11"/>
    </x:row>
    <x:row r="18" spans="1:13" ht="21.949999999999999" customHeight="1">
      <x:c r="A18" s="59" t="s">
        <x:v>39</x:v>
      </x:c>
      <x:c r="B18" s="294" t="s">
        <x:v>120</x:v>
      </x:c>
      <x:c r="C18" s="81">
        <x:v>50</x:v>
      </x:c>
      <x:c r="D18" s="284" t="s">
        <x:v>122</x:v>
      </x:c>
      <x:c r="E18" s="285"/>
      <x:c r="F18" s="292">
        <x:v>11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112</x:v>
      </x:c>
      <x:c r="B19" s="295"/>
      <x:c r="C19" s="136">
        <x:f>SUM('1:21'!$C$18)</x:f>
        <x:v>787</x:v>
      </x:c>
      <x:c r="D19" s="276"/>
      <x:c r="E19" s="277"/>
      <x:c r="F19" s="283">
        <x:f>SUM('1:21'!$F$18)</x:f>
        <x:v>299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95</x:v>
      </x:c>
      <x:c r="E20" s="257"/>
      <x:c r="F20" s="282">
        <x:v>82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132</x:v>
      </x:c>
      <x:c r="E21" s="257"/>
      <x:c r="F21" s="283">
        <x:f>SUM('1:21'!$F$20)</x:f>
        <x:v>1330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77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121</x:v>
      </x:c>
      <x:c r="B23" s="257"/>
      <x:c r="C23" s="312"/>
      <x:c r="D23" s="313"/>
      <x:c r="E23" s="313"/>
      <x:c r="F23" s="313"/>
      <x:c r="G23" s="313"/>
      <x:c r="H23" s="109" t="s">
        <x:v>127</x:v>
      </x:c>
      <x:c r="I23" s="110">
        <x:f>SUM(I4:I22)</x:f>
        <x:v>1754694</x:v>
      </x:c>
      <x:c r="J23" s="61" t="s">
        <x:v>99</x:v>
      </x:c>
      <x:c r="K23" s="62">
        <x:f>SUM(K4:K22)</x:f>
        <x:v>134444</x:v>
      </x:c>
      <x:c r="M23" s="90" t="s">
        <x:v>107</x:v>
      </x:c>
      <x:c r="N23" s="279">
        <x:f>C5+C6</x:f>
        <x:v>1587500</x:v>
      </x:c>
      <x:c r="O23" s="280"/>
    </x:row>
    <x:row r="24" spans="1:11" ht="34.149999999999999" customHeight="1">
      <x:c r="A24" s="256" t="s">
        <x:v>59</x:v>
      </x:c>
      <x:c r="B24" s="257"/>
      <x:c r="C24" s="257" t="s">
        <x:v>91</x:v>
      </x:c>
      <x:c r="D24" s="257"/>
      <x:c r="E24" s="257" t="s">
        <x:v>135</x:v>
      </x:c>
      <x:c r="F24" s="257"/>
      <x:c r="G24" s="257"/>
      <x:c r="H24" s="109" t="s">
        <x:v>59</x:v>
      </x:c>
      <x:c r="I24" s="111">
        <x:f>I23/A25</x:f>
        <x:v>0.31900627215707661</x:v>
      </x:c>
      <x:c r="J24" s="61" t="s">
        <x:v>59</x:v>
      </x:c>
      <x:c r="K24" s="63">
        <x:f>K23/A25</x:f>
        <x:v>0.024442141623488775</x:v>
      </x:c>
    </x:row>
    <x:row r="25" spans="1:11" ht="34.149999999999999" customHeight="1">
      <x:c r="A25" s="308">
        <x:f>C2</x:f>
        <x:v>5500500</x:v>
      </x:c>
      <x:c r="B25" s="272"/>
      <x:c r="C25" s="272">
        <x:f>E25/I1</x:f>
        <x:v>4506285.7142857146</x:v>
      </x:c>
      <x:c r="D25" s="272"/>
      <x:c r="E25" s="272">
        <x:f>SUM('1:21'!$A$25)</x:f>
        <x:v>94632000</x:v>
      </x:c>
      <x:c r="F25" s="272"/>
      <x:c r="G25" s="272"/>
      <x:c r="H25" s="109" t="s">
        <x:v>19</x:v>
      </x:c>
      <x:c r="I25" s="110">
        <x:f>SUM('1:21'!$I$21)</x:f>
        <x:v>0</x:v>
      </x:c>
      <x:c r="J25" s="61" t="s">
        <x:v>19</x:v>
      </x:c>
      <x:c r="K25" s="62">
        <x:f>SUM('1:21'!$K$21)</x:f>
        <x:v>0</x:v>
      </x:c>
    </x:row>
    <x:row r="26" spans="1:11" ht="34.149999999999999" customHeight="1">
      <x:c r="A26" s="256" t="s">
        <x:v>71</x:v>
      </x:c>
      <x:c r="B26" s="257"/>
      <x:c r="C26" s="257"/>
      <x:c r="D26" s="257"/>
      <x:c r="E26" s="258"/>
      <x:c r="F26" s="258"/>
      <x:c r="G26" s="258"/>
      <x:c r="H26" s="109" t="s">
        <x:v>110</x:v>
      </x:c>
      <x:c r="I26" s="112">
        <x:f>I25/$E$25</x:f>
        <x:v>0</x:v>
      </x:c>
      <x:c r="J26" s="64" t="s">
        <x:v>110</x:v>
      </x:c>
      <x:c r="K26" s="65">
        <x:f>K25/$E$25</x:f>
        <x:v>0</x:v>
      </x:c>
    </x:row>
    <x:row r="27" spans="1:13" ht="30.949999999999999" customHeight="1">
      <x:c r="A27" s="314" t="s">
        <x:v>68</x:v>
      </x:c>
      <x:c r="B27" s="54" t="s">
        <x:v>44</x:v>
      </x:c>
      <x:c r="C27" s="272">
        <x:f>4000000/31</x:f>
        <x:v>129032.25806451614</x:v>
      </x:c>
      <x:c r="D27" s="272"/>
      <x:c r="E27" s="55" t="s">
        <x:v>52</x:v>
      </x:c>
      <x:c r="F27" s="258"/>
      <x:c r="G27" s="258"/>
      <x:c r="H27" s="113" t="s">
        <x:v>85</x:v>
      </x:c>
      <x:c r="I27" s="114">
        <x:f>SUM(C27:D34,F27:G32)</x:f>
        <x:v>770919.3548387097</x:v>
      </x:c>
      <x:c r="M27" s="66"/>
    </x:row>
    <x:row r="28" spans="1:13" ht="30.949999999999999" customHeight="1">
      <x:c r="A28" s="315"/>
      <x:c r="B28" s="54" t="s">
        <x:v>29</x:v>
      </x:c>
      <x:c r="C28" s="272">
        <x:f>3800000/31</x:f>
        <x:v>122580.64516129032</x:v>
      </x:c>
      <x:c r="D28" s="272"/>
      <x:c r="E28" s="55" t="s">
        <x:v>52</x:v>
      </x:c>
      <x:c r="F28" s="311"/>
      <x:c r="G28" s="311"/>
      <x:c r="H28" s="113" t="s">
        <x:v>59</x:v>
      </x:c>
      <x:c r="I28" s="115">
        <x:f>I27/$A$25</x:f>
        <x:v>0.14015441411484586</x:v>
      </x:c>
      <x:c r="M28" s="66"/>
    </x:row>
    <x:row r="29" spans="1:13" ht="30.949999999999999" customHeight="1">
      <x:c r="A29" s="315"/>
      <x:c r="B29" s="54" t="s">
        <x:v>21</x:v>
      </x:c>
      <x:c r="C29" s="272">
        <x:f>3200000/31</x:f>
        <x:v>103225.80645161291</x:v>
      </x:c>
      <x:c r="D29" s="272"/>
      <x:c r="E29" s="54" t="s">
        <x:v>52</x:v>
      </x:c>
      <x:c r="F29" s="258"/>
      <x:c r="G29" s="258"/>
      <x:c r="H29" s="113" t="s">
        <x:v>19</x:v>
      </x:c>
      <x:c r="I29" s="114">
        <x:f>SUM('1:21'!$I$25)</x:f>
        <x:v>71148041</x:v>
      </x:c>
      <x:c r="M29" s="66"/>
    </x:row>
    <x:row r="30" spans="1:13" ht="30.949999999999999" customHeight="1">
      <x:c r="A30" s="315"/>
      <x:c r="B30" s="54" t="s">
        <x:v>41</x:v>
      </x:c>
      <x:c r="C30" s="272">
        <x:f>3400000/31</x:f>
        <x:v>109677.41935483871</x:v>
      </x:c>
      <x:c r="D30" s="272"/>
      <x:c r="E30" s="55"/>
      <x:c r="F30" s="306"/>
      <x:c r="G30" s="307"/>
      <x:c r="H30" s="113" t="s">
        <x:v>110</x:v>
      </x:c>
      <x:c r="I30" s="115">
        <x:f>I29/$I$27</x:f>
        <x:v>92.289862167081608</x:v>
      </x:c>
      <x:c r="M30" s="66"/>
    </x:row>
    <x:row r="31" spans="1:7" customHeight="1">
      <x:c r="A31" s="315"/>
      <x:c r="B31" s="54" t="s">
        <x:v>12</x:v>
      </x:c>
      <x:c r="C31" s="272">
        <x:f>3500000/31</x:f>
        <x:v>112903.22580645161</x:v>
      </x:c>
      <x:c r="D31" s="272"/>
      <x:c r="E31" s="55" t="s">
        <x:v>62</x:v>
      </x:c>
      <x:c r="F31" s="306">
        <x:v>120000</x:v>
      </x:c>
      <x:c r="G31" s="307"/>
    </x:row>
    <x:row r="32" spans="1:7" customHeight="1">
      <x:c r="A32" s="315"/>
      <x:c r="B32" s="355" t="s">
        <x:v>40</x:v>
      </x:c>
      <x:c r="C32" s="304">
        <x:v>73500</x:v>
      </x:c>
      <x:c r="D32" s="305"/>
      <x:c r="E32" s="55" t="s">
        <x:v>1</x:v>
      </x:c>
      <x:c r="F32" s="306"/>
      <x:c r="G32" s="307"/>
    </x:row>
    <x:row r="33" spans="1:4" customHeight="1">
      <x:c r="A33" s="315"/>
      <x:c r="B33" s="355" t="s">
        <x:v>149</x:v>
      </x:c>
      <x:c r="C33" s="304"/>
      <x:c r="D33" s="305"/>
    </x:row>
    <x:row r="34" spans="1:4" customHeight="1">
      <x:c r="A34" s="316"/>
      <x:c r="B34" s="54"/>
      <x:c r="C34" s="306"/>
      <x:c r="D34" s="307"/>
    </x:row>
  </x:sheetData>
  <x:mergeCells count="74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4:D34"/>
    <x:mergeCell ref="C31:D31"/>
    <x:mergeCell ref="C30:D30"/>
    <x:mergeCell ref="F31:G31"/>
    <x:mergeCell ref="F30:G30"/>
    <x:mergeCell ref="C33:D33"/>
    <x:mergeCell ref="A23:B23"/>
    <x:mergeCell ref="C23:G23"/>
    <x:mergeCell ref="A24:B24"/>
    <x:mergeCell ref="C24:D24"/>
    <x:mergeCell ref="E24:G24"/>
    <x:mergeCell ref="F32:G32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G8:G9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4"/>
  <x:dimension ref="A1:O34"/>
  <x:sheetViews>
    <x:sheetView topLeftCell="A1" zoomScale="85" zoomScaleNormal="85" zoomScaleSheetLayoutView="75" workbookViewId="0">
      <x:selection activeCell="E27" activeCellId="0" sqref="E27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89</x:v>
      </x:c>
      <x:c r="D1" s="68"/>
      <x:c r="E1" s="68">
        <x:v>3</x:v>
      </x:c>
      <x:c r="F1" s="68">
        <x:v>22</x:v>
      </x:c>
      <x:c r="G1" s="68" t="s">
        <x:v>49</x:v>
      </x:c>
      <x:c r="H1" s="52" t="s">
        <x:v>103</x:v>
      </x:c>
      <x:c r="I1" s="52">
        <x:f>F1-K1</x:f>
        <x:v>22</x:v>
      </x:c>
      <x:c r="J1" s="52" t="s">
        <x:v>93</x:v>
      </x:c>
      <x:c r="K1" s="52"/>
    </x:row>
    <x:row r="2" spans="1:11" ht="20.100000000000001" customHeight="1">
      <x:c r="A2" s="267" t="s">
        <x:v>24</x:v>
      </x:c>
      <x:c r="B2" s="268"/>
      <x:c r="C2" s="271">
        <x:f>SUM(C4:D7)</x:f>
        <x:v>5070500</x:v>
      </x:c>
      <x:c r="D2" s="271"/>
      <x:c r="E2" s="274" t="s">
        <x:v>9</x:v>
      </x:c>
      <x:c r="F2" s="275"/>
      <x:c r="G2" s="263">
        <x:v>113750</x:v>
      </x:c>
      <x:c r="H2" s="261" t="s">
        <x:v>60</x:v>
      </x:c>
      <x:c r="I2" s="262"/>
      <x:c r="J2" s="259" t="s">
        <x:v>140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1" ht="30.949999999999999" customHeight="1">
      <x:c r="A4" s="265" t="s">
        <x:v>11</x:v>
      </x:c>
      <x:c r="B4" s="266"/>
      <x:c r="C4" s="258">
        <x:v>3766500</x:v>
      </x:c>
      <x:c r="D4" s="258"/>
      <x:c r="E4" s="273" t="s">
        <x:v>137</x:v>
      </x:c>
      <x:c r="F4" s="273"/>
      <x:c r="G4" s="135">
        <x:f>INT(C4*0.0275)</x:f>
        <x:v>103578</x:v>
      </x:c>
      <x:c r="H4" s="54" t="s">
        <x:v>43</x:v>
      </x:c>
      <x:c r="I4" s="126">
        <x:v>2154323</x:v>
      </x:c>
      <x:c r="J4" s="83" t="s">
        <x:v>18</x:v>
      </x:c>
      <x:c r="K4" s="58"/>
    </x:row>
    <x:row r="5" spans="1:11" ht="30.949999999999999" customHeight="1">
      <x:c r="A5" s="265" t="s">
        <x:v>50</x:v>
      </x:c>
      <x:c r="B5" s="266"/>
      <x:c r="C5" s="258">
        <x:v>1304000</x:v>
      </x:c>
      <x:c r="D5" s="258"/>
      <x:c r="E5" s="257" t="s">
        <x:v>146</x:v>
      </x:c>
      <x:c r="F5" s="257"/>
      <x:c r="G5" s="135">
        <x:f>INT(C5*0.01)</x:f>
        <x:v>13040</x:v>
      </x:c>
      <x:c r="H5" s="54" t="s">
        <x:v>60</x:v>
      </x:c>
      <x:c r="I5" s="126">
        <x:v>288086</x:v>
      </x:c>
      <x:c r="J5" s="83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>
        <x:v>1240000</x:v>
      </x:c>
      <x:c r="H6" s="54"/>
      <x:c r="I6" s="126"/>
      <x:c r="J6" s="83" t="s">
        <x:v>114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6"/>
      <x:c r="J7" s="83" t="s">
        <x:v>118</x:v>
      </x:c>
      <x:c r="K7" s="58"/>
    </x:row>
    <x:row r="8" spans="1:11" ht="21.949999999999999" customHeight="1">
      <x:c r="A8" s="256" t="s">
        <x:v>108</x:v>
      </x:c>
      <x:c r="B8" s="257"/>
      <x:c r="C8" s="258">
        <x:v>177850</x:v>
      </x:c>
      <x:c r="D8" s="258"/>
      <x:c r="E8" s="284" t="s">
        <x:v>128</x:v>
      </x:c>
      <x:c r="F8" s="285"/>
      <x:c r="G8" s="290">
        <x:f>C5+G2-G6-C22</x:f>
        <x:v>177750</x:v>
      </x:c>
      <x:c r="H8" s="54" t="s">
        <x:v>16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30.949999999999999" customHeight="1">
      <x:c r="A10" s="256" t="s">
        <x:v>129</x:v>
      </x:c>
      <x:c r="B10" s="257"/>
      <x:c r="C10" s="258"/>
      <x:c r="D10" s="258"/>
      <x:c r="E10" s="257" t="s">
        <x:v>69</x:v>
      </x:c>
      <x:c r="F10" s="257"/>
      <x:c r="G10" s="55"/>
      <x:c r="H10" s="54"/>
      <x:c r="I10" s="126"/>
      <x:c r="J10" s="54" t="s">
        <x:v>4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37</x:v>
      </x:c>
      <x:c r="I11" s="58"/>
      <x:c r="J11" s="54" t="s">
        <x:v>102</x:v>
      </x:c>
      <x:c r="K11" s="137">
        <x:v>14194</x:v>
      </x:c>
    </x:row>
    <x:row r="12" spans="1:13" ht="21.949999999999999" customHeight="1">
      <x:c r="A12" s="59" t="s">
        <x:v>39</x:v>
      </x:c>
      <x:c r="B12" s="294" t="s">
        <x:v>22</x:v>
      </x:c>
      <x:c r="C12" s="81">
        <x:v>20</x:v>
      </x:c>
      <x:c r="D12" s="284" t="s">
        <x:v>100</x:v>
      </x:c>
      <x:c r="E12" s="285"/>
      <x:c r="F12" s="288">
        <x:v>8</x:v>
      </x:c>
      <x:c r="G12" s="289"/>
      <x:c r="H12" s="54" t="s">
        <x:v>80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112</x:v>
      </x:c>
      <x:c r="B13" s="295"/>
      <x:c r="C13" s="136">
        <x:f>SUM('1:22'!$C$12)</x:f>
        <x:v>398</x:v>
      </x:c>
      <x:c r="D13" s="276"/>
      <x:c r="E13" s="277"/>
      <x:c r="F13" s="286">
        <x:f>SUM('1:22'!$F$12)</x:f>
        <x:v>178</x:v>
      </x:c>
      <x:c r="G13" s="287"/>
      <x:c r="H13" s="54" t="s">
        <x:v>131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39</x:v>
      </x:c>
      <x:c r="B14" s="294" t="s">
        <x:v>34</x:v>
      </x:c>
      <x:c r="C14" s="81">
        <x:v>58</x:v>
      </x:c>
      <x:c r="D14" s="284" t="s">
        <x:v>84</x:v>
      </x:c>
      <x:c r="E14" s="285"/>
      <x:c r="F14" s="288">
        <x:v>38</x:v>
      </x:c>
      <x:c r="G14" s="289"/>
      <x:c r="H14" s="54" t="s">
        <x:v>104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112</x:v>
      </x:c>
      <x:c r="B15" s="295"/>
      <x:c r="C15" s="136">
        <x:f>SUM('1:22'!$C$14)</x:f>
        <x:v>1166</x:v>
      </x:c>
      <x:c r="D15" s="276"/>
      <x:c r="E15" s="277"/>
      <x:c r="F15" s="286">
        <x:f>SUM('1:22'!$F$14)</x:f>
        <x:v>473</x:v>
      </x:c>
      <x:c r="G15" s="287"/>
      <x:c r="H15" s="54" t="s">
        <x:v>87</x:v>
      </x:c>
      <x:c r="I15" s="58">
        <x:v>194900</x:v>
      </x:c>
      <x:c r="J15" s="54" t="s">
        <x:v>140</x:v>
      </x:c>
      <x:c r="K15" s="58"/>
      <x:c r="L15" s="60"/>
      <x:c r="M15" s="11"/>
    </x:row>
    <x:row r="16" spans="1:13" ht="21.949999999999999" customHeight="1">
      <x:c r="A16" s="59" t="s">
        <x:v>39</x:v>
      </x:c>
      <x:c r="B16" s="294" t="s">
        <x:v>2</x:v>
      </x:c>
      <x:c r="C16" s="81">
        <x:v>17</x:v>
      </x:c>
      <x:c r="D16" s="284" t="s">
        <x:v>111</x:v>
      </x:c>
      <x:c r="E16" s="285"/>
      <x:c r="F16" s="282">
        <x:v>13</x:v>
      </x:c>
      <x:c r="G16" s="282"/>
      <x:c r="H16" s="54"/>
      <x:c r="I16" s="58"/>
      <x:c r="J16" s="54" t="s">
        <x:v>78</x:v>
      </x:c>
      <x:c r="K16" s="58"/>
      <x:c r="L16" s="60"/>
      <x:c r="M16" s="11"/>
    </x:row>
    <x:row r="17" spans="1:13" ht="21.949999999999999" customHeight="1">
      <x:c r="A17" s="59" t="s">
        <x:v>112</x:v>
      </x:c>
      <x:c r="B17" s="295"/>
      <x:c r="C17" s="136">
        <x:f>SUM('1:22'!$C$16)</x:f>
        <x:v>149</x:v>
      </x:c>
      <x:c r="D17" s="276"/>
      <x:c r="E17" s="277"/>
      <x:c r="F17" s="283">
        <x:f>SUM('1:22'!$F$16)</x:f>
        <x:v>333</x:v>
      </x:c>
      <x:c r="G17" s="283"/>
      <x:c r="H17" s="54" t="s">
        <x:v>56</x:v>
      </x:c>
      <x:c r="I17" s="58">
        <x:v>3400</x:v>
      </x:c>
      <x:c r="J17" s="54" t="s">
        <x:v>72</x:v>
      </x:c>
      <x:c r="K17" s="58"/>
      <x:c r="L17" s="60"/>
      <x:c r="M17" s="11"/>
    </x:row>
    <x:row r="18" spans="1:13" ht="21.949999999999999" customHeight="1">
      <x:c r="A18" s="59" t="s">
        <x:v>39</x:v>
      </x:c>
      <x:c r="B18" s="294" t="s">
        <x:v>120</x:v>
      </x:c>
      <x:c r="C18" s="81">
        <x:v>53</x:v>
      </x:c>
      <x:c r="D18" s="284" t="s">
        <x:v>122</x:v>
      </x:c>
      <x:c r="E18" s="285"/>
      <x:c r="F18" s="292">
        <x:v>11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112</x:v>
      </x:c>
      <x:c r="B19" s="295"/>
      <x:c r="C19" s="136">
        <x:f>SUM('1:22'!$C$18)</x:f>
        <x:v>840</x:v>
      </x:c>
      <x:c r="D19" s="276"/>
      <x:c r="E19" s="277"/>
      <x:c r="F19" s="283">
        <x:f>SUM('1:22'!$F$18)</x:f>
        <x:v>310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95</x:v>
      </x:c>
      <x:c r="E20" s="257"/>
      <x:c r="F20" s="282">
        <x:v>77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132</x:v>
      </x:c>
      <x:c r="E21" s="257"/>
      <x:c r="F21" s="283">
        <x:f>SUM('1:22'!$F$20)</x:f>
        <x:v>1407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77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121</x:v>
      </x:c>
      <x:c r="B23" s="257"/>
      <x:c r="C23" s="312"/>
      <x:c r="D23" s="313"/>
      <x:c r="E23" s="313"/>
      <x:c r="F23" s="313"/>
      <x:c r="G23" s="313"/>
      <x:c r="H23" s="109" t="s">
        <x:v>127</x:v>
      </x:c>
      <x:c r="I23" s="110">
        <x:f>SUM(I4:I22)</x:f>
        <x:v>2640709</x:v>
      </x:c>
      <x:c r="J23" s="61" t="s">
        <x:v>99</x:v>
      </x:c>
      <x:c r="K23" s="62">
        <x:f>SUM(K4:K22)</x:f>
        <x:v>14194</x:v>
      </x:c>
      <x:c r="M23" s="90" t="s">
        <x:v>107</x:v>
      </x:c>
      <x:c r="N23" s="279">
        <x:f>C5+C6</x:f>
        <x:v>1304000</x:v>
      </x:c>
      <x:c r="O23" s="280"/>
    </x:row>
    <x:row r="24" spans="1:11" ht="34.149999999999999" customHeight="1">
      <x:c r="A24" s="256" t="s">
        <x:v>59</x:v>
      </x:c>
      <x:c r="B24" s="257"/>
      <x:c r="C24" s="257" t="s">
        <x:v>91</x:v>
      </x:c>
      <x:c r="D24" s="257"/>
      <x:c r="E24" s="257" t="s">
        <x:v>135</x:v>
      </x:c>
      <x:c r="F24" s="257"/>
      <x:c r="G24" s="257"/>
      <x:c r="H24" s="109" t="s">
        <x:v>59</x:v>
      </x:c>
      <x:c r="I24" s="111">
        <x:f>I23/A25</x:f>
        <x:v>0.52079854057785224</x:v>
      </x:c>
      <x:c r="J24" s="61" t="s">
        <x:v>59</x:v>
      </x:c>
      <x:c r="K24" s="63">
        <x:f>K23/A25</x:f>
        <x:v>0.0027993294546888865</x:v>
      </x:c>
    </x:row>
    <x:row r="25" spans="1:11" ht="34.149999999999999" customHeight="1">
      <x:c r="A25" s="308">
        <x:f>C2</x:f>
        <x:v>5070500</x:v>
      </x:c>
      <x:c r="B25" s="272"/>
      <x:c r="C25" s="272">
        <x:f>E25/I1</x:f>
        <x:v>4531931.8181818184</x:v>
      </x:c>
      <x:c r="D25" s="272"/>
      <x:c r="E25" s="272">
        <x:f>SUM('1:22'!$A$25)</x:f>
        <x:v>99702500</x:v>
      </x:c>
      <x:c r="F25" s="272"/>
      <x:c r="G25" s="272"/>
      <x:c r="H25" s="109" t="s">
        <x:v>19</x:v>
      </x:c>
      <x:c r="I25" s="110">
        <x:f>SUM('1:22'!$I$21)</x:f>
        <x:v>0</x:v>
      </x:c>
      <x:c r="J25" s="61" t="s">
        <x:v>19</x:v>
      </x:c>
      <x:c r="K25" s="62">
        <x:f>SUM('1:22'!$K$21)</x:f>
        <x:v>0</x:v>
      </x:c>
    </x:row>
    <x:row r="26" spans="1:11" ht="34.149999999999999" customHeight="1">
      <x:c r="A26" s="256" t="s">
        <x:v>71</x:v>
      </x:c>
      <x:c r="B26" s="257"/>
      <x:c r="C26" s="257"/>
      <x:c r="D26" s="257"/>
      <x:c r="E26" s="258"/>
      <x:c r="F26" s="258"/>
      <x:c r="G26" s="258"/>
      <x:c r="H26" s="109" t="s">
        <x:v>110</x:v>
      </x:c>
      <x:c r="I26" s="112">
        <x:f>I25/$E$25</x:f>
        <x:v>0</x:v>
      </x:c>
      <x:c r="J26" s="64" t="s">
        <x:v>110</x:v>
      </x:c>
      <x:c r="K26" s="65">
        <x:f>K25/$E$25</x:f>
        <x:v>0</x:v>
      </x:c>
    </x:row>
    <x:row r="27" spans="1:13" ht="30.949999999999999" customHeight="1">
      <x:c r="A27" s="314" t="s">
        <x:v>68</x:v>
      </x:c>
      <x:c r="B27" s="54" t="s">
        <x:v>44</x:v>
      </x:c>
      <x:c r="C27" s="272">
        <x:f>4000000/31</x:f>
        <x:v>129032.25806451614</x:v>
      </x:c>
      <x:c r="D27" s="272"/>
      <x:c r="E27" s="55" t="s">
        <x:v>52</x:v>
      </x:c>
      <x:c r="F27" s="258"/>
      <x:c r="G27" s="258"/>
      <x:c r="H27" s="113" t="s">
        <x:v>85</x:v>
      </x:c>
      <x:c r="I27" s="114">
        <x:f>SUM(C27:D34,F27:G32)</x:f>
        <x:v>777419.3548387097</x:v>
      </x:c>
      <x:c r="M27" s="66"/>
    </x:row>
    <x:row r="28" spans="1:13" ht="30.949999999999999" customHeight="1">
      <x:c r="A28" s="315"/>
      <x:c r="B28" s="54" t="s">
        <x:v>29</x:v>
      </x:c>
      <x:c r="C28" s="272">
        <x:f>3800000/31</x:f>
        <x:v>122580.64516129032</x:v>
      </x:c>
      <x:c r="D28" s="272"/>
      <x:c r="E28" s="55" t="s">
        <x:v>52</x:v>
      </x:c>
      <x:c r="F28" s="311"/>
      <x:c r="G28" s="311"/>
      <x:c r="H28" s="113" t="s">
        <x:v>59</x:v>
      </x:c>
      <x:c r="I28" s="115">
        <x:f>I27/$A$25</x:f>
        <x:v>0.15332203033994865</x:v>
      </x:c>
      <x:c r="M28" s="66"/>
    </x:row>
    <x:row r="29" spans="1:13" ht="30.949999999999999" customHeight="1">
      <x:c r="A29" s="315"/>
      <x:c r="B29" s="54" t="s">
        <x:v>21</x:v>
      </x:c>
      <x:c r="C29" s="272">
        <x:f>3200000/31</x:f>
        <x:v>103225.80645161291</x:v>
      </x:c>
      <x:c r="D29" s="272"/>
      <x:c r="E29" s="54" t="s">
        <x:v>52</x:v>
      </x:c>
      <x:c r="F29" s="258"/>
      <x:c r="G29" s="258"/>
      <x:c r="H29" s="113" t="s">
        <x:v>19</x:v>
      </x:c>
      <x:c r="I29" s="114">
        <x:f>SUM('1:22'!$I$25)</x:f>
        <x:v>71148041</x:v>
      </x:c>
      <x:c r="M29" s="66"/>
    </x:row>
    <x:row r="30" spans="1:13" ht="30.949999999999999" customHeight="1">
      <x:c r="A30" s="315"/>
      <x:c r="B30" s="54" t="s">
        <x:v>41</x:v>
      </x:c>
      <x:c r="C30" s="272">
        <x:f>3400000/31</x:f>
        <x:v>109677.41935483871</x:v>
      </x:c>
      <x:c r="D30" s="272"/>
      <x:c r="E30" s="55"/>
      <x:c r="F30" s="306"/>
      <x:c r="G30" s="307"/>
      <x:c r="H30" s="113" t="s">
        <x:v>110</x:v>
      </x:c>
      <x:c r="I30" s="115">
        <x:f>I29/$I$27</x:f>
        <x:v>91.518227012448136</x:v>
      </x:c>
      <x:c r="M30" s="66"/>
    </x:row>
    <x:row r="31" spans="1:7" customHeight="1">
      <x:c r="A31" s="315"/>
      <x:c r="B31" s="54" t="s">
        <x:v>12</x:v>
      </x:c>
      <x:c r="C31" s="309">
        <x:f>3500000/31</x:f>
        <x:v>112903.22580645161</x:v>
      </x:c>
      <x:c r="D31" s="310"/>
      <x:c r="E31" s="55" t="s">
        <x:v>62</x:v>
      </x:c>
      <x:c r="F31" s="306">
        <x:v>130000</x:v>
      </x:c>
      <x:c r="G31" s="307"/>
    </x:row>
    <x:row r="32" spans="1:7" customHeight="1">
      <x:c r="A32" s="315"/>
      <x:c r="B32" s="355" t="s">
        <x:v>40</x:v>
      </x:c>
      <x:c r="C32" s="304">
        <x:v>70000</x:v>
      </x:c>
      <x:c r="D32" s="305"/>
      <x:c r="E32" s="55" t="s">
        <x:v>1</x:v>
      </x:c>
      <x:c r="F32" s="306"/>
      <x:c r="G32" s="307"/>
    </x:row>
    <x:row r="33" spans="1:4" customHeight="1">
      <x:c r="A33" s="315"/>
      <x:c r="B33" s="355" t="s">
        <x:v>149</x:v>
      </x:c>
      <x:c r="C33" s="304"/>
      <x:c r="D33" s="305"/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F27:G27"/>
    <x:mergeCell ref="C27:D27"/>
    <x:mergeCell ref="C29:D29"/>
    <x:mergeCell ref="F29:G29"/>
    <x:mergeCell ref="C30:D30"/>
    <x:mergeCell ref="A24:B24"/>
    <x:mergeCell ref="C24:D24"/>
    <x:mergeCell ref="E24:G24"/>
    <x:mergeCell ref="A22:B22"/>
    <x:mergeCell ref="C22:G22"/>
    <x:mergeCell ref="F15:G15"/>
    <x:mergeCell ref="A23:B23"/>
    <x:mergeCell ref="C23:G23"/>
    <x:mergeCell ref="F16:G16"/>
    <x:mergeCell ref="F17:G17"/>
    <x:mergeCell ref="A6:B7"/>
    <x:mergeCell ref="A11:B11"/>
    <x:mergeCell ref="C11:G11"/>
    <x:mergeCell ref="F12:G12"/>
    <x:mergeCell ref="A10:B10"/>
    <x:mergeCell ref="C10:D10"/>
    <x:mergeCell ref="E10:F10"/>
    <x:mergeCell ref="A8:B9"/>
    <x:mergeCell ref="C8:D9"/>
    <x:mergeCell ref="F14:G14"/>
    <x:mergeCell ref="C6:D7"/>
    <x:mergeCell ref="E6:F7"/>
    <x:mergeCell ref="E8:F9"/>
    <x:mergeCell ref="A5:B5"/>
    <x:mergeCell ref="C5:D5"/>
    <x:mergeCell ref="E5:F5"/>
    <x:mergeCell ref="E2:F3"/>
    <x:mergeCell ref="G2:G3"/>
    <x:mergeCell ref="A4:B4"/>
    <x:mergeCell ref="C4:D4"/>
    <x:mergeCell ref="E4:F4"/>
    <x:mergeCell ref="A2:B3"/>
    <x:mergeCell ref="C2:D3"/>
    <x:mergeCell ref="N23:O23"/>
    <x:mergeCell ref="G6:G7"/>
    <x:mergeCell ref="G8:G9"/>
    <x:mergeCell ref="C26:D26"/>
    <x:mergeCell ref="E26:G26"/>
    <x:mergeCell ref="F13:G13"/>
    <x:mergeCell ref="F18:G18"/>
    <x:mergeCell ref="F19:G19"/>
    <x:mergeCell ref="J2:K2"/>
    <x:mergeCell ref="H2:I2"/>
    <x:mergeCell ref="A27:A34"/>
    <x:mergeCell ref="C32:D32"/>
    <x:mergeCell ref="C33:D33"/>
    <x:mergeCell ref="C34:D34"/>
    <x:mergeCell ref="C31:D31"/>
    <x:mergeCell ref="F31:G31"/>
    <x:mergeCell ref="D20:E20"/>
    <x:mergeCell ref="F20:G20"/>
    <x:mergeCell ref="D21:E21"/>
    <x:mergeCell ref="F21:G21"/>
    <x:mergeCell ref="C28:D28"/>
    <x:mergeCell ref="F28:G28"/>
    <x:mergeCell ref="F30:G30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5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5"/>
  <x:dimension ref="A1:O34"/>
  <x:sheetViews>
    <x:sheetView topLeftCell="A12" zoomScale="85" zoomScaleNormal="85" zoomScaleSheetLayoutView="75" workbookViewId="0">
      <x:selection activeCell="E27" activeCellId="0" sqref="E27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" width="8.625" style="53"/>
    <x:col min="17" max="17" width="8.625" style="53" bestFit="1" customWidth="1"/>
    <x:col min="18" max="16384" width="8.625" style="53"/>
  </x:cols>
  <x:sheetData>
    <x:row r="1" spans="1:11" customHeight="1">
      <x:c r="A1" s="51"/>
      <x:c r="B1" s="51"/>
      <x:c r="C1" s="68" t="s">
        <x:v>89</x:v>
      </x:c>
      <x:c r="D1" s="68"/>
      <x:c r="E1" s="68">
        <x:v>3</x:v>
      </x:c>
      <x:c r="F1" s="68">
        <x:v>23</x:v>
      </x:c>
      <x:c r="G1" s="68" t="s">
        <x:v>33</x:v>
      </x:c>
      <x:c r="H1" s="52" t="s">
        <x:v>103</x:v>
      </x:c>
      <x:c r="I1" s="52">
        <x:f>F1-K1</x:f>
        <x:v>23</x:v>
      </x:c>
      <x:c r="J1" s="52" t="s">
        <x:v>93</x:v>
      </x:c>
      <x:c r="K1" s="52"/>
    </x:row>
    <x:row r="2" spans="1:11" ht="20.100000000000001" customHeight="1">
      <x:c r="A2" s="267" t="s">
        <x:v>24</x:v>
      </x:c>
      <x:c r="B2" s="268"/>
      <x:c r="C2" s="271">
        <x:f>SUM(C4:D7)</x:f>
        <x:v>5957500</x:v>
      </x:c>
      <x:c r="D2" s="271"/>
      <x:c r="E2" s="274" t="s">
        <x:v>9</x:v>
      </x:c>
      <x:c r="F2" s="275"/>
      <x:c r="G2" s="263">
        <x:v>177850</x:v>
      </x:c>
      <x:c r="H2" s="261" t="s">
        <x:v>60</x:v>
      </x:c>
      <x:c r="I2" s="262"/>
      <x:c r="J2" s="259" t="s">
        <x:v>140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1" ht="30.949999999999999" customHeight="1">
      <x:c r="A4" s="265" t="s">
        <x:v>11</x:v>
      </x:c>
      <x:c r="B4" s="266"/>
      <x:c r="C4" s="258">
        <x:v>4996500</x:v>
      </x:c>
      <x:c r="D4" s="258"/>
      <x:c r="E4" s="273" t="s">
        <x:v>137</x:v>
      </x:c>
      <x:c r="F4" s="273"/>
      <x:c r="G4" s="135">
        <x:f>INT(C4*0.0275)</x:f>
        <x:v>137403</x:v>
      </x:c>
      <x:c r="H4" s="54" t="s">
        <x:v>43</x:v>
      </x:c>
      <x:c r="I4" s="126"/>
      <x:c r="J4" s="83" t="s">
        <x:v>18</x:v>
      </x:c>
      <x:c r="K4" s="58"/>
    </x:row>
    <x:row r="5" spans="1:11" ht="30.949999999999999" customHeight="1">
      <x:c r="A5" s="265" t="s">
        <x:v>50</x:v>
      </x:c>
      <x:c r="B5" s="266"/>
      <x:c r="C5" s="258">
        <x:v>961000</x:v>
      </x:c>
      <x:c r="D5" s="258"/>
      <x:c r="E5" s="257" t="s">
        <x:v>146</x:v>
      </x:c>
      <x:c r="F5" s="257"/>
      <x:c r="G5" s="135">
        <x:v>0</x:v>
      </x:c>
      <x:c r="H5" s="54" t="s">
        <x:v>60</x:v>
      </x:c>
      <x:c r="I5" s="126"/>
      <x:c r="J5" s="83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>
        <x:v>960000</x:v>
      </x:c>
      <x:c r="H6" s="54"/>
      <x:c r="I6" s="126"/>
      <x:c r="J6" s="83" t="s">
        <x:v>114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6"/>
      <x:c r="J7" s="83" t="s">
        <x:v>118</x:v>
      </x:c>
      <x:c r="K7" s="58"/>
    </x:row>
    <x:row r="8" spans="1:11" ht="21.949999999999999" customHeight="1">
      <x:c r="A8" s="256" t="s">
        <x:v>108</x:v>
      </x:c>
      <x:c r="B8" s="257"/>
      <x:c r="C8" s="258">
        <x:v>178850</x:v>
      </x:c>
      <x:c r="D8" s="258"/>
      <x:c r="E8" s="284" t="s">
        <x:v>128</x:v>
      </x:c>
      <x:c r="F8" s="285"/>
      <x:c r="G8" s="290">
        <x:f>C5+G2-G6-C22</x:f>
        <x:v>178850</x:v>
      </x:c>
      <x:c r="H8" s="54" t="s">
        <x:v>16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30.949999999999999" customHeight="1">
      <x:c r="A10" s="256" t="s">
        <x:v>129</x:v>
      </x:c>
      <x:c r="B10" s="257"/>
      <x:c r="C10" s="258">
        <x:v>50000</x:v>
      </x:c>
      <x:c r="D10" s="258"/>
      <x:c r="E10" s="257" t="s">
        <x:v>69</x:v>
      </x:c>
      <x:c r="F10" s="257"/>
      <x:c r="G10" s="55"/>
      <x:c r="H10" s="54"/>
      <x:c r="I10" s="126"/>
      <x:c r="J10" s="54" t="s">
        <x:v>4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37</x:v>
      </x:c>
      <x:c r="I11" s="58"/>
      <x:c r="J11" s="54" t="s">
        <x:v>102</x:v>
      </x:c>
      <x:c r="K11" s="137">
        <x:v>14194</x:v>
      </x:c>
    </x:row>
    <x:row r="12" spans="1:13" ht="21.949999999999999" customHeight="1">
      <x:c r="A12" s="59" t="s">
        <x:v>39</x:v>
      </x:c>
      <x:c r="B12" s="294" t="s">
        <x:v>22</x:v>
      </x:c>
      <x:c r="C12" s="81">
        <x:v>25</x:v>
      </x:c>
      <x:c r="D12" s="284" t="s">
        <x:v>100</x:v>
      </x:c>
      <x:c r="E12" s="285"/>
      <x:c r="F12" s="288">
        <x:v>18</x:v>
      </x:c>
      <x:c r="G12" s="289"/>
      <x:c r="H12" s="54" t="s">
        <x:v>80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112</x:v>
      </x:c>
      <x:c r="B13" s="295"/>
      <x:c r="C13" s="136">
        <x:f>SUM('1:23'!$C$12)</x:f>
        <x:v>423</x:v>
      </x:c>
      <x:c r="D13" s="276"/>
      <x:c r="E13" s="277"/>
      <x:c r="F13" s="286">
        <x:f>SUM('1:23'!$F$12)</x:f>
        <x:v>196</x:v>
      </x:c>
      <x:c r="G13" s="287"/>
      <x:c r="H13" s="54" t="s">
        <x:v>131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39</x:v>
      </x:c>
      <x:c r="B14" s="294" t="s">
        <x:v>34</x:v>
      </x:c>
      <x:c r="C14" s="81">
        <x:v>61</x:v>
      </x:c>
      <x:c r="D14" s="284" t="s">
        <x:v>84</x:v>
      </x:c>
      <x:c r="E14" s="285"/>
      <x:c r="F14" s="288">
        <x:v>23</x:v>
      </x:c>
      <x:c r="G14" s="289"/>
      <x:c r="H14" s="54" t="s">
        <x:v>104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112</x:v>
      </x:c>
      <x:c r="B15" s="295"/>
      <x:c r="C15" s="136">
        <x:f>SUM('1:23'!$C$14)</x:f>
        <x:v>1227</x:v>
      </x:c>
      <x:c r="D15" s="276"/>
      <x:c r="E15" s="277"/>
      <x:c r="F15" s="286">
        <x:f>SUM('1:23'!$F$14)</x:f>
        <x:v>496</x:v>
      </x:c>
      <x:c r="G15" s="287"/>
      <x:c r="H15" s="54" t="s">
        <x:v>87</x:v>
      </x:c>
      <x:c r="I15" s="58"/>
      <x:c r="J15" s="54" t="s">
        <x:v>140</x:v>
      </x:c>
      <x:c r="K15" s="58"/>
      <x:c r="L15" s="60"/>
      <x:c r="M15" s="11"/>
    </x:row>
    <x:row r="16" spans="1:13" ht="21.949999999999999" customHeight="1">
      <x:c r="A16" s="59" t="s">
        <x:v>39</x:v>
      </x:c>
      <x:c r="B16" s="294" t="s">
        <x:v>2</x:v>
      </x:c>
      <x:c r="C16" s="81">
        <x:v>18</x:v>
      </x:c>
      <x:c r="D16" s="284" t="s">
        <x:v>111</x:v>
      </x:c>
      <x:c r="E16" s="285"/>
      <x:c r="F16" s="282">
        <x:v>29</x:v>
      </x:c>
      <x:c r="G16" s="282"/>
      <x:c r="H16" s="54"/>
      <x:c r="I16" s="58"/>
      <x:c r="J16" s="54" t="s">
        <x:v>78</x:v>
      </x:c>
      <x:c r="K16" s="58"/>
      <x:c r="L16" s="60"/>
      <x:c r="M16" s="11"/>
    </x:row>
    <x:row r="17" spans="1:13" ht="21.949999999999999" customHeight="1">
      <x:c r="A17" s="59" t="s">
        <x:v>112</x:v>
      </x:c>
      <x:c r="B17" s="295"/>
      <x:c r="C17" s="136">
        <x:f>SUM('1:23'!$C$16)</x:f>
        <x:v>167</x:v>
      </x:c>
      <x:c r="D17" s="276"/>
      <x:c r="E17" s="277"/>
      <x:c r="F17" s="283">
        <x:f>SUM('1:23'!$F$16)</x:f>
        <x:v>362</x:v>
      </x:c>
      <x:c r="G17" s="283"/>
      <x:c r="H17" s="54" t="s">
        <x:v>56</x:v>
      </x:c>
      <x:c r="I17" s="58">
        <x:v>1600</x:v>
      </x:c>
      <x:c r="J17" s="54" t="s">
        <x:v>72</x:v>
      </x:c>
      <x:c r="K17" s="58"/>
      <x:c r="L17" s="60"/>
      <x:c r="M17" s="11"/>
    </x:row>
    <x:row r="18" spans="1:13" ht="21.949999999999999" customHeight="1">
      <x:c r="A18" s="59" t="s">
        <x:v>39</x:v>
      </x:c>
      <x:c r="B18" s="294" t="s">
        <x:v>120</x:v>
      </x:c>
      <x:c r="C18" s="81">
        <x:v>60</x:v>
      </x:c>
      <x:c r="D18" s="284" t="s">
        <x:v>122</x:v>
      </x:c>
      <x:c r="E18" s="285"/>
      <x:c r="F18" s="292">
        <x:v>21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112</x:v>
      </x:c>
      <x:c r="B19" s="295"/>
      <x:c r="C19" s="136">
        <x:f>SUM('1:23'!$C$18)</x:f>
        <x:v>900</x:v>
      </x:c>
      <x:c r="D19" s="276"/>
      <x:c r="E19" s="277"/>
      <x:c r="F19" s="283">
        <x:f>SUM('1:23'!$F$18)</x:f>
        <x:v>331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95</x:v>
      </x:c>
      <x:c r="E20" s="257"/>
      <x:c r="F20" s="282">
        <x:v>73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132</x:v>
      </x:c>
      <x:c r="E21" s="257"/>
      <x:c r="F21" s="283">
        <x:f>SUM('1:23'!$F$20)</x:f>
        <x:v>1480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77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121</x:v>
      </x:c>
      <x:c r="B23" s="257"/>
      <x:c r="C23" s="312"/>
      <x:c r="D23" s="313"/>
      <x:c r="E23" s="313"/>
      <x:c r="F23" s="313"/>
      <x:c r="G23" s="313"/>
      <x:c r="H23" s="109" t="s">
        <x:v>127</x:v>
      </x:c>
      <x:c r="I23" s="110">
        <x:f>SUM(I4:I22)</x:f>
        <x:v>1600</x:v>
      </x:c>
      <x:c r="J23" s="61" t="s">
        <x:v>99</x:v>
      </x:c>
      <x:c r="K23" s="62">
        <x:f>SUM(K4:K22)</x:f>
        <x:v>14194</x:v>
      </x:c>
      <x:c r="M23" s="90" t="s">
        <x:v>107</x:v>
      </x:c>
      <x:c r="N23" s="279">
        <x:f>C5+C6</x:f>
        <x:v>961000</x:v>
      </x:c>
      <x:c r="O23" s="280"/>
    </x:row>
    <x:row r="24" spans="1:11" ht="34.149999999999999" customHeight="1">
      <x:c r="A24" s="256" t="s">
        <x:v>59</x:v>
      </x:c>
      <x:c r="B24" s="257"/>
      <x:c r="C24" s="257" t="s">
        <x:v>91</x:v>
      </x:c>
      <x:c r="D24" s="257"/>
      <x:c r="E24" s="257" t="s">
        <x:v>135</x:v>
      </x:c>
      <x:c r="F24" s="257"/>
      <x:c r="G24" s="257"/>
      <x:c r="H24" s="109" t="s">
        <x:v>59</x:v>
      </x:c>
      <x:c r="I24" s="111">
        <x:f>I23/A25</x:f>
        <x:v>0.00026856903063365503</x:v>
      </x:c>
      <x:c r="J24" s="61" t="s">
        <x:v>59</x:v>
      </x:c>
      <x:c r="K24" s="63">
        <x:f>K23/A25</x:f>
        <x:v>0.0023825430130088123</x:v>
      </x:c>
    </x:row>
    <x:row r="25" spans="1:11" ht="34.149999999999999" customHeight="1">
      <x:c r="A25" s="308">
        <x:f>C2</x:f>
        <x:v>5957500</x:v>
      </x:c>
      <x:c r="B25" s="272"/>
      <x:c r="C25" s="272">
        <x:f>E25/I1</x:f>
        <x:v>4593913.0434782607</x:v>
      </x:c>
      <x:c r="D25" s="272"/>
      <x:c r="E25" s="272">
        <x:f>SUM('1:23'!$A$25)</x:f>
        <x:v>105660000</x:v>
      </x:c>
      <x:c r="F25" s="272"/>
      <x:c r="G25" s="272"/>
      <x:c r="H25" s="109" t="s">
        <x:v>19</x:v>
      </x:c>
      <x:c r="I25" s="110">
        <x:f>SUM('1:23'!$I$21)</x:f>
        <x:v>0</x:v>
      </x:c>
      <x:c r="J25" s="61" t="s">
        <x:v>19</x:v>
      </x:c>
      <x:c r="K25" s="62">
        <x:f>SUM('1:23'!$K$21)</x:f>
        <x:v>0</x:v>
      </x:c>
    </x:row>
    <x:row r="26" spans="1:11" ht="34.149999999999999" customHeight="1">
      <x:c r="A26" s="256" t="s">
        <x:v>71</x:v>
      </x:c>
      <x:c r="B26" s="257"/>
      <x:c r="C26" s="257"/>
      <x:c r="D26" s="257"/>
      <x:c r="E26" s="258"/>
      <x:c r="F26" s="258"/>
      <x:c r="G26" s="258"/>
      <x:c r="H26" s="109" t="s">
        <x:v>110</x:v>
      </x:c>
      <x:c r="I26" s="112">
        <x:f>I25/$E$25</x:f>
        <x:v>0</x:v>
      </x:c>
      <x:c r="J26" s="64" t="s">
        <x:v>110</x:v>
      </x:c>
      <x:c r="K26" s="65">
        <x:f>K25/$E$25</x:f>
        <x:v>0</x:v>
      </x:c>
    </x:row>
    <x:row r="27" spans="1:13" ht="30.949999999999999" customHeight="1">
      <x:c r="A27" s="314" t="s">
        <x:v>68</x:v>
      </x:c>
      <x:c r="B27" s="54" t="s">
        <x:v>44</x:v>
      </x:c>
      <x:c r="C27" s="272">
        <x:f>4000000/31</x:f>
        <x:v>129032.25806451614</x:v>
      </x:c>
      <x:c r="D27" s="272"/>
      <x:c r="E27" s="55" t="s">
        <x:v>52</x:v>
      </x:c>
      <x:c r="F27" s="258"/>
      <x:c r="G27" s="258"/>
      <x:c r="H27" s="113" t="s">
        <x:v>85</x:v>
      </x:c>
      <x:c r="I27" s="114">
        <x:f>SUM(C27:D34,F27:G32)</x:f>
        <x:v>707419.3548387097</x:v>
      </x:c>
      <x:c r="M27" s="66"/>
    </x:row>
    <x:row r="28" spans="1:13" ht="30.949999999999999" customHeight="1">
      <x:c r="A28" s="315"/>
      <x:c r="B28" s="54" t="s">
        <x:v>29</x:v>
      </x:c>
      <x:c r="C28" s="272">
        <x:f>3800000/31</x:f>
        <x:v>122580.64516129032</x:v>
      </x:c>
      <x:c r="D28" s="272"/>
      <x:c r="E28" s="55" t="s">
        <x:v>52</x:v>
      </x:c>
      <x:c r="F28" s="311"/>
      <x:c r="G28" s="311"/>
      <x:c r="H28" s="113" t="s">
        <x:v>59</x:v>
      </x:c>
      <x:c r="I28" s="115">
        <x:f>I27/$A$25</x:f>
        <x:v>0.11874433148782371</x:v>
      </x:c>
      <x:c r="M28" s="66" t="s">
        <x:v>54</x:v>
      </x:c>
    </x:row>
    <x:row r="29" spans="1:13" ht="30.949999999999999" customHeight="1">
      <x:c r="A29" s="315"/>
      <x:c r="B29" s="54" t="s">
        <x:v>21</x:v>
      </x:c>
      <x:c r="C29" s="272">
        <x:f>3200000/31</x:f>
        <x:v>103225.80645161291</x:v>
      </x:c>
      <x:c r="D29" s="272"/>
      <x:c r="E29" s="54" t="s">
        <x:v>52</x:v>
      </x:c>
      <x:c r="F29" s="258"/>
      <x:c r="G29" s="258"/>
      <x:c r="H29" s="113" t="s">
        <x:v>19</x:v>
      </x:c>
      <x:c r="I29" s="114">
        <x:f>SUM('1:23'!$I$25)</x:f>
        <x:v>71148041</x:v>
      </x:c>
      <x:c r="M29" s="66"/>
    </x:row>
    <x:row r="30" spans="1:13" ht="30.949999999999999" customHeight="1">
      <x:c r="A30" s="315"/>
      <x:c r="B30" s="54" t="s">
        <x:v>41</x:v>
      </x:c>
      <x:c r="C30" s="272">
        <x:f>3400000/31</x:f>
        <x:v>109677.41935483871</x:v>
      </x:c>
      <x:c r="D30" s="272"/>
      <x:c r="E30" s="55"/>
      <x:c r="F30" s="306"/>
      <x:c r="G30" s="307"/>
      <x:c r="H30" s="113" t="s">
        <x:v>110</x:v>
      </x:c>
      <x:c r="I30" s="115">
        <x:f>I29/$I$27</x:f>
        <x:v>100.57406616507068</x:v>
      </x:c>
      <x:c r="M30" s="66"/>
    </x:row>
    <x:row r="31" spans="1:7" customHeight="1">
      <x:c r="A31" s="315"/>
      <x:c r="B31" s="54" t="s">
        <x:v>12</x:v>
      </x:c>
      <x:c r="C31" s="309">
        <x:f>3500000/31</x:f>
        <x:v>112903.22580645161</x:v>
      </x:c>
      <x:c r="D31" s="310"/>
      <x:c r="E31" s="55" t="s">
        <x:v>62</x:v>
      </x:c>
      <x:c r="F31" s="306">
        <x:v>130000</x:v>
      </x:c>
      <x:c r="G31" s="307"/>
    </x:row>
    <x:row r="32" spans="1:7" customHeight="1">
      <x:c r="A32" s="315"/>
      <x:c r="B32" s="355" t="s">
        <x:v>40</x:v>
      </x:c>
      <x:c r="C32" s="304"/>
      <x:c r="D32" s="305"/>
      <x:c r="E32" s="55" t="s">
        <x:v>1</x:v>
      </x:c>
      <x:c r="F32" s="306"/>
      <x:c r="G32" s="307"/>
    </x:row>
    <x:row r="33" spans="1:4" customHeight="1">
      <x:c r="A33" s="315"/>
      <x:c r="B33" s="355" t="s">
        <x:v>149</x:v>
      </x:c>
      <x:c r="C33" s="304"/>
      <x:c r="D33" s="305"/>
    </x:row>
    <x:row r="34" spans="1:4" customHeight="1">
      <x:c r="A34" s="316"/>
      <x:c r="B34" s="54"/>
      <x:c r="C34" s="306"/>
      <x:c r="D34" s="307"/>
    </x:row>
  </x:sheetData>
  <x:mergeCells count="74"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32:G32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6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6"/>
  <x:dimension ref="A1:O34"/>
  <x:sheetViews>
    <x:sheetView topLeftCell="A11" zoomScale="85" zoomScaleNormal="85" zoomScaleSheetLayoutView="75" workbookViewId="0">
      <x:selection activeCell="E27" activeCellId="0" sqref="E27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89</x:v>
      </x:c>
      <x:c r="D1" s="68"/>
      <x:c r="E1" s="68">
        <x:v>3</x:v>
      </x:c>
      <x:c r="F1" s="68">
        <x:v>24</x:v>
      </x:c>
      <x:c r="G1" s="68" t="s">
        <x:v>3</x:v>
      </x:c>
      <x:c r="H1" s="52" t="s">
        <x:v>103</x:v>
      </x:c>
      <x:c r="I1" s="52">
        <x:f>F1-K1</x:f>
        <x:v>24</x:v>
      </x:c>
      <x:c r="J1" s="52" t="s">
        <x:v>93</x:v>
      </x:c>
      <x:c r="K1" s="52"/>
    </x:row>
    <x:row r="2" spans="1:11" ht="20.100000000000001" customHeight="1">
      <x:c r="A2" s="267" t="s">
        <x:v>24</x:v>
      </x:c>
      <x:c r="B2" s="268"/>
      <x:c r="C2" s="271">
        <x:f>SUM(C4:D7)</x:f>
        <x:v>3868500</x:v>
      </x:c>
      <x:c r="D2" s="271"/>
      <x:c r="E2" s="274" t="s">
        <x:v>9</x:v>
      </x:c>
      <x:c r="F2" s="275"/>
      <x:c r="G2" s="263">
        <x:v>178850</x:v>
      </x:c>
      <x:c r="H2" s="261" t="s">
        <x:v>60</x:v>
      </x:c>
      <x:c r="I2" s="262"/>
      <x:c r="J2" s="259" t="s">
        <x:v>140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1" ht="30.949999999999999" customHeight="1">
      <x:c r="A4" s="265" t="s">
        <x:v>11</x:v>
      </x:c>
      <x:c r="B4" s="266"/>
      <x:c r="C4" s="258">
        <x:v>3435500</x:v>
      </x:c>
      <x:c r="D4" s="258"/>
      <x:c r="E4" s="273" t="s">
        <x:v>137</x:v>
      </x:c>
      <x:c r="F4" s="273"/>
      <x:c r="G4" s="135">
        <x:f>INT(C4*0.0275)</x:f>
        <x:v>94476</x:v>
      </x:c>
      <x:c r="H4" s="54" t="s">
        <x:v>43</x:v>
      </x:c>
      <x:c r="I4" s="126">
        <x:v>1085424</x:v>
      </x:c>
      <x:c r="J4" s="83" t="s">
        <x:v>18</x:v>
      </x:c>
      <x:c r="K4" s="58"/>
    </x:row>
    <x:row r="5" spans="1:11" ht="30.949999999999999" customHeight="1">
      <x:c r="A5" s="265" t="s">
        <x:v>50</x:v>
      </x:c>
      <x:c r="B5" s="266"/>
      <x:c r="C5" s="258">
        <x:v>433000</x:v>
      </x:c>
      <x:c r="D5" s="258"/>
      <x:c r="E5" s="257" t="s">
        <x:v>146</x:v>
      </x:c>
      <x:c r="F5" s="257"/>
      <x:c r="G5" s="135">
        <x:f>INT(C5*0.01)</x:f>
        <x:v>4330</x:v>
      </x:c>
      <x:c r="H5" s="54" t="s">
        <x:v>60</x:v>
      </x:c>
      <x:c r="I5" s="126">
        <x:v>170412</x:v>
      </x:c>
      <x:c r="J5" s="83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>
        <x:v>1420000</x:v>
      </x:c>
      <x:c r="H6" s="54"/>
      <x:c r="I6" s="126"/>
      <x:c r="J6" s="83" t="s">
        <x:v>114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6"/>
      <x:c r="J7" s="83" t="s">
        <x:v>118</x:v>
      </x:c>
      <x:c r="K7" s="58"/>
    </x:row>
    <x:row r="8" spans="1:11" ht="21.949999999999999" customHeight="1">
      <x:c r="A8" s="256" t="s">
        <x:v>108</x:v>
      </x:c>
      <x:c r="B8" s="257"/>
      <x:c r="C8" s="258">
        <x:v>151750</x:v>
      </x:c>
      <x:c r="D8" s="258"/>
      <x:c r="E8" s="284" t="s">
        <x:v>128</x:v>
      </x:c>
      <x:c r="F8" s="285"/>
      <x:c r="G8" s="290">
        <x:f>C5+G2-G6-C22</x:f>
        <x:v>-808150</x:v>
      </x:c>
      <x:c r="H8" s="54" t="s">
        <x:v>16</x:v>
      </x:c>
      <x:c r="I8" s="126">
        <x:v>56000</x:v>
      </x:c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30.949999999999999" customHeight="1">
      <x:c r="A10" s="256" t="s">
        <x:v>129</x:v>
      </x:c>
      <x:c r="B10" s="257"/>
      <x:c r="C10" s="258"/>
      <x:c r="D10" s="258"/>
      <x:c r="E10" s="257" t="s">
        <x:v>69</x:v>
      </x:c>
      <x:c r="F10" s="257"/>
      <x:c r="G10" s="55"/>
      <x:c r="H10" s="54"/>
      <x:c r="I10" s="126"/>
      <x:c r="J10" s="54" t="s">
        <x:v>4</x:v>
      </x:c>
      <x:c r="K10" s="58">
        <x:v>13000</x:v>
      </x:c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37</x:v>
      </x:c>
      <x:c r="I11" s="58">
        <x:v>100000</x:v>
      </x:c>
      <x:c r="J11" s="54" t="s">
        <x:v>102</x:v>
      </x:c>
      <x:c r="K11" s="137">
        <x:v>14194</x:v>
      </x:c>
    </x:row>
    <x:row r="12" spans="1:13" ht="21.949999999999999" customHeight="1">
      <x:c r="A12" s="59" t="s">
        <x:v>39</x:v>
      </x:c>
      <x:c r="B12" s="294" t="s">
        <x:v>22</x:v>
      </x:c>
      <x:c r="C12" s="81">
        <x:v>3</x:v>
      </x:c>
      <x:c r="D12" s="284" t="s">
        <x:v>100</x:v>
      </x:c>
      <x:c r="E12" s="285"/>
      <x:c r="F12" s="288">
        <x:v>13</x:v>
      </x:c>
      <x:c r="G12" s="289"/>
      <x:c r="H12" s="54" t="s">
        <x:v>80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112</x:v>
      </x:c>
      <x:c r="B13" s="295"/>
      <x:c r="C13" s="136">
        <x:f>SUM('1:24'!$C$12)</x:f>
        <x:v>426</x:v>
      </x:c>
      <x:c r="D13" s="276"/>
      <x:c r="E13" s="277"/>
      <x:c r="F13" s="286">
        <x:f>SUM('1:24'!$F$12)</x:f>
        <x:v>209</x:v>
      </x:c>
      <x:c r="G13" s="287"/>
      <x:c r="H13" s="54" t="s">
        <x:v>131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39</x:v>
      </x:c>
      <x:c r="B14" s="294" t="s">
        <x:v>34</x:v>
      </x:c>
      <x:c r="C14" s="81">
        <x:v>21</x:v>
      </x:c>
      <x:c r="D14" s="284" t="s">
        <x:v>84</x:v>
      </x:c>
      <x:c r="E14" s="285"/>
      <x:c r="F14" s="288">
        <x:v>14</x:v>
      </x:c>
      <x:c r="G14" s="289"/>
      <x:c r="H14" s="54" t="s">
        <x:v>104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112</x:v>
      </x:c>
      <x:c r="B15" s="295"/>
      <x:c r="C15" s="136">
        <x:f>SUM('1:24'!$C$14)</x:f>
        <x:v>1248</x:v>
      </x:c>
      <x:c r="D15" s="276"/>
      <x:c r="E15" s="277"/>
      <x:c r="F15" s="286">
        <x:f>SUM('1:24'!$F$14)</x:f>
        <x:v>510</x:v>
      </x:c>
      <x:c r="G15" s="287"/>
      <x:c r="H15" s="54" t="s">
        <x:v>87</x:v>
      </x:c>
      <x:c r="I15" s="58">
        <x:v>178700</x:v>
      </x:c>
      <x:c r="J15" s="54" t="s">
        <x:v>140</x:v>
      </x:c>
      <x:c r="K15" s="58"/>
      <x:c r="L15" s="60"/>
      <x:c r="M15" s="11"/>
    </x:row>
    <x:row r="16" spans="1:13" ht="21.949999999999999" customHeight="1">
      <x:c r="A16" s="59" t="s">
        <x:v>39</x:v>
      </x:c>
      <x:c r="B16" s="294" t="s">
        <x:v>2</x:v>
      </x:c>
      <x:c r="C16" s="81">
        <x:v>3</x:v>
      </x:c>
      <x:c r="D16" s="284" t="s">
        <x:v>111</x:v>
      </x:c>
      <x:c r="E16" s="285"/>
      <x:c r="F16" s="282">
        <x:v>13</x:v>
      </x:c>
      <x:c r="G16" s="282"/>
      <x:c r="H16" s="54"/>
      <x:c r="I16" s="58"/>
      <x:c r="J16" s="54" t="s">
        <x:v>78</x:v>
      </x:c>
      <x:c r="K16" s="58"/>
      <x:c r="L16" s="60"/>
      <x:c r="M16" s="11"/>
    </x:row>
    <x:row r="17" spans="1:13" ht="21.949999999999999" customHeight="1">
      <x:c r="A17" s="59" t="s">
        <x:v>112</x:v>
      </x:c>
      <x:c r="B17" s="295"/>
      <x:c r="C17" s="136">
        <x:f>SUM('1:24'!$C$16)</x:f>
        <x:v>170</x:v>
      </x:c>
      <x:c r="D17" s="276"/>
      <x:c r="E17" s="277"/>
      <x:c r="F17" s="283">
        <x:f>SUM('1:24'!$F$16)</x:f>
        <x:v>375</x:v>
      </x:c>
      <x:c r="G17" s="283"/>
      <x:c r="H17" s="54" t="s">
        <x:v>56</x:v>
      </x:c>
      <x:c r="I17" s="58"/>
      <x:c r="J17" s="54" t="s">
        <x:v>72</x:v>
      </x:c>
      <x:c r="K17" s="58"/>
      <x:c r="L17" s="60"/>
      <x:c r="M17" s="11"/>
    </x:row>
    <x:row r="18" spans="1:13" ht="21.949999999999999" customHeight="1">
      <x:c r="A18" s="59" t="s">
        <x:v>39</x:v>
      </x:c>
      <x:c r="B18" s="294" t="s">
        <x:v>120</x:v>
      </x:c>
      <x:c r="C18" s="81">
        <x:v>33</x:v>
      </x:c>
      <x:c r="D18" s="284" t="s">
        <x:v>122</x:v>
      </x:c>
      <x:c r="E18" s="285"/>
      <x:c r="F18" s="292">
        <x:v>10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112</x:v>
      </x:c>
      <x:c r="B19" s="295"/>
      <x:c r="C19" s="136">
        <x:f>SUM('1:24'!$C$18)</x:f>
        <x:v>933</x:v>
      </x:c>
      <x:c r="D19" s="276"/>
      <x:c r="E19" s="277"/>
      <x:c r="F19" s="283">
        <x:f>SUM('1:24'!$F$18)</x:f>
        <x:v>341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95</x:v>
      </x:c>
      <x:c r="E20" s="257"/>
      <x:c r="F20" s="282">
        <x:v>53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132</x:v>
      </x:c>
      <x:c r="E21" s="257"/>
      <x:c r="F21" s="283">
        <x:f>SUM('1:24'!$F$20)</x:f>
        <x:v>1533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77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121</x:v>
      </x:c>
      <x:c r="B23" s="257"/>
      <x:c r="C23" s="312"/>
      <x:c r="D23" s="313"/>
      <x:c r="E23" s="313"/>
      <x:c r="F23" s="313"/>
      <x:c r="G23" s="313"/>
      <x:c r="H23" s="109" t="s">
        <x:v>127</x:v>
      </x:c>
      <x:c r="I23" s="110">
        <x:f>SUM(I4:I22)</x:f>
        <x:v>1590536</x:v>
      </x:c>
      <x:c r="J23" s="61" t="s">
        <x:v>99</x:v>
      </x:c>
      <x:c r="K23" s="62">
        <x:f>SUM(K4:K22)</x:f>
        <x:v>27194</x:v>
      </x:c>
      <x:c r="M23" s="90" t="s">
        <x:v>107</x:v>
      </x:c>
      <x:c r="N23" s="279">
        <x:f>C5+C6</x:f>
        <x:v>433000</x:v>
      </x:c>
      <x:c r="O23" s="280"/>
    </x:row>
    <x:row r="24" spans="1:11" ht="34.149999999999999" customHeight="1">
      <x:c r="A24" s="256" t="s">
        <x:v>59</x:v>
      </x:c>
      <x:c r="B24" s="257"/>
      <x:c r="C24" s="257" t="s">
        <x:v>91</x:v>
      </x:c>
      <x:c r="D24" s="257"/>
      <x:c r="E24" s="257" t="s">
        <x:v>135</x:v>
      </x:c>
      <x:c r="F24" s="257"/>
      <x:c r="G24" s="257"/>
      <x:c r="H24" s="109" t="s">
        <x:v>59</x:v>
      </x:c>
      <x:c r="I24" s="111">
        <x:f>I23/A25</x:f>
        <x:v>0.41115057515833009</x:v>
      </x:c>
      <x:c r="J24" s="61" t="s">
        <x:v>59</x:v>
      </x:c>
      <x:c r="K24" s="63">
        <x:f>K23/A25</x:f>
        <x:v>0.0070295980354142433</x:v>
      </x:c>
    </x:row>
    <x:row r="25" spans="1:11" ht="34.149999999999999" customHeight="1">
      <x:c r="A25" s="308">
        <x:f>C2</x:f>
        <x:v>3868500</x:v>
      </x:c>
      <x:c r="B25" s="272"/>
      <x:c r="C25" s="272">
        <x:f>E25/I1</x:f>
        <x:v>4563687.5</x:v>
      </x:c>
      <x:c r="D25" s="272"/>
      <x:c r="E25" s="272">
        <x:f>SUM('1:24'!$A$25)</x:f>
        <x:v>109528500</x:v>
      </x:c>
      <x:c r="F25" s="272"/>
      <x:c r="G25" s="272"/>
      <x:c r="H25" s="109" t="s">
        <x:v>19</x:v>
      </x:c>
      <x:c r="I25" s="110">
        <x:f>SUM('1:24'!$I$21)</x:f>
        <x:v>0</x:v>
      </x:c>
      <x:c r="J25" s="61" t="s">
        <x:v>19</x:v>
      </x:c>
      <x:c r="K25" s="62">
        <x:f>SUM('1:24'!$K$21)</x:f>
        <x:v>0</x:v>
      </x:c>
    </x:row>
    <x:row r="26" spans="1:11" ht="34.149999999999999" customHeight="1">
      <x:c r="A26" s="256" t="s">
        <x:v>71</x:v>
      </x:c>
      <x:c r="B26" s="257"/>
      <x:c r="C26" s="257"/>
      <x:c r="D26" s="257"/>
      <x:c r="E26" s="258"/>
      <x:c r="F26" s="258"/>
      <x:c r="G26" s="258"/>
      <x:c r="H26" s="109" t="s">
        <x:v>110</x:v>
      </x:c>
      <x:c r="I26" s="112">
        <x:f>I25/$E$25</x:f>
        <x:v>0</x:v>
      </x:c>
      <x:c r="J26" s="64" t="s">
        <x:v>110</x:v>
      </x:c>
      <x:c r="K26" s="65">
        <x:f>K25/$E$25</x:f>
        <x:v>0</x:v>
      </x:c>
    </x:row>
    <x:row r="27" spans="1:13" ht="30.949999999999999" customHeight="1">
      <x:c r="A27" s="314" t="s">
        <x:v>68</x:v>
      </x:c>
      <x:c r="B27" s="54" t="s">
        <x:v>44</x:v>
      </x:c>
      <x:c r="C27" s="272">
        <x:f>4000000/31</x:f>
        <x:v>129032.25806451614</x:v>
      </x:c>
      <x:c r="D27" s="272"/>
      <x:c r="E27" s="55" t="s">
        <x:v>52</x:v>
      </x:c>
      <x:c r="F27" s="258"/>
      <x:c r="G27" s="258"/>
      <x:c r="H27" s="113" t="s">
        <x:v>85</x:v>
      </x:c>
      <x:c r="I27" s="114">
        <x:f>SUM(C27:D34,F27:G32)</x:f>
        <x:v>760419.3548387097</x:v>
      </x:c>
      <x:c r="M27" s="66"/>
    </x:row>
    <x:row r="28" spans="1:13" ht="30.949999999999999" customHeight="1">
      <x:c r="A28" s="315"/>
      <x:c r="B28" s="54" t="s">
        <x:v>29</x:v>
      </x:c>
      <x:c r="C28" s="272">
        <x:f>3800000/31</x:f>
        <x:v>122580.64516129032</x:v>
      </x:c>
      <x:c r="D28" s="272"/>
      <x:c r="E28" s="55" t="s">
        <x:v>52</x:v>
      </x:c>
      <x:c r="F28" s="311"/>
      <x:c r="G28" s="311"/>
      <x:c r="H28" s="113" t="s">
        <x:v>59</x:v>
      </x:c>
      <x:c r="I28" s="115">
        <x:f>I27/$A$25</x:f>
        <x:v>0.19656697811521512</x:v>
      </x:c>
      <x:c r="M28" s="66"/>
    </x:row>
    <x:row r="29" spans="1:13" ht="30.949999999999999" customHeight="1">
      <x:c r="A29" s="315"/>
      <x:c r="B29" s="54" t="s">
        <x:v>21</x:v>
      </x:c>
      <x:c r="C29" s="272">
        <x:f>3200000/31</x:f>
        <x:v>103225.80645161291</x:v>
      </x:c>
      <x:c r="D29" s="272"/>
      <x:c r="E29" s="54" t="s">
        <x:v>52</x:v>
      </x:c>
      <x:c r="F29" s="258"/>
      <x:c r="G29" s="258"/>
      <x:c r="H29" s="113" t="s">
        <x:v>19</x:v>
      </x:c>
      <x:c r="I29" s="114">
        <x:f>SUM('1:24'!$I$25)</x:f>
        <x:v>71148041</x:v>
      </x:c>
      <x:c r="M29" s="66"/>
    </x:row>
    <x:row r="30" spans="1:13" ht="30.949999999999999" customHeight="1">
      <x:c r="A30" s="315"/>
      <x:c r="B30" s="54" t="s">
        <x:v>41</x:v>
      </x:c>
      <x:c r="C30" s="272">
        <x:f>3400000/31</x:f>
        <x:v>109677.41935483871</x:v>
      </x:c>
      <x:c r="D30" s="272"/>
      <x:c r="E30" s="55"/>
      <x:c r="F30" s="306"/>
      <x:c r="G30" s="307"/>
      <x:c r="H30" s="113" t="s">
        <x:v>110</x:v>
      </x:c>
      <x:c r="I30" s="115">
        <x:f>I29/$I$27</x:f>
        <x:v>93.564216306791664</x:v>
      </x:c>
      <x:c r="M30" s="66"/>
    </x:row>
    <x:row r="31" spans="1:7" customHeight="1">
      <x:c r="A31" s="315"/>
      <x:c r="B31" s="54" t="s">
        <x:v>12</x:v>
      </x:c>
      <x:c r="C31" s="309">
        <x:f>3500000/31</x:f>
        <x:v>112903.22580645161</x:v>
      </x:c>
      <x:c r="D31" s="310"/>
      <x:c r="E31" s="55" t="s">
        <x:v>62</x:v>
      </x:c>
      <x:c r="F31" s="306">
        <x:v>120000</x:v>
      </x:c>
      <x:c r="G31" s="307"/>
    </x:row>
    <x:row r="32" spans="1:7" customHeight="1">
      <x:c r="A32" s="315"/>
      <x:c r="B32" s="355" t="s">
        <x:v>40</x:v>
      </x:c>
      <x:c r="C32" s="304">
        <x:v>63000</x:v>
      </x:c>
      <x:c r="D32" s="305"/>
      <x:c r="E32" s="55" t="s">
        <x:v>1</x:v>
      </x:c>
      <x:c r="F32" s="306"/>
      <x:c r="G32" s="307"/>
    </x:row>
    <x:row r="33" spans="1:4" customHeight="1">
      <x:c r="A33" s="315"/>
      <x:c r="B33" s="355" t="s">
        <x:v>149</x:v>
      </x:c>
      <x:c r="C33" s="304"/>
      <x:c r="D33" s="305"/>
    </x:row>
    <x:row r="34" spans="1:4" customHeight="1">
      <x:c r="A34" s="316"/>
      <x:c r="B34" s="54"/>
      <x:c r="C34" s="306"/>
      <x:c r="D34" s="307"/>
    </x:row>
  </x:sheetData>
  <x:mergeCells count="74">
    <x:mergeCell ref="F31:G31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2:G32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7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7"/>
  <x:dimension ref="A1:O34"/>
  <x:sheetViews>
    <x:sheetView topLeftCell="A1" zoomScale="85" zoomScaleNormal="85" zoomScaleSheetLayoutView="75" workbookViewId="0">
      <x:selection activeCell="E27" activeCellId="0" sqref="E27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89</x:v>
      </x:c>
      <x:c r="D1" s="68"/>
      <x:c r="E1" s="68">
        <x:v>3</x:v>
      </x:c>
      <x:c r="F1" s="68">
        <x:v>25</x:v>
      </x:c>
      <x:c r="G1" s="68" t="s">
        <x:v>48</x:v>
      </x:c>
      <x:c r="H1" s="52" t="s">
        <x:v>103</x:v>
      </x:c>
      <x:c r="I1" s="52">
        <x:f>F1-K1</x:f>
        <x:v>25</x:v>
      </x:c>
      <x:c r="J1" s="52" t="s">
        <x:v>93</x:v>
      </x:c>
      <x:c r="K1" s="52"/>
    </x:row>
    <x:row r="2" spans="1:11" ht="20.100000000000001" customHeight="1">
      <x:c r="A2" s="267" t="s">
        <x:v>24</x:v>
      </x:c>
      <x:c r="B2" s="268"/>
      <x:c r="C2" s="271">
        <x:f>SUM(C4:D7)</x:f>
        <x:v>3455000</x:v>
      </x:c>
      <x:c r="D2" s="271"/>
      <x:c r="E2" s="274" t="s">
        <x:v>9</x:v>
      </x:c>
      <x:c r="F2" s="275"/>
      <x:c r="G2" s="263">
        <x:v>151750</x:v>
      </x:c>
      <x:c r="H2" s="261" t="s">
        <x:v>60</x:v>
      </x:c>
      <x:c r="I2" s="262"/>
      <x:c r="J2" s="259" t="s">
        <x:v>140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1" ht="30.949999999999999" customHeight="1">
      <x:c r="A4" s="265" t="s">
        <x:v>11</x:v>
      </x:c>
      <x:c r="B4" s="266"/>
      <x:c r="C4" s="258">
        <x:v>3054000</x:v>
      </x:c>
      <x:c r="D4" s="258"/>
      <x:c r="E4" s="273" t="s">
        <x:v>137</x:v>
      </x:c>
      <x:c r="F4" s="273"/>
      <x:c r="G4" s="135">
        <x:f>INT(C4*0.0275)</x:f>
        <x:v>83985</x:v>
      </x:c>
      <x:c r="H4" s="54" t="s">
        <x:v>43</x:v>
      </x:c>
      <x:c r="I4" s="126">
        <x:v>1486800</x:v>
      </x:c>
      <x:c r="J4" s="83" t="s">
        <x:v>18</x:v>
      </x:c>
      <x:c r="K4" s="58"/>
    </x:row>
    <x:row r="5" spans="1:11" ht="30.949999999999999" customHeight="1">
      <x:c r="A5" s="265" t="s">
        <x:v>50</x:v>
      </x:c>
      <x:c r="B5" s="266"/>
      <x:c r="C5" s="258">
        <x:v>401000</x:v>
      </x:c>
      <x:c r="D5" s="258"/>
      <x:c r="E5" s="257" t="s">
        <x:v>146</x:v>
      </x:c>
      <x:c r="F5" s="257"/>
      <x:c r="G5" s="135">
        <x:f>INT(C5*0.01)</x:f>
        <x:v>4010</x:v>
      </x:c>
      <x:c r="H5" s="54" t="s">
        <x:v>60</x:v>
      </x:c>
      <x:c r="I5" s="126">
        <x:v>214306</x:v>
      </x:c>
      <x:c r="J5" s="83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/>
      <x:c r="H6" s="54"/>
      <x:c r="I6" s="126"/>
      <x:c r="J6" s="83" t="s">
        <x:v>114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6">
        <x:v>701610</x:v>
      </x:c>
      <x:c r="J7" s="83" t="s">
        <x:v>118</x:v>
      </x:c>
      <x:c r="K7" s="58"/>
    </x:row>
    <x:row r="8" spans="1:11" ht="21.949999999999999" customHeight="1">
      <x:c r="A8" s="256" t="s">
        <x:v>108</x:v>
      </x:c>
      <x:c r="B8" s="257"/>
      <x:c r="C8" s="258">
        <x:v>552750</x:v>
      </x:c>
      <x:c r="D8" s="258"/>
      <x:c r="E8" s="284" t="s">
        <x:v>128</x:v>
      </x:c>
      <x:c r="F8" s="285"/>
      <x:c r="G8" s="290">
        <x:f>C5+G2-G6-C22</x:f>
        <x:v>552750</x:v>
      </x:c>
      <x:c r="H8" s="54" t="s">
        <x:v>16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30.949999999999999" customHeight="1">
      <x:c r="A10" s="256" t="s">
        <x:v>129</x:v>
      </x:c>
      <x:c r="B10" s="257"/>
      <x:c r="C10" s="258"/>
      <x:c r="D10" s="258"/>
      <x:c r="E10" s="257" t="s">
        <x:v>69</x:v>
      </x:c>
      <x:c r="F10" s="257"/>
      <x:c r="G10" s="55"/>
      <x:c r="H10" s="54"/>
      <x:c r="I10" s="126"/>
      <x:c r="J10" s="54" t="s">
        <x:v>4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37</x:v>
      </x:c>
      <x:c r="I11" s="58"/>
      <x:c r="J11" s="54" t="s">
        <x:v>102</x:v>
      </x:c>
      <x:c r="K11" s="137">
        <x:v>14194</x:v>
      </x:c>
    </x:row>
    <x:row r="12" spans="1:13" ht="21.949999999999999" customHeight="1">
      <x:c r="A12" s="59" t="s">
        <x:v>39</x:v>
      </x:c>
      <x:c r="B12" s="294" t="s">
        <x:v>22</x:v>
      </x:c>
      <x:c r="C12" s="81">
        <x:v>16</x:v>
      </x:c>
      <x:c r="D12" s="284" t="s">
        <x:v>100</x:v>
      </x:c>
      <x:c r="E12" s="285"/>
      <x:c r="F12" s="288">
        <x:v>2</x:v>
      </x:c>
      <x:c r="G12" s="289"/>
      <x:c r="H12" s="54" t="s">
        <x:v>80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112</x:v>
      </x:c>
      <x:c r="B13" s="295"/>
      <x:c r="C13" s="136">
        <x:f>SUM('1:25'!$C$12)</x:f>
        <x:v>442</x:v>
      </x:c>
      <x:c r="D13" s="276"/>
      <x:c r="E13" s="277"/>
      <x:c r="F13" s="286">
        <x:f>SUM('1:25'!$F$12)</x:f>
        <x:v>211</x:v>
      </x:c>
      <x:c r="G13" s="287"/>
      <x:c r="H13" s="54" t="s">
        <x:v>131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39</x:v>
      </x:c>
      <x:c r="B14" s="294" t="s">
        <x:v>34</x:v>
      </x:c>
      <x:c r="C14" s="81">
        <x:v>24</x:v>
      </x:c>
      <x:c r="D14" s="284" t="s">
        <x:v>84</x:v>
      </x:c>
      <x:c r="E14" s="285"/>
      <x:c r="F14" s="288">
        <x:v>14</x:v>
      </x:c>
      <x:c r="G14" s="289"/>
      <x:c r="H14" s="54" t="s">
        <x:v>104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112</x:v>
      </x:c>
      <x:c r="B15" s="295"/>
      <x:c r="C15" s="136">
        <x:f>SUM('1:25'!$C$14)</x:f>
        <x:v>1272</x:v>
      </x:c>
      <x:c r="D15" s="276"/>
      <x:c r="E15" s="277"/>
      <x:c r="F15" s="286">
        <x:f>SUM('1:25'!$F$14)</x:f>
        <x:v>524</x:v>
      </x:c>
      <x:c r="G15" s="287"/>
      <x:c r="H15" s="54" t="s">
        <x:v>87</x:v>
      </x:c>
      <x:c r="I15" s="58">
        <x:v>178700</x:v>
      </x:c>
      <x:c r="J15" s="54" t="s">
        <x:v>140</x:v>
      </x:c>
      <x:c r="K15" s="58"/>
      <x:c r="L15" s="60"/>
      <x:c r="M15" s="11"/>
    </x:row>
    <x:row r="16" spans="1:13" ht="21.949999999999999" customHeight="1">
      <x:c r="A16" s="59" t="s">
        <x:v>39</x:v>
      </x:c>
      <x:c r="B16" s="294" t="s">
        <x:v>2</x:v>
      </x:c>
      <x:c r="C16" s="81">
        <x:v>4</x:v>
      </x:c>
      <x:c r="D16" s="284" t="s">
        <x:v>111</x:v>
      </x:c>
      <x:c r="E16" s="285"/>
      <x:c r="F16" s="282">
        <x:v>12</x:v>
      </x:c>
      <x:c r="G16" s="282"/>
      <x:c r="H16" s="54"/>
      <x:c r="I16" s="58"/>
      <x:c r="J16" s="54" t="s">
        <x:v>78</x:v>
      </x:c>
      <x:c r="K16" s="58">
        <x:v>107040</x:v>
      </x:c>
      <x:c r="L16" s="60"/>
      <x:c r="M16" s="11"/>
    </x:row>
    <x:row r="17" spans="1:13" ht="21.949999999999999" customHeight="1">
      <x:c r="A17" s="59" t="s">
        <x:v>112</x:v>
      </x:c>
      <x:c r="B17" s="295"/>
      <x:c r="C17" s="136">
        <x:f>SUM('1:25'!$C$16)</x:f>
        <x:v>174</x:v>
      </x:c>
      <x:c r="D17" s="276"/>
      <x:c r="E17" s="277"/>
      <x:c r="F17" s="283">
        <x:f>SUM('1:25'!$F$16)</x:f>
        <x:v>387</x:v>
      </x:c>
      <x:c r="G17" s="283"/>
      <x:c r="H17" s="54" t="s">
        <x:v>56</x:v>
      </x:c>
      <x:c r="I17" s="58"/>
      <x:c r="J17" s="54" t="s">
        <x:v>72</x:v>
      </x:c>
      <x:c r="K17" s="58"/>
      <x:c r="L17" s="60"/>
      <x:c r="M17" s="11"/>
    </x:row>
    <x:row r="18" spans="1:13" ht="21.949999999999999" customHeight="1">
      <x:c r="A18" s="59" t="s">
        <x:v>39</x:v>
      </x:c>
      <x:c r="B18" s="294" t="s">
        <x:v>120</x:v>
      </x:c>
      <x:c r="C18" s="81">
        <x:v>41</x:v>
      </x:c>
      <x:c r="D18" s="284" t="s">
        <x:v>122</x:v>
      </x:c>
      <x:c r="E18" s="285"/>
      <x:c r="F18" s="292">
        <x:v>12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112</x:v>
      </x:c>
      <x:c r="B19" s="295"/>
      <x:c r="C19" s="136">
        <x:f>SUM('1:25'!$C$18)</x:f>
        <x:v>974</x:v>
      </x:c>
      <x:c r="D19" s="276"/>
      <x:c r="E19" s="277"/>
      <x:c r="F19" s="283">
        <x:f>SUM('1:25'!$F$18)</x:f>
        <x:v>353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95</x:v>
      </x:c>
      <x:c r="E20" s="257"/>
      <x:c r="F20" s="282">
        <x:v>53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132</x:v>
      </x:c>
      <x:c r="E21" s="257"/>
      <x:c r="F21" s="283">
        <x:f>SUM('1:25'!$F$20)</x:f>
        <x:v>1586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77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121</x:v>
      </x:c>
      <x:c r="B23" s="257"/>
      <x:c r="C23" s="312"/>
      <x:c r="D23" s="313"/>
      <x:c r="E23" s="313"/>
      <x:c r="F23" s="313"/>
      <x:c r="G23" s="313"/>
      <x:c r="H23" s="109" t="s">
        <x:v>127</x:v>
      </x:c>
      <x:c r="I23" s="110">
        <x:f>SUM(I4:I22)</x:f>
        <x:v>2581416</x:v>
      </x:c>
      <x:c r="J23" s="61" t="s">
        <x:v>99</x:v>
      </x:c>
      <x:c r="K23" s="62">
        <x:f>SUM(K4:K22)</x:f>
        <x:v>121234</x:v>
      </x:c>
      <x:c r="M23" s="90" t="s">
        <x:v>107</x:v>
      </x:c>
      <x:c r="N23" s="279">
        <x:f>C5+C6</x:f>
        <x:v>401000</x:v>
      </x:c>
      <x:c r="O23" s="280"/>
    </x:row>
    <x:row r="24" spans="1:11" ht="34.149999999999999" customHeight="1">
      <x:c r="A24" s="256" t="s">
        <x:v>59</x:v>
      </x:c>
      <x:c r="B24" s="257"/>
      <x:c r="C24" s="257" t="s">
        <x:v>91</x:v>
      </x:c>
      <x:c r="D24" s="257"/>
      <x:c r="E24" s="257" t="s">
        <x:v>135</x:v>
      </x:c>
      <x:c r="F24" s="257"/>
      <x:c r="G24" s="257"/>
      <x:c r="H24" s="109" t="s">
        <x:v>59</x:v>
      </x:c>
      <x:c r="I24" s="111">
        <x:f>I23/A25</x:f>
        <x:v>0.74715369030390733</x:v>
      </x:c>
      <x:c r="J24" s="61" t="s">
        <x:v>59</x:v>
      </x:c>
      <x:c r="K24" s="63">
        <x:f>K23/A25</x:f>
        <x:v>0.035089435600578874</x:v>
      </x:c>
    </x:row>
    <x:row r="25" spans="1:11" ht="34.149999999999999" customHeight="1">
      <x:c r="A25" s="308">
        <x:f>C2</x:f>
        <x:v>3455000</x:v>
      </x:c>
      <x:c r="B25" s="272"/>
      <x:c r="C25" s="272">
        <x:f>E25/I1</x:f>
        <x:v>4519340</x:v>
      </x:c>
      <x:c r="D25" s="272"/>
      <x:c r="E25" s="272">
        <x:f>SUM('1:25'!$A$25)</x:f>
        <x:v>112983500</x:v>
      </x:c>
      <x:c r="F25" s="272"/>
      <x:c r="G25" s="272"/>
      <x:c r="H25" s="109" t="s">
        <x:v>19</x:v>
      </x:c>
      <x:c r="I25" s="110">
        <x:f>SUM('1:25'!$I$21)</x:f>
        <x:v>0</x:v>
      </x:c>
      <x:c r="J25" s="61" t="s">
        <x:v>19</x:v>
      </x:c>
      <x:c r="K25" s="62">
        <x:f>SUM('1:25'!$K$21)</x:f>
        <x:v>0</x:v>
      </x:c>
    </x:row>
    <x:row r="26" spans="1:11" ht="34.149999999999999" customHeight="1">
      <x:c r="A26" s="256" t="s">
        <x:v>71</x:v>
      </x:c>
      <x:c r="B26" s="257"/>
      <x:c r="C26" s="257"/>
      <x:c r="D26" s="257"/>
      <x:c r="E26" s="258"/>
      <x:c r="F26" s="258"/>
      <x:c r="G26" s="258"/>
      <x:c r="H26" s="109" t="s">
        <x:v>110</x:v>
      </x:c>
      <x:c r="I26" s="112">
        <x:f>I25/$E$25</x:f>
        <x:v>0</x:v>
      </x:c>
      <x:c r="J26" s="64" t="s">
        <x:v>110</x:v>
      </x:c>
      <x:c r="K26" s="65">
        <x:f>K25/$E$25</x:f>
        <x:v>0</x:v>
      </x:c>
    </x:row>
    <x:row r="27" spans="1:13" ht="30.949999999999999" customHeight="1">
      <x:c r="A27" s="314" t="s">
        <x:v>68</x:v>
      </x:c>
      <x:c r="B27" s="54" t="s">
        <x:v>44</x:v>
      </x:c>
      <x:c r="C27" s="272">
        <x:f>4000000/31</x:f>
        <x:v>129032.25806451614</x:v>
      </x:c>
      <x:c r="D27" s="272"/>
      <x:c r="E27" s="55" t="s">
        <x:v>52</x:v>
      </x:c>
      <x:c r="F27" s="258"/>
      <x:c r="G27" s="258"/>
      <x:c r="H27" s="113" t="s">
        <x:v>85</x:v>
      </x:c>
      <x:c r="I27" s="114">
        <x:f>SUM(C27:D34,F27:G32)</x:f>
        <x:v>755919.3548387097</x:v>
      </x:c>
      <x:c r="M27" s="66"/>
    </x:row>
    <x:row r="28" spans="1:13" ht="30.949999999999999" customHeight="1">
      <x:c r="A28" s="315"/>
      <x:c r="B28" s="54" t="s">
        <x:v>29</x:v>
      </x:c>
      <x:c r="C28" s="272">
        <x:f>3800000/31</x:f>
        <x:v>122580.64516129032</x:v>
      </x:c>
      <x:c r="D28" s="272"/>
      <x:c r="E28" s="55" t="s">
        <x:v>52</x:v>
      </x:c>
      <x:c r="F28" s="311"/>
      <x:c r="G28" s="311"/>
      <x:c r="H28" s="113" t="s">
        <x:v>59</x:v>
      </x:c>
      <x:c r="I28" s="115">
        <x:f>I27/$A$25</x:f>
        <x:v>0.21878997245693479</x:v>
      </x:c>
      <x:c r="M28" s="66"/>
    </x:row>
    <x:row r="29" spans="1:13" ht="30.949999999999999" customHeight="1">
      <x:c r="A29" s="315"/>
      <x:c r="B29" s="54" t="s">
        <x:v>21</x:v>
      </x:c>
      <x:c r="C29" s="272">
        <x:f>3200000/31</x:f>
        <x:v>103225.80645161291</x:v>
      </x:c>
      <x:c r="D29" s="272"/>
      <x:c r="E29" s="54" t="s">
        <x:v>52</x:v>
      </x:c>
      <x:c r="F29" s="258"/>
      <x:c r="G29" s="258"/>
      <x:c r="H29" s="113" t="s">
        <x:v>19</x:v>
      </x:c>
      <x:c r="I29" s="114">
        <x:f>SUM('1:25'!$I$25)</x:f>
        <x:v>71148041</x:v>
      </x:c>
      <x:c r="M29" s="66"/>
    </x:row>
    <x:row r="30" spans="1:13" ht="30.949999999999999" customHeight="1">
      <x:c r="A30" s="315"/>
      <x:c r="B30" s="54" t="s">
        <x:v>41</x:v>
      </x:c>
      <x:c r="C30" s="272">
        <x:f>3400000/31</x:f>
        <x:v>109677.41935483871</x:v>
      </x:c>
      <x:c r="D30" s="272"/>
      <x:c r="E30" s="55" t="s">
        <x:v>32</x:v>
      </x:c>
      <x:c r="F30" s="306"/>
      <x:c r="G30" s="307"/>
      <x:c r="H30" s="113" t="s">
        <x:v>110</x:v>
      </x:c>
      <x:c r="I30" s="115">
        <x:f>I29/$I$27</x:f>
        <x:v>94.121205581752619</x:v>
      </x:c>
      <x:c r="M30" s="66"/>
    </x:row>
    <x:row r="31" spans="1:7" customHeight="1">
      <x:c r="A31" s="315"/>
      <x:c r="B31" s="54" t="s">
        <x:v>12</x:v>
      </x:c>
      <x:c r="C31" s="309">
        <x:f>3500000/31</x:f>
        <x:v>112903.22580645161</x:v>
      </x:c>
      <x:c r="D31" s="310"/>
      <x:c r="E31" s="55" t="s">
        <x:v>62</x:v>
      </x:c>
      <x:c r="F31" s="306">
        <x:v>120000</x:v>
      </x:c>
      <x:c r="G31" s="307"/>
    </x:row>
    <x:row r="32" spans="1:7" customHeight="1">
      <x:c r="A32" s="315"/>
      <x:c r="B32" s="355" t="s">
        <x:v>40</x:v>
      </x:c>
      <x:c r="C32" s="304"/>
      <x:c r="D32" s="305"/>
      <x:c r="E32" s="55" t="s">
        <x:v>1</x:v>
      </x:c>
      <x:c r="F32" s="306"/>
      <x:c r="G32" s="307"/>
    </x:row>
    <x:row r="33" spans="1:4" customHeight="1">
      <x:c r="A33" s="315"/>
      <x:c r="B33" s="355" t="s">
        <x:v>149</x:v>
      </x:c>
      <x:c r="C33" s="304">
        <x:v>58500</x:v>
      </x:c>
      <x:c r="D33" s="305"/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8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8"/>
  <x:dimension ref="A1:O34"/>
  <x:sheetViews>
    <x:sheetView topLeftCell="A13" zoomScale="85" zoomScaleNormal="85" zoomScaleSheetLayoutView="75" workbookViewId="0">
      <x:selection activeCell="E27" activeCellId="0" sqref="E27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11.75" style="53" customWidth="1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89</x:v>
      </x:c>
      <x:c r="D1" s="68"/>
      <x:c r="E1" s="68">
        <x:v>3</x:v>
      </x:c>
      <x:c r="F1" s="68">
        <x:v>26</x:v>
      </x:c>
      <x:c r="G1" s="68" t="s">
        <x:v>38</x:v>
      </x:c>
      <x:c r="H1" s="52" t="s">
        <x:v>103</x:v>
      </x:c>
      <x:c r="I1" s="52">
        <x:f>F1-K1</x:f>
        <x:v>26</x:v>
      </x:c>
      <x:c r="J1" s="52" t="s">
        <x:v>93</x:v>
      </x:c>
      <x:c r="K1" s="52"/>
    </x:row>
    <x:row r="2" spans="1:11" ht="20.100000000000001" customHeight="1">
      <x:c r="A2" s="267" t="s">
        <x:v>24</x:v>
      </x:c>
      <x:c r="B2" s="268"/>
      <x:c r="C2" s="271">
        <x:f>SUM(C4:D7)</x:f>
        <x:v>3632000</x:v>
      </x:c>
      <x:c r="D2" s="271"/>
      <x:c r="E2" s="274" t="s">
        <x:v>9</x:v>
      </x:c>
      <x:c r="F2" s="275"/>
      <x:c r="G2" s="263">
        <x:v>552750</x:v>
      </x:c>
      <x:c r="H2" s="261" t="s">
        <x:v>60</x:v>
      </x:c>
      <x:c r="I2" s="262"/>
      <x:c r="J2" s="259" t="s">
        <x:v>140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1" ht="30.949999999999999" customHeight="1">
      <x:c r="A4" s="265" t="s">
        <x:v>11</x:v>
      </x:c>
      <x:c r="B4" s="266"/>
      <x:c r="C4" s="258">
        <x:v>3232000</x:v>
      </x:c>
      <x:c r="D4" s="258"/>
      <x:c r="E4" s="273" t="s">
        <x:v>137</x:v>
      </x:c>
      <x:c r="F4" s="273"/>
      <x:c r="G4" s="135">
        <x:f>INT(C4*0.0275)</x:f>
        <x:v>88880</x:v>
      </x:c>
      <x:c r="H4" s="54" t="s">
        <x:v>43</x:v>
      </x:c>
      <x:c r="I4" s="126">
        <x:v>2200462</x:v>
      </x:c>
      <x:c r="J4" s="83" t="s">
        <x:v>18</x:v>
      </x:c>
      <x:c r="K4" s="58">
        <x:v>1030000</x:v>
      </x:c>
    </x:row>
    <x:row r="5" spans="1:11" ht="30.949999999999999" customHeight="1">
      <x:c r="A5" s="265" t="s">
        <x:v>50</x:v>
      </x:c>
      <x:c r="B5" s="266"/>
      <x:c r="C5" s="258">
        <x:v>400000</x:v>
      </x:c>
      <x:c r="D5" s="258"/>
      <x:c r="E5" s="257" t="s">
        <x:v>146</x:v>
      </x:c>
      <x:c r="F5" s="257"/>
      <x:c r="G5" s="135">
        <x:f>INT(C5*0.01)</x:f>
        <x:v>4000</x:v>
      </x:c>
      <x:c r="H5" s="54" t="s">
        <x:v>60</x:v>
      </x:c>
      <x:c r="I5" s="126">
        <x:v>153546</x:v>
      </x:c>
      <x:c r="J5" s="83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>
        <x:v>800000</x:v>
      </x:c>
      <x:c r="H6" s="54"/>
      <x:c r="I6" s="126"/>
      <x:c r="J6" s="83" t="s">
        <x:v>114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6"/>
      <x:c r="J7" s="83" t="s">
        <x:v>118</x:v>
      </x:c>
      <x:c r="K7" s="58">
        <x:v>12500</x:v>
      </x:c>
    </x:row>
    <x:row r="8" spans="1:11" ht="21.949999999999999" customHeight="1">
      <x:c r="A8" s="256" t="s">
        <x:v>108</x:v>
      </x:c>
      <x:c r="B8" s="257"/>
      <x:c r="C8" s="258">
        <x:v>152750</x:v>
      </x:c>
      <x:c r="D8" s="258"/>
      <x:c r="E8" s="284" t="s">
        <x:v>128</x:v>
      </x:c>
      <x:c r="F8" s="285"/>
      <x:c r="G8" s="290">
        <x:f>C5+G2-G6-C22</x:f>
        <x:v>152750</x:v>
      </x:c>
      <x:c r="H8" s="54" t="s">
        <x:v>16</x:v>
      </x:c>
      <x:c r="I8" s="126">
        <x:v>56000</x:v>
      </x:c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30.949999999999999" customHeight="1">
      <x:c r="A10" s="256" t="s">
        <x:v>129</x:v>
      </x:c>
      <x:c r="B10" s="257"/>
      <x:c r="C10" s="258">
        <x:v>28000</x:v>
      </x:c>
      <x:c r="D10" s="258"/>
      <x:c r="E10" s="257" t="s">
        <x:v>69</x:v>
      </x:c>
      <x:c r="F10" s="257"/>
      <x:c r="G10" s="55"/>
      <x:c r="H10" s="54"/>
      <x:c r="I10" s="126"/>
      <x:c r="J10" s="54" t="s">
        <x:v>4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37</x:v>
      </x:c>
      <x:c r="I11" s="58"/>
      <x:c r="J11" s="54" t="s">
        <x:v>102</x:v>
      </x:c>
      <x:c r="K11" s="137">
        <x:v>14194</x:v>
      </x:c>
    </x:row>
    <x:row r="12" spans="1:13" ht="21.949999999999999" customHeight="1">
      <x:c r="A12" s="59" t="s">
        <x:v>39</x:v>
      </x:c>
      <x:c r="B12" s="294" t="s">
        <x:v>22</x:v>
      </x:c>
      <x:c r="C12" s="81">
        <x:v>6</x:v>
      </x:c>
      <x:c r="D12" s="284" t="s">
        <x:v>100</x:v>
      </x:c>
      <x:c r="E12" s="285"/>
      <x:c r="F12" s="288">
        <x:v>11</x:v>
      </x:c>
      <x:c r="G12" s="289"/>
      <x:c r="H12" s="54" t="s">
        <x:v>80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112</x:v>
      </x:c>
      <x:c r="B13" s="295"/>
      <x:c r="C13" s="136">
        <x:f>SUM('1:26'!$C$12)</x:f>
        <x:v>448</x:v>
      </x:c>
      <x:c r="D13" s="276"/>
      <x:c r="E13" s="277"/>
      <x:c r="F13" s="286">
        <x:f>SUM('1:26'!$F$12)</x:f>
        <x:v>222</x:v>
      </x:c>
      <x:c r="G13" s="287"/>
      <x:c r="H13" s="54" t="s">
        <x:v>131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39</x:v>
      </x:c>
      <x:c r="B14" s="294" t="s">
        <x:v>34</x:v>
      </x:c>
      <x:c r="C14" s="81">
        <x:v>20</x:v>
      </x:c>
      <x:c r="D14" s="284" t="s">
        <x:v>84</x:v>
      </x:c>
      <x:c r="E14" s="285"/>
      <x:c r="F14" s="288">
        <x:v>10</x:v>
      </x:c>
      <x:c r="G14" s="289"/>
      <x:c r="H14" s="54" t="s">
        <x:v>104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112</x:v>
      </x:c>
      <x:c r="B15" s="295"/>
      <x:c r="C15" s="136">
        <x:f>SUM('1:26'!$C$14)</x:f>
        <x:v>1292</x:v>
      </x:c>
      <x:c r="D15" s="276"/>
      <x:c r="E15" s="277"/>
      <x:c r="F15" s="286">
        <x:f>SUM('1:26'!$F$14)</x:f>
        <x:v>534</x:v>
      </x:c>
      <x:c r="G15" s="287"/>
      <x:c r="H15" s="54" t="s">
        <x:v>87</x:v>
      </x:c>
      <x:c r="I15" s="58">
        <x:v>52100</x:v>
      </x:c>
      <x:c r="J15" s="54" t="s">
        <x:v>140</x:v>
      </x:c>
      <x:c r="K15" s="58"/>
      <x:c r="L15" s="60"/>
      <x:c r="M15" s="11"/>
    </x:row>
    <x:row r="16" spans="1:13" ht="21.949999999999999" customHeight="1">
      <x:c r="A16" s="59" t="s">
        <x:v>39</x:v>
      </x:c>
      <x:c r="B16" s="294" t="s">
        <x:v>2</x:v>
      </x:c>
      <x:c r="C16" s="81">
        <x:v>5</x:v>
      </x:c>
      <x:c r="D16" s="284" t="s">
        <x:v>111</x:v>
      </x:c>
      <x:c r="E16" s="285"/>
      <x:c r="F16" s="282">
        <x:v>17</x:v>
      </x:c>
      <x:c r="G16" s="282"/>
      <x:c r="H16" s="54"/>
      <x:c r="I16" s="58"/>
      <x:c r="J16" s="54" t="s">
        <x:v>78</x:v>
      </x:c>
      <x:c r="K16" s="58"/>
      <x:c r="L16" s="60"/>
      <x:c r="M16" s="11"/>
    </x:row>
    <x:row r="17" spans="1:13" ht="21.949999999999999" customHeight="1">
      <x:c r="A17" s="59" t="s">
        <x:v>112</x:v>
      </x:c>
      <x:c r="B17" s="295"/>
      <x:c r="C17" s="136">
        <x:f>SUM('1:26'!$C$16)</x:f>
        <x:v>179</x:v>
      </x:c>
      <x:c r="D17" s="276"/>
      <x:c r="E17" s="277"/>
      <x:c r="F17" s="283">
        <x:f>SUM('1:26'!$F$16)</x:f>
        <x:v>404</x:v>
      </x:c>
      <x:c r="G17" s="283"/>
      <x:c r="H17" s="54" t="s">
        <x:v>56</x:v>
      </x:c>
      <x:c r="I17" s="58"/>
      <x:c r="J17" s="54" t="s">
        <x:v>72</x:v>
      </x:c>
      <x:c r="K17" s="58"/>
      <x:c r="L17" s="60"/>
      <x:c r="M17" s="11"/>
    </x:row>
    <x:row r="18" spans="1:13" ht="21.949999999999999" customHeight="1">
      <x:c r="A18" s="59" t="s">
        <x:v>39</x:v>
      </x:c>
      <x:c r="B18" s="294" t="s">
        <x:v>120</x:v>
      </x:c>
      <x:c r="C18" s="81">
        <x:v>26</x:v>
      </x:c>
      <x:c r="D18" s="284" t="s">
        <x:v>122</x:v>
      </x:c>
      <x:c r="E18" s="285"/>
      <x:c r="F18" s="292">
        <x:v>11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112</x:v>
      </x:c>
      <x:c r="B19" s="295"/>
      <x:c r="C19" s="136">
        <x:f>SUM('1:26'!$C$18)</x:f>
        <x:v>1000</x:v>
      </x:c>
      <x:c r="D19" s="276"/>
      <x:c r="E19" s="277"/>
      <x:c r="F19" s="283">
        <x:f>SUM('1:26'!$F$18)</x:f>
        <x:v>364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95</x:v>
      </x:c>
      <x:c r="E20" s="257"/>
      <x:c r="F20" s="282">
        <x:v>62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132</x:v>
      </x:c>
      <x:c r="E21" s="257"/>
      <x:c r="F21" s="283">
        <x:f>SUM('1:26'!$F$20)</x:f>
        <x:v>1648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77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121</x:v>
      </x:c>
      <x:c r="B23" s="257"/>
      <x:c r="C23" s="312"/>
      <x:c r="D23" s="313"/>
      <x:c r="E23" s="313"/>
      <x:c r="F23" s="313"/>
      <x:c r="G23" s="313"/>
      <x:c r="H23" s="109" t="s">
        <x:v>127</x:v>
      </x:c>
      <x:c r="I23" s="110">
        <x:f>SUM(I4:I22)</x:f>
        <x:v>2462108</x:v>
      </x:c>
      <x:c r="J23" s="61" t="s">
        <x:v>99</x:v>
      </x:c>
      <x:c r="K23" s="62">
        <x:f>SUM(K4:K22)</x:f>
        <x:v>1056694</x:v>
      </x:c>
      <x:c r="M23" s="90" t="s">
        <x:v>107</x:v>
      </x:c>
      <x:c r="N23" s="279">
        <x:f>C5+C6</x:f>
        <x:v>400000</x:v>
      </x:c>
      <x:c r="O23" s="280"/>
    </x:row>
    <x:row r="24" spans="1:11" ht="34.149999999999999" customHeight="1">
      <x:c r="A24" s="256" t="s">
        <x:v>59</x:v>
      </x:c>
      <x:c r="B24" s="257"/>
      <x:c r="C24" s="257" t="s">
        <x:v>91</x:v>
      </x:c>
      <x:c r="D24" s="257"/>
      <x:c r="E24" s="257" t="s">
        <x:v>135</x:v>
      </x:c>
      <x:c r="F24" s="257"/>
      <x:c r="G24" s="257"/>
      <x:c r="H24" s="109" t="s">
        <x:v>59</x:v>
      </x:c>
      <x:c r="I24" s="111">
        <x:f>I23/A25</x:f>
        <x:v>0.67789317180616737</x:v>
      </x:c>
      <x:c r="J24" s="61" t="s">
        <x:v>59</x:v>
      </x:c>
      <x:c r="K24" s="63">
        <x:f>K23/A25</x:f>
        <x:v>0.2909399779735683</x:v>
      </x:c>
    </x:row>
    <x:row r="25" spans="1:11" ht="34.149999999999999" customHeight="1">
      <x:c r="A25" s="308">
        <x:f>C2</x:f>
        <x:v>3632000</x:v>
      </x:c>
      <x:c r="B25" s="272"/>
      <x:c r="C25" s="354">
        <x:f>E25/I1</x:f>
        <x:v>4485211.538461538</x:v>
      </x:c>
      <x:c r="D25" s="272"/>
      <x:c r="E25" s="272">
        <x:f>SUM('1:26'!$A$25)</x:f>
        <x:v>116615500</x:v>
      </x:c>
      <x:c r="F25" s="272"/>
      <x:c r="G25" s="272"/>
      <x:c r="H25" s="109" t="s">
        <x:v>19</x:v>
      </x:c>
      <x:c r="I25" s="110">
        <x:f>SUM('1:26'!$I$21)</x:f>
        <x:v>0</x:v>
      </x:c>
      <x:c r="J25" s="61" t="s">
        <x:v>19</x:v>
      </x:c>
      <x:c r="K25" s="62">
        <x:f>SUM('1:26'!$K$21)</x:f>
        <x:v>0</x:v>
      </x:c>
    </x:row>
    <x:row r="26" spans="1:11" ht="34.149999999999999" customHeight="1">
      <x:c r="A26" s="256" t="s">
        <x:v>71</x:v>
      </x:c>
      <x:c r="B26" s="257"/>
      <x:c r="C26" s="257"/>
      <x:c r="D26" s="257"/>
      <x:c r="E26" s="258"/>
      <x:c r="F26" s="258"/>
      <x:c r="G26" s="258"/>
      <x:c r="H26" s="109" t="s">
        <x:v>110</x:v>
      </x:c>
      <x:c r="I26" s="112">
        <x:f>I25/$E$25</x:f>
        <x:v>0</x:v>
      </x:c>
      <x:c r="J26" s="64" t="s">
        <x:v>110</x:v>
      </x:c>
      <x:c r="K26" s="65">
        <x:f>K25/$E$25</x:f>
        <x:v>0</x:v>
      </x:c>
    </x:row>
    <x:row r="27" spans="1:13" ht="30.949999999999999" customHeight="1">
      <x:c r="A27" s="314" t="s">
        <x:v>68</x:v>
      </x:c>
      <x:c r="B27" s="54" t="s">
        <x:v>44</x:v>
      </x:c>
      <x:c r="C27" s="272">
        <x:f>4000000/31</x:f>
        <x:v>129032.25806451614</x:v>
      </x:c>
      <x:c r="D27" s="272"/>
      <x:c r="E27" s="55" t="s">
        <x:v>52</x:v>
      </x:c>
      <x:c r="F27" s="258"/>
      <x:c r="G27" s="258"/>
      <x:c r="H27" s="113" t="s">
        <x:v>85</x:v>
      </x:c>
      <x:c r="I27" s="114">
        <x:f>SUM(C27:D34,F27:G32)</x:f>
        <x:v>736419.3548387097</x:v>
      </x:c>
      <x:c r="M27" s="66"/>
    </x:row>
    <x:row r="28" spans="1:13" ht="30.949999999999999" customHeight="1">
      <x:c r="A28" s="315"/>
      <x:c r="B28" s="54" t="s">
        <x:v>29</x:v>
      </x:c>
      <x:c r="C28" s="272">
        <x:f>3800000/31</x:f>
        <x:v>122580.64516129032</x:v>
      </x:c>
      <x:c r="D28" s="272"/>
      <x:c r="E28" s="55" t="s">
        <x:v>52</x:v>
      </x:c>
      <x:c r="F28" s="311">
        <x:v>39000</x:v>
      </x:c>
      <x:c r="G28" s="311"/>
      <x:c r="H28" s="113" t="s">
        <x:v>59</x:v>
      </x:c>
      <x:c r="I28" s="115">
        <x:f>I27/$A$25</x:f>
        <x:v>0.20275863294017338</x:v>
      </x:c>
      <x:c r="M28" s="66"/>
    </x:row>
    <x:row r="29" spans="1:13" ht="30.949999999999999" customHeight="1">
      <x:c r="A29" s="315"/>
      <x:c r="B29" s="54" t="s">
        <x:v>21</x:v>
      </x:c>
      <x:c r="C29" s="272">
        <x:f>3200000/31</x:f>
        <x:v>103225.80645161291</x:v>
      </x:c>
      <x:c r="D29" s="272"/>
      <x:c r="E29" s="54" t="s">
        <x:v>52</x:v>
      </x:c>
      <x:c r="F29" s="258"/>
      <x:c r="G29" s="258"/>
      <x:c r="H29" s="113" t="s">
        <x:v>19</x:v>
      </x:c>
      <x:c r="I29" s="114">
        <x:f>SUM('1:26'!$I$25)</x:f>
        <x:v>71148041</x:v>
      </x:c>
      <x:c r="M29" s="66"/>
    </x:row>
    <x:row r="30" spans="1:13" ht="30.949999999999999" customHeight="1">
      <x:c r="A30" s="315"/>
      <x:c r="B30" s="54" t="s">
        <x:v>41</x:v>
      </x:c>
      <x:c r="C30" s="272">
        <x:f>3400000/31</x:f>
        <x:v>109677.41935483871</x:v>
      </x:c>
      <x:c r="D30" s="272"/>
      <x:c r="E30" s="55"/>
      <x:c r="F30" s="306"/>
      <x:c r="G30" s="307"/>
      <x:c r="H30" s="113" t="s">
        <x:v>110</x:v>
      </x:c>
      <x:c r="I30" s="115">
        <x:f>I29/$I$27</x:f>
        <x:v>96.613485960839284</x:v>
      </x:c>
      <x:c r="M30" s="66"/>
    </x:row>
    <x:row r="31" spans="1:7" customHeight="1">
      <x:c r="A31" s="315"/>
      <x:c r="B31" s="54" t="s">
        <x:v>12</x:v>
      </x:c>
      <x:c r="C31" s="309">
        <x:f>3500000/31</x:f>
        <x:v>112903.22580645161</x:v>
      </x:c>
      <x:c r="D31" s="310"/>
      <x:c r="E31" s="55" t="s">
        <x:v>62</x:v>
      </x:c>
      <x:c r="F31" s="306">
        <x:v>120000</x:v>
      </x:c>
      <x:c r="G31" s="307"/>
    </x:row>
    <x:row r="32" spans="1:7" customHeight="1">
      <x:c r="A32" s="315"/>
      <x:c r="B32" s="355" t="s">
        <x:v>40</x:v>
      </x:c>
      <x:c r="C32" s="304"/>
      <x:c r="D32" s="305"/>
      <x:c r="E32" s="55" t="s">
        <x:v>1</x:v>
      </x:c>
      <x:c r="F32" s="306"/>
      <x:c r="G32" s="307"/>
    </x:row>
    <x:row r="33" spans="1:4" customHeight="1">
      <x:c r="A33" s="315"/>
      <x:c r="B33" s="355" t="s">
        <x:v>149</x:v>
      </x:c>
      <x:c r="C33" s="304"/>
      <x:c r="D33" s="305"/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29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29"/>
  <x:dimension ref="A1:O34"/>
  <x:sheetViews>
    <x:sheetView topLeftCell="A9" zoomScale="85" zoomScaleNormal="85" zoomScaleSheetLayoutView="75" workbookViewId="0">
      <x:selection activeCell="E27" activeCellId="0" sqref="E27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89</x:v>
      </x:c>
      <x:c r="D1" s="68"/>
      <x:c r="E1" s="68">
        <x:v>3</x:v>
      </x:c>
      <x:c r="F1" s="68">
        <x:v>27</x:v>
      </x:c>
      <x:c r="G1" s="68" t="s">
        <x:v>20</x:v>
      </x:c>
      <x:c r="H1" s="52" t="s">
        <x:v>103</x:v>
      </x:c>
      <x:c r="I1" s="52">
        <x:f>F1-K1</x:f>
        <x:v>27</x:v>
      </x:c>
      <x:c r="J1" s="52" t="s">
        <x:v>93</x:v>
      </x:c>
      <x:c r="K1" s="52"/>
    </x:row>
    <x:row r="2" spans="1:11" ht="20.100000000000001" customHeight="1">
      <x:c r="A2" s="267" t="s">
        <x:v>24</x:v>
      </x:c>
      <x:c r="B2" s="268"/>
      <x:c r="C2" s="271">
        <x:f>SUM(C4:D7)</x:f>
        <x:v>5090500</x:v>
      </x:c>
      <x:c r="D2" s="271"/>
      <x:c r="E2" s="274" t="s">
        <x:v>9</x:v>
      </x:c>
      <x:c r="F2" s="275"/>
      <x:c r="G2" s="263">
        <x:v>152750</x:v>
      </x:c>
      <x:c r="H2" s="261" t="s">
        <x:v>60</x:v>
      </x:c>
      <x:c r="I2" s="262"/>
      <x:c r="J2" s="259" t="s">
        <x:v>140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1" ht="30.949999999999999" customHeight="1">
      <x:c r="A4" s="265" t="s">
        <x:v>11</x:v>
      </x:c>
      <x:c r="B4" s="266"/>
      <x:c r="C4" s="258">
        <x:v>4418500</x:v>
      </x:c>
      <x:c r="D4" s="258"/>
      <x:c r="E4" s="273" t="s">
        <x:v>137</x:v>
      </x:c>
      <x:c r="F4" s="273"/>
      <x:c r="G4" s="135">
        <x:f>INT(C4*0.0275)</x:f>
        <x:v>121508</x:v>
      </x:c>
      <x:c r="H4" s="54" t="s">
        <x:v>43</x:v>
      </x:c>
      <x:c r="I4" s="126">
        <x:v>1328292</x:v>
      </x:c>
      <x:c r="J4" s="83" t="s">
        <x:v>18</x:v>
      </x:c>
      <x:c r="K4" s="58"/>
    </x:row>
    <x:row r="5" spans="1:11" ht="30.949999999999999" customHeight="1">
      <x:c r="A5" s="265" t="s">
        <x:v>50</x:v>
      </x:c>
      <x:c r="B5" s="266"/>
      <x:c r="C5" s="258">
        <x:v>672000</x:v>
      </x:c>
      <x:c r="D5" s="258"/>
      <x:c r="E5" s="257" t="s">
        <x:v>146</x:v>
      </x:c>
      <x:c r="F5" s="257"/>
      <x:c r="G5" s="135">
        <x:f>INT(C5*0.01)</x:f>
        <x:v>6720</x:v>
      </x:c>
      <x:c r="H5" s="54" t="s">
        <x:v>60</x:v>
      </x:c>
      <x:c r="I5" s="126">
        <x:v>155526</x:v>
      </x:c>
      <x:c r="J5" s="83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>
        <x:v>650000</x:v>
      </x:c>
      <x:c r="H6" s="54"/>
      <x:c r="I6" s="126"/>
      <x:c r="J6" s="83" t="s">
        <x:v>114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6"/>
      <x:c r="J7" s="83" t="s">
        <x:v>118</x:v>
      </x:c>
      <x:c r="K7" s="58"/>
    </x:row>
    <x:row r="8" spans="1:11" ht="21.949999999999999" customHeight="1">
      <x:c r="A8" s="256" t="s">
        <x:v>108</x:v>
      </x:c>
      <x:c r="B8" s="257"/>
      <x:c r="C8" s="258">
        <x:v>174750</x:v>
      </x:c>
      <x:c r="D8" s="258"/>
      <x:c r="E8" s="284" t="s">
        <x:v>128</x:v>
      </x:c>
      <x:c r="F8" s="285"/>
      <x:c r="G8" s="290">
        <x:f>C5+G2-G6-C22</x:f>
        <x:v>174750</x:v>
      </x:c>
      <x:c r="H8" s="54" t="s">
        <x:v>16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30.949999999999999" customHeight="1">
      <x:c r="A10" s="256" t="s">
        <x:v>129</x:v>
      </x:c>
      <x:c r="B10" s="257"/>
      <x:c r="C10" s="258">
        <x:v>50000</x:v>
      </x:c>
      <x:c r="D10" s="258"/>
      <x:c r="E10" s="257" t="s">
        <x:v>69</x:v>
      </x:c>
      <x:c r="F10" s="257"/>
      <x:c r="G10" s="55"/>
      <x:c r="H10" s="54"/>
      <x:c r="I10" s="126"/>
      <x:c r="J10" s="54" t="s">
        <x:v>4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37</x:v>
      </x:c>
      <x:c r="I11" s="58"/>
      <x:c r="J11" s="54" t="s">
        <x:v>102</x:v>
      </x:c>
      <x:c r="K11" s="137">
        <x:v>14194</x:v>
      </x:c>
    </x:row>
    <x:row r="12" spans="1:13" ht="21.949999999999999" customHeight="1">
      <x:c r="A12" s="59" t="s">
        <x:v>39</x:v>
      </x:c>
      <x:c r="B12" s="294" t="s">
        <x:v>22</x:v>
      </x:c>
      <x:c r="C12" s="81">
        <x:v>18</x:v>
      </x:c>
      <x:c r="D12" s="284" t="s">
        <x:v>100</x:v>
      </x:c>
      <x:c r="E12" s="285"/>
      <x:c r="F12" s="288">
        <x:v>7</x:v>
      </x:c>
      <x:c r="G12" s="289"/>
      <x:c r="H12" s="54" t="s">
        <x:v>80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112</x:v>
      </x:c>
      <x:c r="B13" s="295"/>
      <x:c r="C13" s="136">
        <x:f>SUM('1:27'!$C$12)</x:f>
        <x:v>466</x:v>
      </x:c>
      <x:c r="D13" s="276"/>
      <x:c r="E13" s="277"/>
      <x:c r="F13" s="286">
        <x:f>SUM('1:27'!$F$12)</x:f>
        <x:v>229</x:v>
      </x:c>
      <x:c r="G13" s="287"/>
      <x:c r="H13" s="54" t="s">
        <x:v>131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39</x:v>
      </x:c>
      <x:c r="B14" s="294" t="s">
        <x:v>34</x:v>
      </x:c>
      <x:c r="C14" s="81">
        <x:v>54</x:v>
      </x:c>
      <x:c r="D14" s="284" t="s">
        <x:v>84</x:v>
      </x:c>
      <x:c r="E14" s="285"/>
      <x:c r="F14" s="288">
        <x:v>21</x:v>
      </x:c>
      <x:c r="G14" s="289"/>
      <x:c r="H14" s="54" t="s">
        <x:v>104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112</x:v>
      </x:c>
      <x:c r="B15" s="295"/>
      <x:c r="C15" s="136">
        <x:f>SUM('1:27'!$C$14)</x:f>
        <x:v>1346</x:v>
      </x:c>
      <x:c r="D15" s="276"/>
      <x:c r="E15" s="277"/>
      <x:c r="F15" s="286">
        <x:f>SUM('1:27'!$F$14)</x:f>
        <x:v>555</x:v>
      </x:c>
      <x:c r="G15" s="287"/>
      <x:c r="H15" s="54" t="s">
        <x:v>87</x:v>
      </x:c>
      <x:c r="I15" s="58">
        <x:v>176700</x:v>
      </x:c>
      <x:c r="J15" s="54" t="s">
        <x:v>140</x:v>
      </x:c>
      <x:c r="K15" s="58"/>
      <x:c r="L15" s="60"/>
      <x:c r="M15" s="11"/>
    </x:row>
    <x:row r="16" spans="1:13" ht="21.949999999999999" customHeight="1">
      <x:c r="A16" s="59" t="s">
        <x:v>39</x:v>
      </x:c>
      <x:c r="B16" s="294" t="s">
        <x:v>2</x:v>
      </x:c>
      <x:c r="C16" s="81">
        <x:v>10</x:v>
      </x:c>
      <x:c r="D16" s="284" t="s">
        <x:v>111</x:v>
      </x:c>
      <x:c r="E16" s="285"/>
      <x:c r="F16" s="282">
        <x:v>14</x:v>
      </x:c>
      <x:c r="G16" s="282"/>
      <x:c r="H16" s="54"/>
      <x:c r="I16" s="58"/>
      <x:c r="J16" s="54" t="s">
        <x:v>78</x:v>
      </x:c>
      <x:c r="K16" s="58">
        <x:v>193866</x:v>
      </x:c>
      <x:c r="L16" s="60"/>
      <x:c r="M16" s="11"/>
    </x:row>
    <x:row r="17" spans="1:13" ht="21.949999999999999" customHeight="1">
      <x:c r="A17" s="59" t="s">
        <x:v>112</x:v>
      </x:c>
      <x:c r="B17" s="295"/>
      <x:c r="C17" s="136">
        <x:f>SUM('1:27'!$C$16)</x:f>
        <x:v>189</x:v>
      </x:c>
      <x:c r="D17" s="276"/>
      <x:c r="E17" s="277"/>
      <x:c r="F17" s="283">
        <x:f>SUM('1:27'!$F$16)</x:f>
        <x:v>418</x:v>
      </x:c>
      <x:c r="G17" s="283"/>
      <x:c r="H17" s="54" t="s">
        <x:v>56</x:v>
      </x:c>
      <x:c r="I17" s="58">
        <x:v>6400</x:v>
      </x:c>
      <x:c r="J17" s="54" t="s">
        <x:v>72</x:v>
      </x:c>
      <x:c r="K17" s="58"/>
      <x:c r="L17" s="60"/>
      <x:c r="M17" s="11"/>
    </x:row>
    <x:row r="18" spans="1:13" ht="21.949999999999999" customHeight="1">
      <x:c r="A18" s="59" t="s">
        <x:v>39</x:v>
      </x:c>
      <x:c r="B18" s="294" t="s">
        <x:v>120</x:v>
      </x:c>
      <x:c r="C18" s="81">
        <x:v>45</x:v>
      </x:c>
      <x:c r="D18" s="284" t="s">
        <x:v>122</x:v>
      </x:c>
      <x:c r="E18" s="285"/>
      <x:c r="F18" s="292">
        <x:v>19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112</x:v>
      </x:c>
      <x:c r="B19" s="295"/>
      <x:c r="C19" s="136">
        <x:f>SUM('1:27'!$C$18)</x:f>
        <x:v>1045</x:v>
      </x:c>
      <x:c r="D19" s="276"/>
      <x:c r="E19" s="277"/>
      <x:c r="F19" s="283">
        <x:f>SUM('1:27'!$F$18)</x:f>
        <x:v>383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95</x:v>
      </x:c>
      <x:c r="E20" s="257"/>
      <x:c r="F20" s="282">
        <x:v>75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132</x:v>
      </x:c>
      <x:c r="E21" s="257"/>
      <x:c r="F21" s="283">
        <x:f>SUM('1:27'!$F$20)</x:f>
        <x:v>1723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77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121</x:v>
      </x:c>
      <x:c r="B23" s="257"/>
      <x:c r="C23" s="312"/>
      <x:c r="D23" s="313"/>
      <x:c r="E23" s="313"/>
      <x:c r="F23" s="313"/>
      <x:c r="G23" s="313"/>
      <x:c r="H23" s="109" t="s">
        <x:v>127</x:v>
      </x:c>
      <x:c r="I23" s="110">
        <x:f>SUM(I4:I22)</x:f>
        <x:v>1666918</x:v>
      </x:c>
      <x:c r="J23" s="61" t="s">
        <x:v>99</x:v>
      </x:c>
      <x:c r="K23" s="62">
        <x:f>SUM(K4:K22)</x:f>
        <x:v>208060</x:v>
      </x:c>
      <x:c r="M23" s="90" t="s">
        <x:v>107</x:v>
      </x:c>
      <x:c r="N23" s="279">
        <x:f>C5+C6</x:f>
        <x:v>672000</x:v>
      </x:c>
      <x:c r="O23" s="280"/>
    </x:row>
    <x:row r="24" spans="1:11" ht="34.149999999999999" customHeight="1">
      <x:c r="A24" s="256" t="s">
        <x:v>59</x:v>
      </x:c>
      <x:c r="B24" s="257"/>
      <x:c r="C24" s="257" t="s">
        <x:v>91</x:v>
      </x:c>
      <x:c r="D24" s="257"/>
      <x:c r="E24" s="257" t="s">
        <x:v>135</x:v>
      </x:c>
      <x:c r="F24" s="257"/>
      <x:c r="G24" s="257"/>
      <x:c r="H24" s="109" t="s">
        <x:v>59</x:v>
      </x:c>
      <x:c r="I24" s="111">
        <x:f>I23/A25</x:f>
        <x:v>0.32745663490816224</x:v>
      </x:c>
      <x:c r="J24" s="61" t="s">
        <x:v>59</x:v>
      </x:c>
      <x:c r="K24" s="63">
        <x:f>K23/A25</x:f>
        <x:v>0.040872212945683134</x:v>
      </x:c>
    </x:row>
    <x:row r="25" spans="1:11" ht="34.149999999999999" customHeight="1">
      <x:c r="A25" s="308">
        <x:f>C2</x:f>
        <x:v>5090500</x:v>
      </x:c>
      <x:c r="B25" s="272"/>
      <x:c r="C25" s="272">
        <x:f>E25/I1</x:f>
        <x:v>4507629.6296296297</x:v>
      </x:c>
      <x:c r="D25" s="272"/>
      <x:c r="E25" s="272">
        <x:f>SUM('1:27'!$A$25)</x:f>
        <x:v>121706000</x:v>
      </x:c>
      <x:c r="F25" s="272"/>
      <x:c r="G25" s="272"/>
      <x:c r="H25" s="109" t="s">
        <x:v>19</x:v>
      </x:c>
      <x:c r="I25" s="110">
        <x:f>SUM('1:27'!$I$21)</x:f>
        <x:v>0</x:v>
      </x:c>
      <x:c r="J25" s="61" t="s">
        <x:v>19</x:v>
      </x:c>
      <x:c r="K25" s="62">
        <x:f>SUM('1:27'!$K$21)</x:f>
        <x:v>0</x:v>
      </x:c>
    </x:row>
    <x:row r="26" spans="1:11" ht="34.149999999999999" customHeight="1">
      <x:c r="A26" s="256" t="s">
        <x:v>71</x:v>
      </x:c>
      <x:c r="B26" s="257"/>
      <x:c r="C26" s="257"/>
      <x:c r="D26" s="257"/>
      <x:c r="E26" s="258"/>
      <x:c r="F26" s="258"/>
      <x:c r="G26" s="258"/>
      <x:c r="H26" s="109" t="s">
        <x:v>110</x:v>
      </x:c>
      <x:c r="I26" s="112">
        <x:f>I25/$E$25</x:f>
        <x:v>0</x:v>
      </x:c>
      <x:c r="J26" s="64" t="s">
        <x:v>110</x:v>
      </x:c>
      <x:c r="K26" s="65">
        <x:f>K25/$E$25</x:f>
        <x:v>0</x:v>
      </x:c>
    </x:row>
    <x:row r="27" spans="1:13" ht="30.949999999999999" customHeight="1">
      <x:c r="A27" s="314" t="s">
        <x:v>68</x:v>
      </x:c>
      <x:c r="B27" s="54" t="s">
        <x:v>44</x:v>
      </x:c>
      <x:c r="C27" s="272">
        <x:f>4000000/31</x:f>
        <x:v>129032.25806451614</x:v>
      </x:c>
      <x:c r="D27" s="272"/>
      <x:c r="E27" s="55" t="s">
        <x:v>52</x:v>
      </x:c>
      <x:c r="F27" s="258"/>
      <x:c r="G27" s="258"/>
      <x:c r="H27" s="113" t="s">
        <x:v>85</x:v>
      </x:c>
      <x:c r="I27" s="114">
        <x:f>SUM(C27:D34,F27:G32)</x:f>
        <x:v>762419.3548387097</x:v>
      </x:c>
      <x:c r="M27" s="66"/>
    </x:row>
    <x:row r="28" spans="1:13" ht="30.949999999999999" customHeight="1">
      <x:c r="A28" s="315"/>
      <x:c r="B28" s="54" t="s">
        <x:v>29</x:v>
      </x:c>
      <x:c r="C28" s="272">
        <x:f>3800000/31</x:f>
        <x:v>122580.64516129032</x:v>
      </x:c>
      <x:c r="D28" s="272"/>
      <x:c r="E28" s="55" t="s">
        <x:v>52</x:v>
      </x:c>
      <x:c r="F28" s="311">
        <x:v>65000</x:v>
      </x:c>
      <x:c r="G28" s="311"/>
      <x:c r="H28" s="113" t="s">
        <x:v>59</x:v>
      </x:c>
      <x:c r="I28" s="115">
        <x:f>I27/$A$25</x:f>
        <x:v>0.14977298002921319</x:v>
      </x:c>
      <x:c r="M28" s="66"/>
    </x:row>
    <x:row r="29" spans="1:13" ht="30.949999999999999" customHeight="1">
      <x:c r="A29" s="315"/>
      <x:c r="B29" s="54" t="s">
        <x:v>21</x:v>
      </x:c>
      <x:c r="C29" s="272">
        <x:f>3200000/31</x:f>
        <x:v>103225.80645161291</x:v>
      </x:c>
      <x:c r="D29" s="272"/>
      <x:c r="E29" s="54" t="s">
        <x:v>52</x:v>
      </x:c>
      <x:c r="F29" s="258"/>
      <x:c r="G29" s="258"/>
      <x:c r="H29" s="113" t="s">
        <x:v>19</x:v>
      </x:c>
      <x:c r="I29" s="114">
        <x:f>SUM('1:27'!$I$25)</x:f>
        <x:v>71148041</x:v>
      </x:c>
      <x:c r="M29" s="66"/>
    </x:row>
    <x:row r="30" spans="1:13" ht="30.949999999999999" customHeight="1">
      <x:c r="A30" s="315"/>
      <x:c r="B30" s="54" t="s">
        <x:v>41</x:v>
      </x:c>
      <x:c r="C30" s="272">
        <x:f>3400000/31</x:f>
        <x:v>109677.41935483871</x:v>
      </x:c>
      <x:c r="D30" s="272"/>
      <x:c r="E30" s="55"/>
      <x:c r="F30" s="306"/>
      <x:c r="G30" s="307"/>
      <x:c r="H30" s="113" t="s">
        <x:v>110</x:v>
      </x:c>
      <x:c r="I30" s="115">
        <x:f>I29/$I$27</x:f>
        <x:v>93.318776010154423</x:v>
      </x:c>
      <x:c r="M30" s="66"/>
    </x:row>
    <x:row r="31" spans="1:7" customHeight="1">
      <x:c r="A31" s="315"/>
      <x:c r="B31" s="54" t="s">
        <x:v>12</x:v>
      </x:c>
      <x:c r="C31" s="309">
        <x:f>3500000/31</x:f>
        <x:v>112903.22580645161</x:v>
      </x:c>
      <x:c r="D31" s="310"/>
      <x:c r="E31" s="55" t="s">
        <x:v>62</x:v>
      </x:c>
      <x:c r="F31" s="306">
        <x:v>120000</x:v>
      </x:c>
      <x:c r="G31" s="307"/>
    </x:row>
    <x:row r="32" spans="1:7" customHeight="1">
      <x:c r="A32" s="315"/>
      <x:c r="B32" s="355" t="s">
        <x:v>40</x:v>
      </x:c>
      <x:c r="C32" s="304"/>
      <x:c r="D32" s="305"/>
      <x:c r="E32" s="55" t="s">
        <x:v>1</x:v>
      </x:c>
      <x:c r="F32" s="306"/>
      <x:c r="G32" s="307"/>
    </x:row>
    <x:row r="33" spans="1:4" customHeight="1">
      <x:c r="A33" s="315"/>
      <x:c r="B33" s="355" t="s">
        <x:v>149</x:v>
      </x:c>
      <x:c r="C33" s="304"/>
      <x:c r="D33" s="305"/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0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0"/>
  <x:dimension ref="A1:O34"/>
  <x:sheetViews>
    <x:sheetView topLeftCell="A19" zoomScale="85" zoomScaleNormal="85" zoomScaleSheetLayoutView="75" workbookViewId="0">
      <x:selection activeCell="E27" activeCellId="0" sqref="E27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89</x:v>
      </x:c>
      <x:c r="D1" s="68"/>
      <x:c r="E1" s="68">
        <x:v>3</x:v>
      </x:c>
      <x:c r="F1" s="68">
        <x:v>28</x:v>
      </x:c>
      <x:c r="G1" s="68" t="s">
        <x:v>31</x:v>
      </x:c>
      <x:c r="H1" s="52" t="s">
        <x:v>103</x:v>
      </x:c>
      <x:c r="I1" s="52">
        <x:f>F1-K1</x:f>
        <x:v>28</x:v>
      </x:c>
      <x:c r="J1" s="52" t="s">
        <x:v>93</x:v>
      </x:c>
      <x:c r="K1" s="52"/>
    </x:row>
    <x:row r="2" spans="1:11" ht="20.100000000000001" customHeight="1">
      <x:c r="A2" s="267" t="s">
        <x:v>24</x:v>
      </x:c>
      <x:c r="B2" s="268"/>
      <x:c r="C2" s="271">
        <x:f>SUM(C4:D7)</x:f>
        <x:v>5226500</x:v>
      </x:c>
      <x:c r="D2" s="271"/>
      <x:c r="E2" s="274" t="s">
        <x:v>9</x:v>
      </x:c>
      <x:c r="F2" s="275"/>
      <x:c r="G2" s="263">
        <x:v>174750</x:v>
      </x:c>
      <x:c r="H2" s="261" t="s">
        <x:v>60</x:v>
      </x:c>
      <x:c r="I2" s="262"/>
      <x:c r="J2" s="259" t="s">
        <x:v>140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1" ht="30.949999999999999" customHeight="1">
      <x:c r="A4" s="265" t="s">
        <x:v>11</x:v>
      </x:c>
      <x:c r="B4" s="266"/>
      <x:c r="C4" s="258">
        <x:v>4662500</x:v>
      </x:c>
      <x:c r="D4" s="258"/>
      <x:c r="E4" s="273" t="s">
        <x:v>137</x:v>
      </x:c>
      <x:c r="F4" s="273"/>
      <x:c r="G4" s="135">
        <x:f>INT(C4*0.0275)</x:f>
        <x:v>128218</x:v>
      </x:c>
      <x:c r="H4" s="54" t="s">
        <x:v>43</x:v>
      </x:c>
      <x:c r="I4" s="126">
        <x:v>936431</x:v>
      </x:c>
      <x:c r="J4" s="83" t="s">
        <x:v>18</x:v>
      </x:c>
      <x:c r="K4" s="58"/>
    </x:row>
    <x:row r="5" spans="1:11" ht="30.949999999999999" customHeight="1">
      <x:c r="A5" s="265" t="s">
        <x:v>50</x:v>
      </x:c>
      <x:c r="B5" s="266"/>
      <x:c r="C5" s="258">
        <x:v>564000</x:v>
      </x:c>
      <x:c r="D5" s="258"/>
      <x:c r="E5" s="257" t="s">
        <x:v>146</x:v>
      </x:c>
      <x:c r="F5" s="257"/>
      <x:c r="G5" s="135">
        <x:f>INT(C5*0.01)</x:f>
        <x:v>5640</x:v>
      </x:c>
      <x:c r="H5" s="54" t="s">
        <x:v>60</x:v>
      </x:c>
      <x:c r="I5" s="126">
        <x:v>329452</x:v>
      </x:c>
      <x:c r="J5" s="83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>
        <x:v>580000</x:v>
      </x:c>
      <x:c r="H6" s="54"/>
      <x:c r="I6" s="126"/>
      <x:c r="J6" s="83" t="s">
        <x:v>114</x:v>
      </x:c>
      <x:c r="K6" s="58">
        <x:v>224000</x:v>
      </x:c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6">
        <x:v>1114900</x:v>
      </x:c>
      <x:c r="J7" s="83" t="s">
        <x:v>118</x:v>
      </x:c>
      <x:c r="K7" s="58"/>
    </x:row>
    <x:row r="8" spans="1:11" ht="21.949999999999999" customHeight="1">
      <x:c r="A8" s="256" t="s">
        <x:v>108</x:v>
      </x:c>
      <x:c r="B8" s="257"/>
      <x:c r="C8" s="258">
        <x:v>160750</x:v>
      </x:c>
      <x:c r="D8" s="258"/>
      <x:c r="E8" s="284" t="s">
        <x:v>128</x:v>
      </x:c>
      <x:c r="F8" s="285"/>
      <x:c r="G8" s="290">
        <x:f>C5+G2-G6-C22</x:f>
        <x:v>158750</x:v>
      </x:c>
      <x:c r="H8" s="54" t="s">
        <x:v>16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30.949999999999999" customHeight="1">
      <x:c r="A10" s="256" t="s">
        <x:v>129</x:v>
      </x:c>
      <x:c r="B10" s="257"/>
      <x:c r="C10" s="258">
        <x:v>80000</x:v>
      </x:c>
      <x:c r="D10" s="258"/>
      <x:c r="E10" s="257" t="s">
        <x:v>69</x:v>
      </x:c>
      <x:c r="F10" s="257"/>
      <x:c r="G10" s="55"/>
      <x:c r="H10" s="54"/>
      <x:c r="I10" s="126"/>
      <x:c r="J10" s="54" t="s">
        <x:v>4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37</x:v>
      </x:c>
      <x:c r="I11" s="58"/>
      <x:c r="J11" s="54" t="s">
        <x:v>102</x:v>
      </x:c>
      <x:c r="K11" s="137">
        <x:v>14194</x:v>
      </x:c>
    </x:row>
    <x:row r="12" spans="1:13" ht="21.949999999999999" customHeight="1">
      <x:c r="A12" s="59" t="s">
        <x:v>39</x:v>
      </x:c>
      <x:c r="B12" s="294" t="s">
        <x:v>22</x:v>
      </x:c>
      <x:c r="C12" s="81">
        <x:v>12</x:v>
      </x:c>
      <x:c r="D12" s="284" t="s">
        <x:v>100</x:v>
      </x:c>
      <x:c r="E12" s="285"/>
      <x:c r="F12" s="288">
        <x:v>9</x:v>
      </x:c>
      <x:c r="G12" s="289"/>
      <x:c r="H12" s="54" t="s">
        <x:v>80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112</x:v>
      </x:c>
      <x:c r="B13" s="295"/>
      <x:c r="C13" s="136">
        <x:f>SUM('1:28'!$C$12)</x:f>
        <x:v>478</x:v>
      </x:c>
      <x:c r="D13" s="276"/>
      <x:c r="E13" s="277"/>
      <x:c r="F13" s="286">
        <x:f>SUM('1:28'!$F$12)</x:f>
        <x:v>238</x:v>
      </x:c>
      <x:c r="G13" s="287"/>
      <x:c r="H13" s="54" t="s">
        <x:v>131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39</x:v>
      </x:c>
      <x:c r="B14" s="294" t="s">
        <x:v>34</x:v>
      </x:c>
      <x:c r="C14" s="81">
        <x:v>62</x:v>
      </x:c>
      <x:c r="D14" s="284" t="s">
        <x:v>84</x:v>
      </x:c>
      <x:c r="E14" s="285"/>
      <x:c r="F14" s="288">
        <x:v>18</x:v>
      </x:c>
      <x:c r="G14" s="289"/>
      <x:c r="H14" s="54" t="s">
        <x:v>104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112</x:v>
      </x:c>
      <x:c r="B15" s="295"/>
      <x:c r="C15" s="136">
        <x:f>SUM('1:28'!$C$14)</x:f>
        <x:v>1408</x:v>
      </x:c>
      <x:c r="D15" s="276"/>
      <x:c r="E15" s="277"/>
      <x:c r="F15" s="286">
        <x:f>SUM('1:28'!$F$14)</x:f>
        <x:v>573</x:v>
      </x:c>
      <x:c r="G15" s="287"/>
      <x:c r="H15" s="54" t="s">
        <x:v>87</x:v>
      </x:c>
      <x:c r="I15" s="58">
        <x:v>83200</x:v>
      </x:c>
      <x:c r="J15" s="54" t="s">
        <x:v>140</x:v>
      </x:c>
      <x:c r="K15" s="58"/>
      <x:c r="L15" s="60"/>
      <x:c r="M15" s="11"/>
    </x:row>
    <x:row r="16" spans="1:13" ht="21.949999999999999" customHeight="1">
      <x:c r="A16" s="59" t="s">
        <x:v>39</x:v>
      </x:c>
      <x:c r="B16" s="294" t="s">
        <x:v>2</x:v>
      </x:c>
      <x:c r="C16" s="81">
        <x:v>7</x:v>
      </x:c>
      <x:c r="D16" s="284" t="s">
        <x:v>111</x:v>
      </x:c>
      <x:c r="E16" s="285"/>
      <x:c r="F16" s="282">
        <x:v>25</x:v>
      </x:c>
      <x:c r="G16" s="282"/>
      <x:c r="H16" s="54"/>
      <x:c r="I16" s="58"/>
      <x:c r="J16" s="54" t="s">
        <x:v>78</x:v>
      </x:c>
      <x:c r="K16" s="58">
        <x:v>109660</x:v>
      </x:c>
      <x:c r="L16" s="60"/>
      <x:c r="M16" s="11"/>
    </x:row>
    <x:row r="17" spans="1:13" ht="21.949999999999999" customHeight="1">
      <x:c r="A17" s="59" t="s">
        <x:v>112</x:v>
      </x:c>
      <x:c r="B17" s="295"/>
      <x:c r="C17" s="136">
        <x:f>SUM('1:28'!$C$16)</x:f>
        <x:v>196</x:v>
      </x:c>
      <x:c r="D17" s="276"/>
      <x:c r="E17" s="277"/>
      <x:c r="F17" s="283">
        <x:f>SUM('1:28'!$F$16)</x:f>
        <x:v>443</x:v>
      </x:c>
      <x:c r="G17" s="283"/>
      <x:c r="H17" s="54" t="s">
        <x:v>56</x:v>
      </x:c>
      <x:c r="I17" s="58"/>
      <x:c r="J17" s="54" t="s">
        <x:v>72</x:v>
      </x:c>
      <x:c r="K17" s="58"/>
      <x:c r="L17" s="60"/>
      <x:c r="M17" s="11"/>
    </x:row>
    <x:row r="18" spans="1:13" ht="21.949999999999999" customHeight="1">
      <x:c r="A18" s="59" t="s">
        <x:v>39</x:v>
      </x:c>
      <x:c r="B18" s="294" t="s">
        <x:v>120</x:v>
      </x:c>
      <x:c r="C18" s="81">
        <x:v>41</x:v>
      </x:c>
      <x:c r="D18" s="284" t="s">
        <x:v>122</x:v>
      </x:c>
      <x:c r="E18" s="285"/>
      <x:c r="F18" s="292">
        <x:v>10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112</x:v>
      </x:c>
      <x:c r="B19" s="295"/>
      <x:c r="C19" s="136">
        <x:f>SUM('1:28'!$C$18)</x:f>
        <x:v>1086</x:v>
      </x:c>
      <x:c r="D19" s="276"/>
      <x:c r="E19" s="277"/>
      <x:c r="F19" s="283">
        <x:f>SUM('1:28'!$F$18)</x:f>
        <x:v>393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95</x:v>
      </x:c>
      <x:c r="E20" s="257"/>
      <x:c r="F20" s="282">
        <x:v>79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132</x:v>
      </x:c>
      <x:c r="E21" s="257"/>
      <x:c r="F21" s="283">
        <x:f>SUM('1:28'!$F$20)</x:f>
        <x:v>1802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77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121</x:v>
      </x:c>
      <x:c r="B23" s="257"/>
      <x:c r="C23" s="312"/>
      <x:c r="D23" s="313"/>
      <x:c r="E23" s="313"/>
      <x:c r="F23" s="313"/>
      <x:c r="G23" s="313"/>
      <x:c r="H23" s="109" t="s">
        <x:v>127</x:v>
      </x:c>
      <x:c r="I23" s="110">
        <x:f>SUM(I4:I22)</x:f>
        <x:v>2463983</x:v>
      </x:c>
      <x:c r="J23" s="61" t="s">
        <x:v>99</x:v>
      </x:c>
      <x:c r="K23" s="62">
        <x:f>SUM(K4:K22)</x:f>
        <x:v>347854</x:v>
      </x:c>
      <x:c r="M23" s="90" t="s">
        <x:v>107</x:v>
      </x:c>
      <x:c r="N23" s="279">
        <x:f>C5+C6</x:f>
        <x:v>564000</x:v>
      </x:c>
      <x:c r="O23" s="280"/>
    </x:row>
    <x:row r="24" spans="1:11" ht="34.149999999999999" customHeight="1">
      <x:c r="A24" s="256" t="s">
        <x:v>59</x:v>
      </x:c>
      <x:c r="B24" s="257"/>
      <x:c r="C24" s="257" t="s">
        <x:v>91</x:v>
      </x:c>
      <x:c r="D24" s="257"/>
      <x:c r="E24" s="257" t="s">
        <x:v>135</x:v>
      </x:c>
      <x:c r="F24" s="257"/>
      <x:c r="G24" s="257"/>
      <x:c r="H24" s="109" t="s">
        <x:v>59</x:v>
      </x:c>
      <x:c r="I24" s="111">
        <x:f>I23/A25</x:f>
        <x:v>0.47144035205204249</x:v>
      </x:c>
      <x:c r="J24" s="61" t="s">
        <x:v>59</x:v>
      </x:c>
      <x:c r="K24" s="63">
        <x:f>K23/A25</x:f>
        <x:v>0.066555821295321921</x:v>
      </x:c>
    </x:row>
    <x:row r="25" spans="1:11" ht="34.149999999999999" customHeight="1">
      <x:c r="A25" s="308">
        <x:f>C2</x:f>
        <x:v>5226500</x:v>
      </x:c>
      <x:c r="B25" s="272"/>
      <x:c r="C25" s="272">
        <x:f>E25/I1</x:f>
        <x:v>4533303.5714285718</x:v>
      </x:c>
      <x:c r="D25" s="272"/>
      <x:c r="E25" s="272">
        <x:f>SUM('1:28'!$A$25)</x:f>
        <x:v>126932500</x:v>
      </x:c>
      <x:c r="F25" s="272"/>
      <x:c r="G25" s="272"/>
      <x:c r="H25" s="109" t="s">
        <x:v>19</x:v>
      </x:c>
      <x:c r="I25" s="110">
        <x:f>SUM('1:28'!$I$21)</x:f>
        <x:v>0</x:v>
      </x:c>
      <x:c r="J25" s="61" t="s">
        <x:v>19</x:v>
      </x:c>
      <x:c r="K25" s="62">
        <x:f>SUM('1:28'!$K$21)</x:f>
        <x:v>0</x:v>
      </x:c>
    </x:row>
    <x:row r="26" spans="1:11" ht="34.149999999999999" customHeight="1">
      <x:c r="A26" s="256" t="s">
        <x:v>71</x:v>
      </x:c>
      <x:c r="B26" s="257"/>
      <x:c r="C26" s="257"/>
      <x:c r="D26" s="257"/>
      <x:c r="E26" s="258"/>
      <x:c r="F26" s="258"/>
      <x:c r="G26" s="258"/>
      <x:c r="H26" s="109" t="s">
        <x:v>110</x:v>
      </x:c>
      <x:c r="I26" s="112">
        <x:f>I25/$E$25</x:f>
        <x:v>0</x:v>
      </x:c>
      <x:c r="J26" s="64" t="s">
        <x:v>110</x:v>
      </x:c>
      <x:c r="K26" s="65">
        <x:f>K25/$E$25</x:f>
        <x:v>0</x:v>
      </x:c>
    </x:row>
    <x:row r="27" spans="1:13" ht="30.949999999999999" customHeight="1">
      <x:c r="A27" s="314" t="s">
        <x:v>68</x:v>
      </x:c>
      <x:c r="B27" s="54" t="s">
        <x:v>44</x:v>
      </x:c>
      <x:c r="C27" s="272">
        <x:f>4000000/31</x:f>
        <x:v>129032.25806451614</x:v>
      </x:c>
      <x:c r="D27" s="272"/>
      <x:c r="E27" s="55" t="s">
        <x:v>52</x:v>
      </x:c>
      <x:c r="F27" s="258"/>
      <x:c r="G27" s="258"/>
      <x:c r="H27" s="113" t="s">
        <x:v>85</x:v>
      </x:c>
      <x:c r="I27" s="114">
        <x:f>SUM(C27:D34,F27:G32)</x:f>
        <x:v>767419.3548387097</x:v>
      </x:c>
      <x:c r="M27" s="66"/>
    </x:row>
    <x:row r="28" spans="1:13" ht="30.949999999999999" customHeight="1">
      <x:c r="A28" s="315"/>
      <x:c r="B28" s="54" t="s">
        <x:v>29</x:v>
      </x:c>
      <x:c r="C28" s="272">
        <x:f>3800000/31</x:f>
        <x:v>122580.64516129032</x:v>
      </x:c>
      <x:c r="D28" s="272"/>
      <x:c r="E28" s="55" t="s">
        <x:v>52</x:v>
      </x:c>
      <x:c r="F28" s="311"/>
      <x:c r="G28" s="311"/>
      <x:c r="H28" s="113" t="s">
        <x:v>59</x:v>
      </x:c>
      <x:c r="I28" s="115">
        <x:f>I27/$A$25</x:f>
        <x:v>0.14683236484046872</x:v>
      </x:c>
      <x:c r="M28" s="66"/>
    </x:row>
    <x:row r="29" spans="1:13" ht="30.949999999999999" customHeight="1">
      <x:c r="A29" s="315"/>
      <x:c r="B29" s="54" t="s">
        <x:v>21</x:v>
      </x:c>
      <x:c r="C29" s="272">
        <x:f>3200000/31</x:f>
        <x:v>103225.80645161291</x:v>
      </x:c>
      <x:c r="D29" s="272"/>
      <x:c r="E29" s="54" t="s">
        <x:v>52</x:v>
      </x:c>
      <x:c r="F29" s="258"/>
      <x:c r="G29" s="258"/>
      <x:c r="H29" s="113" t="s">
        <x:v>19</x:v>
      </x:c>
      <x:c r="I29" s="114">
        <x:f>SUM('1:28'!$I$25)</x:f>
        <x:v>71148041</x:v>
      </x:c>
      <x:c r="M29" s="66"/>
    </x:row>
    <x:row r="30" spans="1:13" ht="30.949999999999999" customHeight="1">
      <x:c r="A30" s="315"/>
      <x:c r="B30" s="54" t="s">
        <x:v>41</x:v>
      </x:c>
      <x:c r="C30" s="272">
        <x:f>3400000/31</x:f>
        <x:v>109677.41935483871</x:v>
      </x:c>
      <x:c r="D30" s="272"/>
      <x:c r="E30" s="55" t="s">
        <x:v>32</x:v>
      </x:c>
      <x:c r="F30" s="306"/>
      <x:c r="G30" s="307"/>
      <x:c r="H30" s="113" t="s">
        <x:v>110</x:v>
      </x:c>
      <x:c r="I30" s="115">
        <x:f>I29/$I$27</x:f>
        <x:v>92.71077221521648</x:v>
      </x:c>
      <x:c r="M30" s="66"/>
    </x:row>
    <x:row r="31" spans="1:7" customHeight="1">
      <x:c r="A31" s="315"/>
      <x:c r="B31" s="54" t="s">
        <x:v>12</x:v>
      </x:c>
      <x:c r="C31" s="309">
        <x:f>3500000/31</x:f>
        <x:v>112903.22580645161</x:v>
      </x:c>
      <x:c r="D31" s="310"/>
      <x:c r="E31" s="55" t="s">
        <x:v>62</x:v>
      </x:c>
      <x:c r="F31" s="306">
        <x:v>120000</x:v>
      </x:c>
      <x:c r="G31" s="307"/>
    </x:row>
    <x:row r="32" spans="1:7" customHeight="1">
      <x:c r="A32" s="315"/>
      <x:c r="B32" s="355" t="s">
        <x:v>40</x:v>
      </x:c>
      <x:c r="C32" s="304">
        <x:v>70000</x:v>
      </x:c>
      <x:c r="D32" s="305"/>
      <x:c r="E32" s="55" t="s">
        <x:v>1</x:v>
      </x:c>
      <x:c r="F32" s="306"/>
      <x:c r="G32" s="307"/>
    </x:row>
    <x:row r="33" spans="1:4" customHeight="1">
      <x:c r="A33" s="315"/>
      <x:c r="B33" s="355" t="s">
        <x:v>149</x:v>
      </x:c>
      <x:c r="C33" s="304"/>
      <x:c r="D33" s="305"/>
    </x:row>
    <x:row r="34" spans="1:4" customHeight="1">
      <x:c r="A34" s="316"/>
      <x:c r="B34" s="54"/>
      <x:c r="C34" s="306"/>
      <x:c r="D34" s="307"/>
    </x:row>
  </x:sheetData>
  <x:mergeCells count="74">
    <x:mergeCell ref="F32:G32"/>
    <x:mergeCell ref="A25:B25"/>
    <x:mergeCell ref="C25:D25"/>
    <x:mergeCell ref="E25:G25"/>
    <x:mergeCell ref="A26:B26"/>
    <x:mergeCell ref="C27:D27"/>
    <x:mergeCell ref="F27:G27"/>
    <x:mergeCell ref="C26:D26"/>
    <x:mergeCell ref="E26:G26"/>
    <x:mergeCell ref="A27:A34"/>
    <x:mergeCell ref="C32:D32"/>
    <x:mergeCell ref="C33:D33"/>
    <x:mergeCell ref="C34:D34"/>
    <x:mergeCell ref="C31:D31"/>
    <x:mergeCell ref="C30:D30"/>
    <x:mergeCell ref="F31:G31"/>
    <x:mergeCell ref="F30:G30"/>
    <x:mergeCell ref="A23:B23"/>
    <x:mergeCell ref="C23:G23"/>
    <x:mergeCell ref="A24:B24"/>
    <x:mergeCell ref="C24:D24"/>
    <x:mergeCell ref="E24:G24"/>
    <x:mergeCell ref="A22:B22"/>
    <x:mergeCell ref="C22:G22"/>
    <x:mergeCell ref="F13:G13"/>
    <x:mergeCell ref="F14:G14"/>
    <x:mergeCell ref="F15:G15"/>
    <x:mergeCell ref="F12:G12"/>
    <x:mergeCell ref="F16:G16"/>
    <x:mergeCell ref="F17:G17"/>
    <x:mergeCell ref="D20:E20"/>
    <x:mergeCell ref="F20:G20"/>
    <x:mergeCell ref="A11:B11"/>
    <x:mergeCell ref="C11:G11"/>
    <x:mergeCell ref="A5:B5"/>
    <x:mergeCell ref="C5:D5"/>
    <x:mergeCell ref="E5:F5"/>
    <x:mergeCell ref="A8:B9"/>
    <x:mergeCell ref="C8:D9"/>
    <x:mergeCell ref="A6:B7"/>
    <x:mergeCell ref="C6:D7"/>
    <x:mergeCell ref="E6:F7"/>
    <x:mergeCell ref="E8:F9"/>
    <x:mergeCell ref="A10:B10"/>
    <x:mergeCell ref="C10:D10"/>
    <x:mergeCell ref="E10:F10"/>
    <x:mergeCell ref="G6:G7"/>
    <x:mergeCell ref="G8:G9"/>
    <x:mergeCell ref="A4:B4"/>
    <x:mergeCell ref="C4:D4"/>
    <x:mergeCell ref="E4:F4"/>
    <x:mergeCell ref="A2:B3"/>
    <x:mergeCell ref="C2:D3"/>
    <x:mergeCell ref="F29:G29"/>
    <x:mergeCell ref="N23:O23"/>
    <x:mergeCell ref="J2:K2"/>
    <x:mergeCell ref="H2:I2"/>
    <x:mergeCell ref="C28:D28"/>
    <x:mergeCell ref="C29:D29"/>
    <x:mergeCell ref="F18:G18"/>
    <x:mergeCell ref="F19:G19"/>
    <x:mergeCell ref="F28:G28"/>
    <x:mergeCell ref="D21:E21"/>
    <x:mergeCell ref="F21:G21"/>
    <x:mergeCell ref="E2:F3"/>
    <x:mergeCell ref="G2:G3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1"/>
  <x:dimension ref="A1:O34"/>
  <x:sheetViews>
    <x:sheetView topLeftCell="A20" zoomScale="85" zoomScaleNormal="85" zoomScaleSheetLayoutView="75" workbookViewId="0">
      <x:selection activeCell="E27" activeCellId="0" sqref="E27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89</x:v>
      </x:c>
      <x:c r="D1" s="68"/>
      <x:c r="E1" s="68">
        <x:v>3</x:v>
      </x:c>
      <x:c r="F1" s="68">
        <x:v>29</x:v>
      </x:c>
      <x:c r="G1" s="68" t="s">
        <x:v>49</x:v>
      </x:c>
      <x:c r="H1" s="52" t="s">
        <x:v>103</x:v>
      </x:c>
      <x:c r="I1" s="52">
        <x:f>F1-K1</x:f>
        <x:v>29</x:v>
      </x:c>
      <x:c r="J1" s="52" t="s">
        <x:v>93</x:v>
      </x:c>
      <x:c r="K1" s="52"/>
    </x:row>
    <x:row r="2" spans="1:11" ht="20.100000000000001" customHeight="1">
      <x:c r="A2" s="267" t="s">
        <x:v>24</x:v>
      </x:c>
      <x:c r="B2" s="268"/>
      <x:c r="C2" s="271">
        <x:f>SUM(C4:D7)</x:f>
        <x:v>6270500</x:v>
      </x:c>
      <x:c r="D2" s="271"/>
      <x:c r="E2" s="274" t="s">
        <x:v>9</x:v>
      </x:c>
      <x:c r="F2" s="275"/>
      <x:c r="G2" s="263">
        <x:v>160750</x:v>
      </x:c>
      <x:c r="H2" s="261" t="s">
        <x:v>60</x:v>
      </x:c>
      <x:c r="I2" s="262"/>
      <x:c r="J2" s="259" t="s">
        <x:v>140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1" ht="30.949999999999999" customHeight="1">
      <x:c r="A4" s="265" t="s">
        <x:v>11</x:v>
      </x:c>
      <x:c r="B4" s="266"/>
      <x:c r="C4" s="258">
        <x:v>5694500</x:v>
      </x:c>
      <x:c r="D4" s="258"/>
      <x:c r="E4" s="273" t="s">
        <x:v>137</x:v>
      </x:c>
      <x:c r="F4" s="273"/>
      <x:c r="G4" s="135">
        <x:f>INT(C4*0.0275)</x:f>
        <x:v>156598</x:v>
      </x:c>
      <x:c r="H4" s="54" t="s">
        <x:v>43</x:v>
      </x:c>
      <x:c r="I4" s="126">
        <x:v>2106785</x:v>
      </x:c>
      <x:c r="J4" s="83" t="s">
        <x:v>18</x:v>
      </x:c>
      <x:c r="K4" s="58"/>
    </x:row>
    <x:row r="5" spans="1:11" ht="30.949999999999999" customHeight="1">
      <x:c r="A5" s="265" t="s">
        <x:v>50</x:v>
      </x:c>
      <x:c r="B5" s="266"/>
      <x:c r="C5" s="258">
        <x:v>576000</x:v>
      </x:c>
      <x:c r="D5" s="258"/>
      <x:c r="E5" s="257" t="s">
        <x:v>146</x:v>
      </x:c>
      <x:c r="F5" s="257"/>
      <x:c r="G5" s="135">
        <x:f>INT(C5*0.01)</x:f>
        <x:v>5760</x:v>
      </x:c>
      <x:c r="H5" s="54" t="s">
        <x:v>60</x:v>
      </x:c>
      <x:c r="I5" s="126">
        <x:v>291492</x:v>
      </x:c>
      <x:c r="J5" s="83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>
        <x:v>360000</x:v>
      </x:c>
      <x:c r="H6" s="54"/>
      <x:c r="I6" s="126"/>
      <x:c r="J6" s="83" t="s">
        <x:v>114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6"/>
      <x:c r="J7" s="83" t="s">
        <x:v>118</x:v>
      </x:c>
      <x:c r="K7" s="58"/>
    </x:row>
    <x:row r="8" spans="1:11" ht="21.949999999999999" customHeight="1">
      <x:c r="A8" s="256" t="s">
        <x:v>108</x:v>
      </x:c>
      <x:c r="B8" s="257"/>
      <x:c r="C8" s="258">
        <x:v>246750</x:v>
      </x:c>
      <x:c r="D8" s="258"/>
      <x:c r="E8" s="284" t="s">
        <x:v>128</x:v>
      </x:c>
      <x:c r="F8" s="285"/>
      <x:c r="G8" s="290">
        <x:f>C5+G2-G6-C22</x:f>
        <x:v>376750</x:v>
      </x:c>
      <x:c r="H8" s="54" t="s">
        <x:v>16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30.949999999999999" customHeight="1">
      <x:c r="A10" s="256" t="s">
        <x:v>129</x:v>
      </x:c>
      <x:c r="B10" s="257"/>
      <x:c r="C10" s="258">
        <x:v>130000</x:v>
      </x:c>
      <x:c r="D10" s="258"/>
      <x:c r="E10" s="257" t="s">
        <x:v>69</x:v>
      </x:c>
      <x:c r="F10" s="257"/>
      <x:c r="G10" s="55"/>
      <x:c r="H10" s="54"/>
      <x:c r="I10" s="126"/>
      <x:c r="J10" s="54" t="s">
        <x:v>4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37</x:v>
      </x:c>
      <x:c r="I11" s="58"/>
      <x:c r="J11" s="54" t="s">
        <x:v>102</x:v>
      </x:c>
      <x:c r="K11" s="137">
        <x:v>14194</x:v>
      </x:c>
    </x:row>
    <x:row r="12" spans="1:13" ht="21.949999999999999" customHeight="1">
      <x:c r="A12" s="59" t="s">
        <x:v>39</x:v>
      </x:c>
      <x:c r="B12" s="294" t="s">
        <x:v>22</x:v>
      </x:c>
      <x:c r="C12" s="81">
        <x:v>33</x:v>
      </x:c>
      <x:c r="D12" s="284" t="s">
        <x:v>100</x:v>
      </x:c>
      <x:c r="E12" s="285"/>
      <x:c r="F12" s="288">
        <x:v>9</x:v>
      </x:c>
      <x:c r="G12" s="289"/>
      <x:c r="H12" s="54" t="s">
        <x:v>80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112</x:v>
      </x:c>
      <x:c r="B13" s="295"/>
      <x:c r="C13" s="136">
        <x:f>SUM('1:29'!$C$12)</x:f>
        <x:v>511</x:v>
      </x:c>
      <x:c r="D13" s="276"/>
      <x:c r="E13" s="277"/>
      <x:c r="F13" s="286">
        <x:f>SUM('1:29'!$F$12)</x:f>
        <x:v>247</x:v>
      </x:c>
      <x:c r="G13" s="287"/>
      <x:c r="H13" s="54" t="s">
        <x:v>131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39</x:v>
      </x:c>
      <x:c r="B14" s="294" t="s">
        <x:v>34</x:v>
      </x:c>
      <x:c r="C14" s="81">
        <x:v>60</x:v>
      </x:c>
      <x:c r="D14" s="284" t="s">
        <x:v>84</x:v>
      </x:c>
      <x:c r="E14" s="285"/>
      <x:c r="F14" s="288">
        <x:v>35</x:v>
      </x:c>
      <x:c r="G14" s="289"/>
      <x:c r="H14" s="54" t="s">
        <x:v>104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112</x:v>
      </x:c>
      <x:c r="B15" s="295"/>
      <x:c r="C15" s="136">
        <x:f>SUM('1:29'!$C$14)</x:f>
        <x:v>1468</x:v>
      </x:c>
      <x:c r="D15" s="276"/>
      <x:c r="E15" s="277"/>
      <x:c r="F15" s="286">
        <x:f>SUM('1:29'!$F$14)</x:f>
        <x:v>608</x:v>
      </x:c>
      <x:c r="G15" s="287"/>
      <x:c r="H15" s="54" t="s">
        <x:v>87</x:v>
      </x:c>
      <x:c r="I15" s="58">
        <x:v>269300</x:v>
      </x:c>
      <x:c r="J15" s="54" t="s">
        <x:v>140</x:v>
      </x:c>
      <x:c r="K15" s="58"/>
      <x:c r="L15" s="60"/>
      <x:c r="M15" s="11"/>
    </x:row>
    <x:row r="16" spans="1:13" ht="21.949999999999999" customHeight="1">
      <x:c r="A16" s="59" t="s">
        <x:v>39</x:v>
      </x:c>
      <x:c r="B16" s="294" t="s">
        <x:v>2</x:v>
      </x:c>
      <x:c r="C16" s="81">
        <x:v>7</x:v>
      </x:c>
      <x:c r="D16" s="284" t="s">
        <x:v>111</x:v>
      </x:c>
      <x:c r="E16" s="285"/>
      <x:c r="F16" s="282">
        <x:v>35</x:v>
      </x:c>
      <x:c r="G16" s="282"/>
      <x:c r="H16" s="54"/>
      <x:c r="I16" s="58"/>
      <x:c r="J16" s="54" t="s">
        <x:v>78</x:v>
      </x:c>
      <x:c r="K16" s="58">
        <x:v>19450</x:v>
      </x:c>
      <x:c r="L16" s="60"/>
      <x:c r="M16" s="11"/>
    </x:row>
    <x:row r="17" spans="1:13" ht="21.949999999999999" customHeight="1">
      <x:c r="A17" s="59" t="s">
        <x:v>112</x:v>
      </x:c>
      <x:c r="B17" s="295"/>
      <x:c r="C17" s="136">
        <x:f>SUM('1:29'!$C$16)</x:f>
        <x:v>203</x:v>
      </x:c>
      <x:c r="D17" s="276"/>
      <x:c r="E17" s="277"/>
      <x:c r="F17" s="283">
        <x:f>SUM('1:29'!$F$16)</x:f>
        <x:v>478</x:v>
      </x:c>
      <x:c r="G17" s="283"/>
      <x:c r="H17" s="54" t="s">
        <x:v>56</x:v>
      </x:c>
      <x:c r="I17" s="58">
        <x:v>6400</x:v>
      </x:c>
      <x:c r="J17" s="54" t="s">
        <x:v>72</x:v>
      </x:c>
      <x:c r="K17" s="58"/>
      <x:c r="L17" s="60"/>
      <x:c r="M17" s="11"/>
    </x:row>
    <x:row r="18" spans="1:13" ht="21.949999999999999" customHeight="1">
      <x:c r="A18" s="59" t="s">
        <x:v>39</x:v>
      </x:c>
      <x:c r="B18" s="294" t="s">
        <x:v>120</x:v>
      </x:c>
      <x:c r="C18" s="81">
        <x:v>64</x:v>
      </x:c>
      <x:c r="D18" s="284" t="s">
        <x:v>122</x:v>
      </x:c>
      <x:c r="E18" s="285"/>
      <x:c r="F18" s="292">
        <x:v>18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112</x:v>
      </x:c>
      <x:c r="B19" s="295"/>
      <x:c r="C19" s="136">
        <x:f>SUM('1:29'!$C$18)</x:f>
        <x:v>1150</x:v>
      </x:c>
      <x:c r="D19" s="276"/>
      <x:c r="E19" s="277"/>
      <x:c r="F19" s="283">
        <x:f>SUM('1:29'!$F$18)</x:f>
        <x:v>411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95</x:v>
      </x:c>
      <x:c r="E20" s="257"/>
      <x:c r="F20" s="282">
        <x:v>72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132</x:v>
      </x:c>
      <x:c r="E21" s="257"/>
      <x:c r="F21" s="283">
        <x:f>SUM('1:29'!$F$20)</x:f>
        <x:v>1874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77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121</x:v>
      </x:c>
      <x:c r="B23" s="257"/>
      <x:c r="C23" s="312"/>
      <x:c r="D23" s="313"/>
      <x:c r="E23" s="313"/>
      <x:c r="F23" s="313"/>
      <x:c r="G23" s="313"/>
      <x:c r="H23" s="109" t="s">
        <x:v>127</x:v>
      </x:c>
      <x:c r="I23" s="110">
        <x:f>SUM(I4:I22)</x:f>
        <x:v>2673977</x:v>
      </x:c>
      <x:c r="J23" s="61" t="s">
        <x:v>99</x:v>
      </x:c>
      <x:c r="K23" s="62">
        <x:f>SUM(K4:K22)</x:f>
        <x:v>33644</x:v>
      </x:c>
      <x:c r="M23" s="90" t="s">
        <x:v>107</x:v>
      </x:c>
      <x:c r="N23" s="279">
        <x:f>C5+C6</x:f>
        <x:v>576000</x:v>
      </x:c>
      <x:c r="O23" s="280"/>
    </x:row>
    <x:row r="24" spans="1:11" ht="34.149999999999999" customHeight="1">
      <x:c r="A24" s="256" t="s">
        <x:v>59</x:v>
      </x:c>
      <x:c r="B24" s="257"/>
      <x:c r="C24" s="257" t="s">
        <x:v>91</x:v>
      </x:c>
      <x:c r="D24" s="257"/>
      <x:c r="E24" s="257" t="s">
        <x:v>135</x:v>
      </x:c>
      <x:c r="F24" s="257"/>
      <x:c r="G24" s="257"/>
      <x:c r="H24" s="109" t="s">
        <x:v>59</x:v>
      </x:c>
      <x:c r="I24" s="111">
        <x:f>I23/A25</x:f>
        <x:v>0.42643760465672592</x:v>
      </x:c>
      <x:c r="J24" s="61" t="s">
        <x:v>59</x:v>
      </x:c>
      <x:c r="K24" s="63">
        <x:f>K23/A25</x:f>
        <x:v>0.0053654413523642449</x:v>
      </x:c>
    </x:row>
    <x:row r="25" spans="1:11" ht="34.149999999999999" customHeight="1">
      <x:c r="A25" s="308">
        <x:f>C2</x:f>
        <x:v>6270500</x:v>
      </x:c>
      <x:c r="B25" s="272"/>
      <x:c r="C25" s="272">
        <x:f>E25/I1</x:f>
        <x:v>4593206.8965517245</x:v>
      </x:c>
      <x:c r="D25" s="272"/>
      <x:c r="E25" s="272">
        <x:f>SUM('1:29'!$A$25)</x:f>
        <x:v>133203000</x:v>
      </x:c>
      <x:c r="F25" s="272"/>
      <x:c r="G25" s="272"/>
      <x:c r="H25" s="109" t="s">
        <x:v>19</x:v>
      </x:c>
      <x:c r="I25" s="110">
        <x:f>SUM('1:29'!$I$21)</x:f>
        <x:v>0</x:v>
      </x:c>
      <x:c r="J25" s="61" t="s">
        <x:v>19</x:v>
      </x:c>
      <x:c r="K25" s="62">
        <x:f>SUM('1:29'!$K$23)</x:f>
        <x:v>4407270</x:v>
      </x:c>
    </x:row>
    <x:row r="26" spans="1:11" ht="34.149999999999999" customHeight="1">
      <x:c r="A26" s="256" t="s">
        <x:v>71</x:v>
      </x:c>
      <x:c r="B26" s="257"/>
      <x:c r="C26" s="257"/>
      <x:c r="D26" s="257"/>
      <x:c r="E26" s="258"/>
      <x:c r="F26" s="258"/>
      <x:c r="G26" s="258"/>
      <x:c r="H26" s="109" t="s">
        <x:v>110</x:v>
      </x:c>
      <x:c r="I26" s="112">
        <x:f>I25/$E$25</x:f>
        <x:v>0</x:v>
      </x:c>
      <x:c r="J26" s="64" t="s">
        <x:v>110</x:v>
      </x:c>
      <x:c r="K26" s="65">
        <x:f>K25/$E$25</x:f>
        <x:v>0.033086867412896105</x:v>
      </x:c>
    </x:row>
    <x:row r="27" spans="1:13" ht="30.949999999999999" customHeight="1">
      <x:c r="A27" s="314" t="s">
        <x:v>68</x:v>
      </x:c>
      <x:c r="B27" s="54" t="s">
        <x:v>44</x:v>
      </x:c>
      <x:c r="C27" s="272">
        <x:f>4000000/31</x:f>
        <x:v>129032.25806451614</x:v>
      </x:c>
      <x:c r="D27" s="272"/>
      <x:c r="E27" s="55" t="s">
        <x:v>52</x:v>
      </x:c>
      <x:c r="F27" s="258"/>
      <x:c r="G27" s="258"/>
      <x:c r="H27" s="113" t="s">
        <x:v>85</x:v>
      </x:c>
      <x:c r="I27" s="114">
        <x:f>SUM(C27:D34,F27:G32)</x:f>
        <x:v>777419.3548387097</x:v>
      </x:c>
      <x:c r="M27" s="66"/>
    </x:row>
    <x:row r="28" spans="1:13" ht="30.949999999999999" customHeight="1">
      <x:c r="A28" s="315"/>
      <x:c r="B28" s="54" t="s">
        <x:v>29</x:v>
      </x:c>
      <x:c r="C28" s="272">
        <x:f>3800000/31</x:f>
        <x:v>122580.64516129032</x:v>
      </x:c>
      <x:c r="D28" s="272"/>
      <x:c r="E28" s="55" t="s">
        <x:v>52</x:v>
      </x:c>
      <x:c r="F28" s="311"/>
      <x:c r="G28" s="311"/>
      <x:c r="H28" s="113" t="s">
        <x:v>59</x:v>
      </x:c>
      <x:c r="I28" s="115">
        <x:f>I27/$A$25</x:f>
        <x:v>0.12398044092794988</x:v>
      </x:c>
      <x:c r="M28" s="66"/>
    </x:row>
    <x:row r="29" spans="1:13" ht="30.949999999999999" customHeight="1">
      <x:c r="A29" s="315"/>
      <x:c r="B29" s="54" t="s">
        <x:v>21</x:v>
      </x:c>
      <x:c r="C29" s="272">
        <x:f>3200000/31</x:f>
        <x:v>103225.80645161291</x:v>
      </x:c>
      <x:c r="D29" s="272"/>
      <x:c r="E29" s="54" t="s">
        <x:v>52</x:v>
      </x:c>
      <x:c r="F29" s="258"/>
      <x:c r="G29" s="258"/>
      <x:c r="H29" s="113" t="s">
        <x:v>19</x:v>
      </x:c>
      <x:c r="I29" s="114">
        <x:f>SUM('1:29'!$I$27)</x:f>
        <x:v>21976511.290322587</x:v>
      </x:c>
      <x:c r="M29" s="66"/>
    </x:row>
    <x:row r="30" spans="1:13" ht="30.949999999999999" customHeight="1">
      <x:c r="A30" s="315"/>
      <x:c r="B30" s="54" t="s">
        <x:v>41</x:v>
      </x:c>
      <x:c r="C30" s="272">
        <x:f>3400000/31</x:f>
        <x:v>109677.41935483871</x:v>
      </x:c>
      <x:c r="D30" s="272"/>
      <x:c r="E30" s="55"/>
      <x:c r="F30" s="306"/>
      <x:c r="G30" s="307"/>
      <x:c r="H30" s="113" t="s">
        <x:v>110</x:v>
      </x:c>
      <x:c r="I30" s="115">
        <x:f>I29/$I$27</x:f>
        <x:v>28.268541493775942</x:v>
      </x:c>
      <x:c r="M30" s="66"/>
    </x:row>
    <x:row r="31" spans="1:7" customHeight="1">
      <x:c r="A31" s="315"/>
      <x:c r="B31" s="54" t="s">
        <x:v>12</x:v>
      </x:c>
      <x:c r="C31" s="309">
        <x:f>3500000/31</x:f>
        <x:v>112903.22580645161</x:v>
      </x:c>
      <x:c r="D31" s="310"/>
      <x:c r="E31" s="55" t="s">
        <x:v>62</x:v>
      </x:c>
      <x:c r="F31" s="306">
        <x:v>130000</x:v>
      </x:c>
      <x:c r="G31" s="307"/>
    </x:row>
    <x:row r="32" spans="1:7" customHeight="1">
      <x:c r="A32" s="315"/>
      <x:c r="B32" s="355" t="s">
        <x:v>40</x:v>
      </x:c>
      <x:c r="C32" s="304">
        <x:v>70000</x:v>
      </x:c>
      <x:c r="D32" s="305"/>
      <x:c r="E32" s="55" t="s">
        <x:v>1</x:v>
      </x:c>
      <x:c r="F32" s="306"/>
      <x:c r="G32" s="307"/>
    </x:row>
    <x:row r="33" spans="1:4" customHeight="1">
      <x:c r="A33" s="315"/>
      <x:c r="B33" s="355" t="s">
        <x:v>149</x:v>
      </x:c>
      <x:c r="C33" s="304"/>
      <x:c r="D33" s="305"/>
    </x:row>
    <x:row r="34" spans="1:4" customHeight="1">
      <x:c r="A34" s="316"/>
      <x:c r="B34" s="54"/>
      <x:c r="C34" s="306"/>
      <x:c r="D34" s="307"/>
    </x:row>
  </x:sheetData>
  <x:mergeCells count="74"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F32:G32"/>
    <x:mergeCell ref="A25:B25"/>
    <x:mergeCell ref="C25:D25"/>
    <x:mergeCell ref="E25:G25"/>
    <x:mergeCell ref="A26:B26"/>
    <x:mergeCell ref="C26:D26"/>
    <x:mergeCell ref="E26:G26"/>
    <x:mergeCell ref="A23:B23"/>
    <x:mergeCell ref="C23:G23"/>
    <x:mergeCell ref="N23:O23"/>
    <x:mergeCell ref="A24:B24"/>
    <x:mergeCell ref="C24:D24"/>
    <x:mergeCell ref="E24:G24"/>
    <x:mergeCell ref="D20:E20"/>
    <x:mergeCell ref="F20:G20"/>
    <x:mergeCell ref="D21:E21"/>
    <x:mergeCell ref="F21:G21"/>
    <x:mergeCell ref="A22:B22"/>
    <x:mergeCell ref="C22:G22"/>
    <x:mergeCell ref="F16:G16"/>
    <x:mergeCell ref="F17:G17"/>
    <x:mergeCell ref="F18:G18"/>
    <x:mergeCell ref="F19:G19"/>
    <x:mergeCell ref="F14:G14"/>
    <x:mergeCell ref="F15:G15"/>
    <x:mergeCell ref="F12:G12"/>
    <x:mergeCell ref="F13:G1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J2:K2"/>
    <x:mergeCell ref="A2:B3"/>
    <x:mergeCell ref="C2:D3"/>
    <x:mergeCell ref="E2:F3"/>
    <x:mergeCell ref="G2:G3"/>
    <x:mergeCell ref="H2:I2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2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2"/>
  <x:dimension ref="A1:O34"/>
  <x:sheetViews>
    <x:sheetView topLeftCell="A17" zoomScale="85" zoomScaleNormal="85" zoomScaleSheetLayoutView="75" workbookViewId="0">
      <x:selection activeCell="E27" activeCellId="0" sqref="E27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89</x:v>
      </x:c>
      <x:c r="D1" s="68"/>
      <x:c r="E1" s="68">
        <x:v>3</x:v>
      </x:c>
      <x:c r="F1" s="68">
        <x:v>30</x:v>
      </x:c>
      <x:c r="G1" s="68" t="s">
        <x:v>33</x:v>
      </x:c>
      <x:c r="H1" s="52" t="s">
        <x:v>103</x:v>
      </x:c>
      <x:c r="I1" s="52">
        <x:f>F1-K1</x:f>
        <x:v>30</x:v>
      </x:c>
      <x:c r="J1" s="52" t="s">
        <x:v>93</x:v>
      </x:c>
      <x:c r="K1" s="52"/>
    </x:row>
    <x:row r="2" spans="1:11" ht="20.100000000000001" customHeight="1">
      <x:c r="A2" s="267" t="s">
        <x:v>24</x:v>
      </x:c>
      <x:c r="B2" s="268"/>
      <x:c r="C2" s="271">
        <x:f>SUM(C4:D7)</x:f>
        <x:v>5314000</x:v>
      </x:c>
      <x:c r="D2" s="271"/>
      <x:c r="E2" s="274" t="s">
        <x:v>9</x:v>
      </x:c>
      <x:c r="F2" s="275"/>
      <x:c r="G2" s="263">
        <x:v>246750</x:v>
      </x:c>
      <x:c r="H2" s="261" t="s">
        <x:v>60</x:v>
      </x:c>
      <x:c r="I2" s="262"/>
      <x:c r="J2" s="259" t="s">
        <x:v>140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1" ht="30.949999999999999" customHeight="1">
      <x:c r="A4" s="265" t="s">
        <x:v>11</x:v>
      </x:c>
      <x:c r="B4" s="266"/>
      <x:c r="C4" s="258">
        <x:v>4321000</x:v>
      </x:c>
      <x:c r="D4" s="258"/>
      <x:c r="E4" s="273" t="s">
        <x:v>137</x:v>
      </x:c>
      <x:c r="F4" s="273"/>
      <x:c r="G4" s="135">
        <x:f>INT(C4*0.0275)</x:f>
        <x:v>118827</x:v>
      </x:c>
      <x:c r="H4" s="54" t="s">
        <x:v>43</x:v>
      </x:c>
      <x:c r="I4" s="126"/>
      <x:c r="J4" s="83" t="s">
        <x:v>18</x:v>
      </x:c>
      <x:c r="K4" s="58"/>
    </x:row>
    <x:row r="5" spans="1:11" ht="30.949999999999999" customHeight="1">
      <x:c r="A5" s="265" t="s">
        <x:v>50</x:v>
      </x:c>
      <x:c r="B5" s="266"/>
      <x:c r="C5" s="258">
        <x:v>993000</x:v>
      </x:c>
      <x:c r="D5" s="258"/>
      <x:c r="E5" s="257" t="s">
        <x:v>146</x:v>
      </x:c>
      <x:c r="F5" s="257"/>
      <x:c r="G5" s="135">
        <x:f>INT(C5*0.01)</x:f>
        <x:v>9930</x:v>
      </x:c>
      <x:c r="H5" s="54" t="s">
        <x:v>60</x:v>
      </x:c>
      <x:c r="I5" s="126"/>
      <x:c r="J5" s="83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>
        <x:v>1020000</x:v>
      </x:c>
      <x:c r="H6" s="54"/>
      <x:c r="I6" s="126"/>
      <x:c r="J6" s="83" t="s">
        <x:v>114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6"/>
      <x:c r="J7" s="83" t="s">
        <x:v>118</x:v>
      </x:c>
      <x:c r="K7" s="58"/>
    </x:row>
    <x:row r="8" spans="1:11" ht="21.949999999999999" customHeight="1">
      <x:c r="A8" s="256" t="s">
        <x:v>108</x:v>
      </x:c>
      <x:c r="B8" s="257"/>
      <x:c r="C8" s="258">
        <x:v>219750</x:v>
      </x:c>
      <x:c r="D8" s="258"/>
      <x:c r="E8" s="284" t="s">
        <x:v>128</x:v>
      </x:c>
      <x:c r="F8" s="285"/>
      <x:c r="G8" s="290">
        <x:f>C5+G2-G6-C22</x:f>
        <x:v>219750</x:v>
      </x:c>
      <x:c r="H8" s="54" t="s">
        <x:v>16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30.949999999999999" customHeight="1">
      <x:c r="A10" s="256" t="s">
        <x:v>129</x:v>
      </x:c>
      <x:c r="B10" s="257"/>
      <x:c r="C10" s="258"/>
      <x:c r="D10" s="258"/>
      <x:c r="E10" s="257" t="s">
        <x:v>69</x:v>
      </x:c>
      <x:c r="F10" s="257"/>
      <x:c r="G10" s="55"/>
      <x:c r="H10" s="54"/>
      <x:c r="I10" s="126"/>
      <x:c r="J10" s="54" t="s">
        <x:v>4</x:v>
      </x:c>
      <x:c r="K10" s="58"/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37</x:v>
      </x:c>
      <x:c r="I11" s="58"/>
      <x:c r="J11" s="54" t="s">
        <x:v>102</x:v>
      </x:c>
      <x:c r="K11" s="137">
        <x:v>14194</x:v>
      </x:c>
    </x:row>
    <x:row r="12" spans="1:13" ht="21.949999999999999" customHeight="1">
      <x:c r="A12" s="59" t="s">
        <x:v>39</x:v>
      </x:c>
      <x:c r="B12" s="294" t="s">
        <x:v>22</x:v>
      </x:c>
      <x:c r="C12" s="81">
        <x:v>29</x:v>
      </x:c>
      <x:c r="D12" s="284" t="s">
        <x:v>100</x:v>
      </x:c>
      <x:c r="E12" s="285"/>
      <x:c r="F12" s="288">
        <x:v>22</x:v>
      </x:c>
      <x:c r="G12" s="289"/>
      <x:c r="H12" s="54" t="s">
        <x:v>80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112</x:v>
      </x:c>
      <x:c r="B13" s="295"/>
      <x:c r="C13" s="136">
        <x:f>SUM('1:30'!$C$12)</x:f>
        <x:v>540</x:v>
      </x:c>
      <x:c r="D13" s="276"/>
      <x:c r="E13" s="277"/>
      <x:c r="F13" s="286">
        <x:f>SUM('1:30'!$F$12)</x:f>
        <x:v>269</x:v>
      </x:c>
      <x:c r="G13" s="287"/>
      <x:c r="H13" s="54" t="s">
        <x:v>131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39</x:v>
      </x:c>
      <x:c r="B14" s="294" t="s">
        <x:v>34</x:v>
      </x:c>
      <x:c r="C14" s="81">
        <x:v>53</x:v>
      </x:c>
      <x:c r="D14" s="284" t="s">
        <x:v>84</x:v>
      </x:c>
      <x:c r="E14" s="285"/>
      <x:c r="F14" s="288">
        <x:v>19</x:v>
      </x:c>
      <x:c r="G14" s="289"/>
      <x:c r="H14" s="54" t="s">
        <x:v>104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112</x:v>
      </x:c>
      <x:c r="B15" s="295"/>
      <x:c r="C15" s="136">
        <x:f>SUM('1:30'!$C$14)</x:f>
        <x:v>1521</x:v>
      </x:c>
      <x:c r="D15" s="276"/>
      <x:c r="E15" s="277"/>
      <x:c r="F15" s="286">
        <x:f>SUM('1:30'!$F$14)</x:f>
        <x:v>627</x:v>
      </x:c>
      <x:c r="G15" s="287"/>
      <x:c r="H15" s="54" t="s">
        <x:v>87</x:v>
      </x:c>
      <x:c r="I15" s="58"/>
      <x:c r="J15" s="54" t="s">
        <x:v>140</x:v>
      </x:c>
      <x:c r="K15" s="58"/>
      <x:c r="L15" s="60"/>
      <x:c r="M15" s="11"/>
    </x:row>
    <x:row r="16" spans="1:13" ht="21.949999999999999" customHeight="1">
      <x:c r="A16" s="59" t="s">
        <x:v>39</x:v>
      </x:c>
      <x:c r="B16" s="294" t="s">
        <x:v>2</x:v>
      </x:c>
      <x:c r="C16" s="81">
        <x:v>0</x:v>
      </x:c>
      <x:c r="D16" s="284" t="s">
        <x:v>111</x:v>
      </x:c>
      <x:c r="E16" s="285"/>
      <x:c r="F16" s="282">
        <x:v>29</x:v>
      </x:c>
      <x:c r="G16" s="282"/>
      <x:c r="H16" s="54"/>
      <x:c r="I16" s="58"/>
      <x:c r="J16" s="54" t="s">
        <x:v>78</x:v>
      </x:c>
      <x:c r="K16" s="58"/>
      <x:c r="L16" s="60"/>
      <x:c r="M16" s="11"/>
    </x:row>
    <x:row r="17" spans="1:13" ht="21.949999999999999" customHeight="1">
      <x:c r="A17" s="59" t="s">
        <x:v>112</x:v>
      </x:c>
      <x:c r="B17" s="295"/>
      <x:c r="C17" s="136">
        <x:f>SUM('1:30'!$C$16)</x:f>
        <x:v>203</x:v>
      </x:c>
      <x:c r="D17" s="276"/>
      <x:c r="E17" s="277"/>
      <x:c r="F17" s="283">
        <x:f>SUM('1:30'!$F$16)</x:f>
        <x:v>507</x:v>
      </x:c>
      <x:c r="G17" s="283"/>
      <x:c r="H17" s="54" t="s">
        <x:v>56</x:v>
      </x:c>
      <x:c r="I17" s="58"/>
      <x:c r="J17" s="54" t="s">
        <x:v>72</x:v>
      </x:c>
      <x:c r="K17" s="58"/>
      <x:c r="L17" s="60"/>
      <x:c r="M17" s="11"/>
    </x:row>
    <x:row r="18" spans="1:13" ht="21.949999999999999" customHeight="1">
      <x:c r="A18" s="59" t="s">
        <x:v>39</x:v>
      </x:c>
      <x:c r="B18" s="294" t="s">
        <x:v>120</x:v>
      </x:c>
      <x:c r="C18" s="81">
        <x:v>42</x:v>
      </x:c>
      <x:c r="D18" s="284" t="s">
        <x:v>122</x:v>
      </x:c>
      <x:c r="E18" s="285"/>
      <x:c r="F18" s="292">
        <x:v>22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112</x:v>
      </x:c>
      <x:c r="B19" s="295"/>
      <x:c r="C19" s="136">
        <x:f>SUM('1:30'!$C$18)</x:f>
        <x:v>1192</x:v>
      </x:c>
      <x:c r="D19" s="276"/>
      <x:c r="E19" s="277"/>
      <x:c r="F19" s="283">
        <x:f>SUM('1:30'!$F$18)</x:f>
        <x:v>433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95</x:v>
      </x:c>
      <x:c r="E20" s="257"/>
      <x:c r="F20" s="282">
        <x:v>71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132</x:v>
      </x:c>
      <x:c r="E21" s="257"/>
      <x:c r="F21" s="283">
        <x:f>SUM('1:30'!$F$20)</x:f>
        <x:v>1945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77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121</x:v>
      </x:c>
      <x:c r="B23" s="257"/>
      <x:c r="C23" s="312"/>
      <x:c r="D23" s="313"/>
      <x:c r="E23" s="313"/>
      <x:c r="F23" s="313"/>
      <x:c r="G23" s="313"/>
      <x:c r="H23" s="109" t="s">
        <x:v>127</x:v>
      </x:c>
      <x:c r="I23" s="110">
        <x:f>SUM(I4:I22)</x:f>
        <x:v>0</x:v>
      </x:c>
      <x:c r="J23" s="61" t="s">
        <x:v>99</x:v>
      </x:c>
      <x:c r="K23" s="62">
        <x:f>SUM(K4:K22)</x:f>
        <x:v>14194</x:v>
      </x:c>
      <x:c r="M23" s="90" t="s">
        <x:v>107</x:v>
      </x:c>
      <x:c r="N23" s="279">
        <x:f>C5+C6</x:f>
        <x:v>993000</x:v>
      </x:c>
      <x:c r="O23" s="280"/>
    </x:row>
    <x:row r="24" spans="1:11" ht="34.149999999999999" customHeight="1">
      <x:c r="A24" s="256" t="s">
        <x:v>59</x:v>
      </x:c>
      <x:c r="B24" s="257"/>
      <x:c r="C24" s="257" t="s">
        <x:v>91</x:v>
      </x:c>
      <x:c r="D24" s="257"/>
      <x:c r="E24" s="257" t="s">
        <x:v>135</x:v>
      </x:c>
      <x:c r="F24" s="257"/>
      <x:c r="G24" s="257"/>
      <x:c r="H24" s="109" t="s">
        <x:v>59</x:v>
      </x:c>
      <x:c r="I24" s="111">
        <x:f>I23/A25</x:f>
        <x:v>0</x:v>
      </x:c>
      <x:c r="J24" s="61" t="s">
        <x:v>59</x:v>
      </x:c>
      <x:c r="K24" s="63">
        <x:f>K23/A25</x:f>
        <x:v>0.0026710575837410612</x:v>
      </x:c>
    </x:row>
    <x:row r="25" spans="1:11" ht="34.149999999999999" customHeight="1">
      <x:c r="A25" s="308">
        <x:f>C2</x:f>
        <x:v>5314000</x:v>
      </x:c>
      <x:c r="B25" s="272"/>
      <x:c r="C25" s="272">
        <x:f>E25/I1</x:f>
        <x:v>4617233.333333333</x:v>
      </x:c>
      <x:c r="D25" s="272"/>
      <x:c r="E25" s="272">
        <x:f>SUM('1:30'!$A$25)</x:f>
        <x:v>138517000</x:v>
      </x:c>
      <x:c r="F25" s="272"/>
      <x:c r="G25" s="272"/>
      <x:c r="H25" s="109" t="s">
        <x:v>19</x:v>
      </x:c>
      <x:c r="I25" s="110">
        <x:f>SUM('1:30'!$I$23)</x:f>
        <x:v>49046834</x:v>
      </x:c>
      <x:c r="J25" s="61" t="s">
        <x:v>19</x:v>
      </x:c>
      <x:c r="K25" s="62">
        <x:f>SUM('1:30'!$K$23)</x:f>
        <x:v>4421464</x:v>
      </x:c>
    </x:row>
    <x:row r="26" spans="1:11" ht="34.149999999999999" customHeight="1">
      <x:c r="A26" s="256" t="s">
        <x:v>71</x:v>
      </x:c>
      <x:c r="B26" s="257"/>
      <x:c r="C26" s="257"/>
      <x:c r="D26" s="257"/>
      <x:c r="E26" s="258"/>
      <x:c r="F26" s="258"/>
      <x:c r="G26" s="258"/>
      <x:c r="H26" s="109" t="s">
        <x:v>110</x:v>
      </x:c>
      <x:c r="I26" s="112">
        <x:f>I25/$E$25</x:f>
        <x:v>0.3540853036089433</x:v>
      </x:c>
      <x:c r="J26" s="64" t="s">
        <x:v>110</x:v>
      </x:c>
      <x:c r="K26" s="65">
        <x:f>K25/$E$25</x:f>
        <x:v>0.031920009818289449</x:v>
      </x:c>
    </x:row>
    <x:row r="27" spans="1:13" ht="30.949999999999999" customHeight="1">
      <x:c r="A27" s="314" t="s">
        <x:v>68</x:v>
      </x:c>
      <x:c r="B27" s="54" t="s">
        <x:v>44</x:v>
      </x:c>
      <x:c r="C27" s="272">
        <x:f>4000000/31</x:f>
        <x:v>129032.25806451614</x:v>
      </x:c>
      <x:c r="D27" s="272"/>
      <x:c r="E27" s="55" t="s">
        <x:v>52</x:v>
      </x:c>
      <x:c r="F27" s="258"/>
      <x:c r="G27" s="258"/>
      <x:c r="H27" s="113" t="s">
        <x:v>85</x:v>
      </x:c>
      <x:c r="I27" s="114">
        <x:f>SUM(C27:D34,F27:G32)</x:f>
        <x:v>777419.3548387097</x:v>
      </x:c>
      <x:c r="M27" s="66"/>
    </x:row>
    <x:row r="28" spans="1:13" ht="30.949999999999999" customHeight="1">
      <x:c r="A28" s="315"/>
      <x:c r="B28" s="54" t="s">
        <x:v>29</x:v>
      </x:c>
      <x:c r="C28" s="272">
        <x:f>3800000/31</x:f>
        <x:v>122580.64516129032</x:v>
      </x:c>
      <x:c r="D28" s="272"/>
      <x:c r="E28" s="55" t="s">
        <x:v>52</x:v>
      </x:c>
      <x:c r="F28" s="311"/>
      <x:c r="G28" s="311"/>
      <x:c r="H28" s="113" t="s">
        <x:v>59</x:v>
      </x:c>
      <x:c r="I28" s="115">
        <x:f>I27/$A$25</x:f>
        <x:v>0.14629645367683661</x:v>
      </x:c>
      <x:c r="M28" s="66"/>
    </x:row>
    <x:row r="29" spans="1:13" ht="30.949999999999999" customHeight="1">
      <x:c r="A29" s="315"/>
      <x:c r="B29" s="54" t="s">
        <x:v>21</x:v>
      </x:c>
      <x:c r="C29" s="272">
        <x:f>3200000/31</x:f>
        <x:v>103225.80645161291</x:v>
      </x:c>
      <x:c r="D29" s="272"/>
      <x:c r="E29" s="54" t="s">
        <x:v>52</x:v>
      </x:c>
      <x:c r="F29" s="258"/>
      <x:c r="G29" s="258"/>
      <x:c r="H29" s="113" t="s">
        <x:v>19</x:v>
      </x:c>
      <x:c r="I29" s="114">
        <x:f>SUM('1:30'!$I$27)</x:f>
        <x:v>22753930.645161297</x:v>
      </x:c>
      <x:c r="M29" s="66"/>
    </x:row>
    <x:row r="30" spans="1:13" ht="30.949999999999999" customHeight="1">
      <x:c r="A30" s="315"/>
      <x:c r="B30" s="54" t="s">
        <x:v>41</x:v>
      </x:c>
      <x:c r="C30" s="272">
        <x:f>3400000/31</x:f>
        <x:v>109677.41935483871</x:v>
      </x:c>
      <x:c r="D30" s="272"/>
      <x:c r="E30" s="55" t="s">
        <x:v>1</x:v>
      </x:c>
      <x:c r="F30" s="306"/>
      <x:c r="G30" s="307"/>
      <x:c r="H30" s="113" t="s">
        <x:v>110</x:v>
      </x:c>
      <x:c r="I30" s="115">
        <x:f>I29/$I$27</x:f>
        <x:v>29.268541493775942</x:v>
      </x:c>
      <x:c r="M30" s="66"/>
    </x:row>
    <x:row r="31" spans="1:7" customHeight="1">
      <x:c r="A31" s="315"/>
      <x:c r="B31" s="54" t="s">
        <x:v>12</x:v>
      </x:c>
      <x:c r="C31" s="309">
        <x:f>3500000/31</x:f>
        <x:v>112903.22580645161</x:v>
      </x:c>
      <x:c r="D31" s="310"/>
      <x:c r="E31" s="55" t="s">
        <x:v>62</x:v>
      </x:c>
      <x:c r="F31" s="306">
        <x:v>130000</x:v>
      </x:c>
      <x:c r="G31" s="307"/>
    </x:row>
    <x:row r="32" spans="1:7" customHeight="1">
      <x:c r="A32" s="315"/>
      <x:c r="B32" s="355" t="s">
        <x:v>40</x:v>
      </x:c>
      <x:c r="C32" s="304">
        <x:v>70000</x:v>
      </x:c>
      <x:c r="D32" s="305"/>
      <x:c r="E32" s="55" t="s">
        <x:v>1</x:v>
      </x:c>
      <x:c r="F32" s="306"/>
      <x:c r="G32" s="307"/>
    </x:row>
    <x:row r="33" spans="1:4" customHeight="1">
      <x:c r="A33" s="315"/>
      <x:c r="B33" s="355" t="s">
        <x:v>149</x:v>
      </x:c>
      <x:c r="C33" s="304"/>
      <x:c r="D33" s="305"/>
    </x:row>
    <x:row r="34" spans="1:4" customHeight="1">
      <x:c r="A34" s="316"/>
      <x:c r="B34" s="54"/>
      <x:c r="C34" s="306"/>
      <x:c r="D34" s="307"/>
    </x:row>
  </x:sheetData>
  <x:mergeCells count="74"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C32:D32"/>
    <x:mergeCell ref="C33:D33"/>
    <x:mergeCell ref="F32:G32"/>
    <x:mergeCell ref="A25:B25"/>
    <x:mergeCell ref="C25:D25"/>
    <x:mergeCell ref="E25:G25"/>
    <x:mergeCell ref="A26:B26"/>
    <x:mergeCell ref="C26:D26"/>
    <x:mergeCell ref="E26:G26"/>
    <x:mergeCell ref="A23:B23"/>
    <x:mergeCell ref="C23:G23"/>
    <x:mergeCell ref="N23:O23"/>
    <x:mergeCell ref="A24:B24"/>
    <x:mergeCell ref="C24:D24"/>
    <x:mergeCell ref="E24:G24"/>
    <x:mergeCell ref="D20:E20"/>
    <x:mergeCell ref="F20:G20"/>
    <x:mergeCell ref="D21:E21"/>
    <x:mergeCell ref="F21:G21"/>
    <x:mergeCell ref="A22:B22"/>
    <x:mergeCell ref="C22:G22"/>
    <x:mergeCell ref="F16:G16"/>
    <x:mergeCell ref="F17:G17"/>
    <x:mergeCell ref="F18:G18"/>
    <x:mergeCell ref="F19:G19"/>
    <x:mergeCell ref="F14:G14"/>
    <x:mergeCell ref="F15:G15"/>
    <x:mergeCell ref="F12:G12"/>
    <x:mergeCell ref="F13:G13"/>
    <x:mergeCell ref="A4:B4"/>
    <x:mergeCell ref="C4:D4"/>
    <x:mergeCell ref="E4:F4"/>
    <x:mergeCell ref="A5:B5"/>
    <x:mergeCell ref="C5:D5"/>
    <x:mergeCell ref="E5:F5"/>
    <x:mergeCell ref="A6:B7"/>
    <x:mergeCell ref="C6:D7"/>
    <x:mergeCell ref="E6:F7"/>
    <x:mergeCell ref="C11:G11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J2:K2"/>
    <x:mergeCell ref="A2:B3"/>
    <x:mergeCell ref="C2:D3"/>
    <x:mergeCell ref="E2:F3"/>
    <x:mergeCell ref="G2:G3"/>
    <x:mergeCell ref="H2:I2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3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3"/>
  <x:dimension ref="A1:O34"/>
  <x:sheetViews>
    <x:sheetView topLeftCell="A13" zoomScale="85" zoomScaleNormal="85" zoomScaleSheetLayoutView="75" workbookViewId="0">
      <x:selection activeCell="E27" activeCellId="0" sqref="E27:E29"/>
    </x:sheetView>
  </x:sheetViews>
  <x:sheetFormatPr defaultColWidth="8.625" defaultRowHeight="30" customHeight="1"/>
  <x:cols>
    <x:col min="1" max="1" width="8.625" style="53" customWidth="1"/>
    <x:col min="2" max="2" width="12.625" style="53" customWidth="1"/>
    <x:col min="3" max="3" width="12.625" style="53" bestFit="1" customWidth="1"/>
    <x:col min="4" max="4" width="3.625" style="53" customWidth="1"/>
    <x:col min="5" max="5" width="11.25" style="53" customWidth="1"/>
    <x:col min="6" max="6" width="4.875" style="53" customWidth="1"/>
    <x:col min="7" max="7" width="12.75" style="53" customWidth="1"/>
    <x:col min="8" max="8" width="13" style="52" customWidth="1"/>
    <x:col min="9" max="11" width="13" style="53" customWidth="1"/>
    <x:col min="12" max="12" width="8.625" style="53"/>
    <x:col min="13" max="13" width="12.625" style="53" bestFit="1" customWidth="1"/>
    <x:col min="14" max="16384" width="8.625" style="53"/>
  </x:cols>
  <x:sheetData>
    <x:row r="1" spans="1:11" customHeight="1">
      <x:c r="A1" s="51"/>
      <x:c r="B1" s="51"/>
      <x:c r="C1" s="68" t="s">
        <x:v>89</x:v>
      </x:c>
      <x:c r="D1" s="68"/>
      <x:c r="E1" s="68">
        <x:v>3</x:v>
      </x:c>
      <x:c r="F1" s="68">
        <x:v>31</x:v>
      </x:c>
      <x:c r="G1" s="68" t="s">
        <x:v>3</x:v>
      </x:c>
      <x:c r="H1" s="52" t="s">
        <x:v>103</x:v>
      </x:c>
      <x:c r="I1" s="52">
        <x:f>F1-K1</x:f>
        <x:v>31</x:v>
      </x:c>
      <x:c r="J1" s="52" t="s">
        <x:v>93</x:v>
      </x:c>
      <x:c r="K1" s="52"/>
    </x:row>
    <x:row r="2" spans="1:11" ht="20.100000000000001" customHeight="1">
      <x:c r="A2" s="267" t="s">
        <x:v>24</x:v>
      </x:c>
      <x:c r="B2" s="268"/>
      <x:c r="C2" s="271">
        <x:f>SUM(C4:D7)</x:f>
        <x:v>4081500</x:v>
      </x:c>
      <x:c r="D2" s="271"/>
      <x:c r="E2" s="274" t="s">
        <x:v>9</x:v>
      </x:c>
      <x:c r="F2" s="275"/>
      <x:c r="G2" s="263">
        <x:v>219750</x:v>
      </x:c>
      <x:c r="H2" s="261" t="s">
        <x:v>60</x:v>
      </x:c>
      <x:c r="I2" s="262"/>
      <x:c r="J2" s="259" t="s">
        <x:v>140</x:v>
      </x:c>
      <x:c r="K2" s="260"/>
    </x:row>
    <x:row r="3" spans="1:11" ht="20.100000000000001" customHeight="1">
      <x:c r="A3" s="269"/>
      <x:c r="B3" s="270"/>
      <x:c r="C3" s="272"/>
      <x:c r="D3" s="272"/>
      <x:c r="E3" s="276"/>
      <x:c r="F3" s="277"/>
      <x:c r="G3" s="264"/>
      <x:c r="H3" s="54" t="s">
        <x:v>30</x:v>
      </x:c>
      <x:c r="I3" s="56" t="s">
        <x:v>7</x:v>
      </x:c>
      <x:c r="J3" s="57" t="s">
        <x:v>30</x:v>
      </x:c>
      <x:c r="K3" s="56" t="s">
        <x:v>7</x:v>
      </x:c>
    </x:row>
    <x:row r="4" spans="1:11" ht="30.949999999999999" customHeight="1">
      <x:c r="A4" s="265" t="s">
        <x:v>11</x:v>
      </x:c>
      <x:c r="B4" s="266"/>
      <x:c r="C4" s="258">
        <x:v>3223500</x:v>
      </x:c>
      <x:c r="D4" s="258"/>
      <x:c r="E4" s="273" t="s">
        <x:v>137</x:v>
      </x:c>
      <x:c r="F4" s="273"/>
      <x:c r="G4" s="135">
        <x:f>INT(C4*0.0275)</x:f>
        <x:v>88646</x:v>
      </x:c>
      <x:c r="H4" s="54" t="s">
        <x:v>43</x:v>
      </x:c>
      <x:c r="I4" s="126">
        <x:v>1256033</x:v>
      </x:c>
      <x:c r="J4" s="83" t="s">
        <x:v>18</x:v>
      </x:c>
      <x:c r="K4" s="58"/>
    </x:row>
    <x:row r="5" spans="1:11" ht="30.949999999999999" customHeight="1">
      <x:c r="A5" s="265" t="s">
        <x:v>50</x:v>
      </x:c>
      <x:c r="B5" s="266"/>
      <x:c r="C5" s="258">
        <x:v>858000</x:v>
      </x:c>
      <x:c r="D5" s="258"/>
      <x:c r="E5" s="257" t="s">
        <x:v>146</x:v>
      </x:c>
      <x:c r="F5" s="257"/>
      <x:c r="G5" s="135">
        <x:f>INT(C5*0.01)</x:f>
        <x:v>8580</x:v>
      </x:c>
      <x:c r="H5" s="54" t="s">
        <x:v>60</x:v>
      </x:c>
      <x:c r="I5" s="126"/>
      <x:c r="J5" s="83"/>
      <x:c r="K5" s="58"/>
    </x:row>
    <x:row r="6" spans="1:11" ht="21.949999999999999" customHeight="1">
      <x:c r="A6" s="252" t="s">
        <x:v>83</x:v>
      </x:c>
      <x:c r="B6" s="253"/>
      <x:c r="C6" s="297"/>
      <x:c r="D6" s="298"/>
      <x:c r="E6" s="284" t="s">
        <x:v>75</x:v>
      </x:c>
      <x:c r="F6" s="285"/>
      <x:c r="G6" s="278">
        <x:v>870000</x:v>
      </x:c>
      <x:c r="H6" s="54"/>
      <x:c r="I6" s="126"/>
      <x:c r="J6" s="83" t="s">
        <x:v>114</x:v>
      </x:c>
      <x:c r="K6" s="58"/>
    </x:row>
    <x:row r="7" spans="1:11" ht="21.949999999999999" customHeight="1">
      <x:c r="A7" s="254"/>
      <x:c r="B7" s="255"/>
      <x:c r="C7" s="299"/>
      <x:c r="D7" s="300"/>
      <x:c r="E7" s="276"/>
      <x:c r="F7" s="277"/>
      <x:c r="G7" s="264"/>
      <x:c r="H7" s="54" t="s">
        <x:v>35</x:v>
      </x:c>
      <x:c r="I7" s="126"/>
      <x:c r="J7" s="83" t="s">
        <x:v>118</x:v>
      </x:c>
      <x:c r="K7" s="58"/>
    </x:row>
    <x:row r="8" spans="1:11" ht="21.949999999999999" customHeight="1">
      <x:c r="A8" s="256" t="s">
        <x:v>108</x:v>
      </x:c>
      <x:c r="B8" s="257"/>
      <x:c r="C8" s="258">
        <x:v>207750</x:v>
      </x:c>
      <x:c r="D8" s="258"/>
      <x:c r="E8" s="284" t="s">
        <x:v>128</x:v>
      </x:c>
      <x:c r="F8" s="285"/>
      <x:c r="G8" s="290">
        <x:f>C5+G2-G6-C22</x:f>
        <x:v>207750</x:v>
      </x:c>
      <x:c r="H8" s="54" t="s">
        <x:v>16</x:v>
      </x:c>
      <x:c r="I8" s="126"/>
      <x:c r="J8" s="83"/>
      <x:c r="K8" s="58"/>
    </x:row>
    <x:row r="9" spans="1:11" ht="21.949999999999999" customHeight="1">
      <x:c r="A9" s="256"/>
      <x:c r="B9" s="257"/>
      <x:c r="C9" s="258"/>
      <x:c r="D9" s="258"/>
      <x:c r="E9" s="276"/>
      <x:c r="F9" s="277"/>
      <x:c r="G9" s="291"/>
      <x:c r="H9" s="54"/>
      <x:c r="I9" s="126"/>
      <x:c r="J9" s="54" t="s">
        <x:v>42</x:v>
      </x:c>
      <x:c r="K9" s="58"/>
    </x:row>
    <x:row r="10" spans="1:11" ht="30.949999999999999" customHeight="1">
      <x:c r="A10" s="256" t="s">
        <x:v>129</x:v>
      </x:c>
      <x:c r="B10" s="257"/>
      <x:c r="C10" s="258">
        <x:v>500000</x:v>
      </x:c>
      <x:c r="D10" s="258"/>
      <x:c r="E10" s="257" t="s">
        <x:v>69</x:v>
      </x:c>
      <x:c r="F10" s="257"/>
      <x:c r="G10" s="55"/>
      <x:c r="H10" s="54"/>
      <x:c r="I10" s="126"/>
      <x:c r="J10" s="54" t="s">
        <x:v>4</x:v>
      </x:c>
      <x:c r="K10" s="58">
        <x:v>6000</x:v>
      </x:c>
    </x:row>
    <x:row r="11" spans="1:11" ht="33" customHeight="1">
      <x:c r="A11" s="256" t="s">
        <x:v>106</x:v>
      </x:c>
      <x:c r="B11" s="257"/>
      <x:c r="C11" s="296"/>
      <x:c r="D11" s="296"/>
      <x:c r="E11" s="296"/>
      <x:c r="F11" s="296"/>
      <x:c r="G11" s="296"/>
      <x:c r="H11" s="54" t="s">
        <x:v>37</x:v>
      </x:c>
      <x:c r="I11" s="58"/>
      <x:c r="J11" s="54" t="s">
        <x:v>102</x:v>
      </x:c>
      <x:c r="K11" s="137">
        <x:v>14194</x:v>
      </x:c>
    </x:row>
    <x:row r="12" spans="1:13" ht="21.949999999999999" customHeight="1">
      <x:c r="A12" s="59" t="s">
        <x:v>39</x:v>
      </x:c>
      <x:c r="B12" s="294" t="s">
        <x:v>22</x:v>
      </x:c>
      <x:c r="C12" s="81">
        <x:v>13</x:v>
      </x:c>
      <x:c r="D12" s="284" t="s">
        <x:v>100</x:v>
      </x:c>
      <x:c r="E12" s="285"/>
      <x:c r="F12" s="288">
        <x:v>16</x:v>
      </x:c>
      <x:c r="G12" s="289"/>
      <x:c r="H12" s="54" t="s">
        <x:v>80</x:v>
      </x:c>
      <x:c r="I12" s="58"/>
      <x:c r="J12" s="54"/>
      <x:c r="K12" s="58"/>
      <x:c r="L12" s="60"/>
      <x:c r="M12" s="11"/>
    </x:row>
    <x:row r="13" spans="1:13" ht="21.949999999999999" customHeight="1">
      <x:c r="A13" s="59" t="s">
        <x:v>112</x:v>
      </x:c>
      <x:c r="B13" s="295"/>
      <x:c r="C13" s="136">
        <x:f>SUM('1:31'!$C$12)</x:f>
        <x:v>553</x:v>
      </x:c>
      <x:c r="D13" s="276"/>
      <x:c r="E13" s="277"/>
      <x:c r="F13" s="286">
        <x:f>SUM('1:31'!$F$12)</x:f>
        <x:v>285</x:v>
      </x:c>
      <x:c r="G13" s="287"/>
      <x:c r="H13" s="54" t="s">
        <x:v>131</x:v>
      </x:c>
      <x:c r="I13" s="58"/>
      <x:c r="J13" s="54"/>
      <x:c r="K13" s="58"/>
      <x:c r="L13" s="60"/>
      <x:c r="M13" s="11"/>
    </x:row>
    <x:row r="14" spans="1:13" ht="21.949999999999999" customHeight="1">
      <x:c r="A14" s="59" t="s">
        <x:v>39</x:v>
      </x:c>
      <x:c r="B14" s="294" t="s">
        <x:v>34</x:v>
      </x:c>
      <x:c r="C14" s="81">
        <x:v>59</x:v>
      </x:c>
      <x:c r="D14" s="284" t="s">
        <x:v>84</x:v>
      </x:c>
      <x:c r="E14" s="285"/>
      <x:c r="F14" s="288">
        <x:v>7</x:v>
      </x:c>
      <x:c r="G14" s="289"/>
      <x:c r="H14" s="54" t="s">
        <x:v>104</x:v>
      </x:c>
      <x:c r="I14" s="58"/>
      <x:c r="J14" s="54"/>
      <x:c r="K14" s="58"/>
      <x:c r="L14" s="60"/>
      <x:c r="M14" s="11"/>
    </x:row>
    <x:row r="15" spans="1:13" ht="21.949999999999999" customHeight="1">
      <x:c r="A15" s="59" t="s">
        <x:v>112</x:v>
      </x:c>
      <x:c r="B15" s="295"/>
      <x:c r="C15" s="136">
        <x:f>SUM('1:31'!$C$14)</x:f>
        <x:v>1580</x:v>
      </x:c>
      <x:c r="D15" s="276"/>
      <x:c r="E15" s="277"/>
      <x:c r="F15" s="286">
        <x:f>SUM('1:31'!$F$14)</x:f>
        <x:v>634</x:v>
      </x:c>
      <x:c r="G15" s="287"/>
      <x:c r="H15" s="54" t="s">
        <x:v>87</x:v>
      </x:c>
      <x:c r="I15" s="58">
        <x:v>187900</x:v>
      </x:c>
      <x:c r="J15" s="54" t="s">
        <x:v>140</x:v>
      </x:c>
      <x:c r="K15" s="58"/>
      <x:c r="L15" s="60"/>
      <x:c r="M15" s="11"/>
    </x:row>
    <x:row r="16" spans="1:13" ht="21.949999999999999" customHeight="1">
      <x:c r="A16" s="59" t="s">
        <x:v>39</x:v>
      </x:c>
      <x:c r="B16" s="294" t="s">
        <x:v>2</x:v>
      </x:c>
      <x:c r="C16" s="81">
        <x:v>10</x:v>
      </x:c>
      <x:c r="D16" s="284" t="s">
        <x:v>111</x:v>
      </x:c>
      <x:c r="E16" s="285"/>
      <x:c r="F16" s="282">
        <x:v>8</x:v>
      </x:c>
      <x:c r="G16" s="282"/>
      <x:c r="H16" s="54"/>
      <x:c r="I16" s="58"/>
      <x:c r="J16" s="54" t="s">
        <x:v>78</x:v>
      </x:c>
      <x:c r="K16" s="58"/>
      <x:c r="L16" s="60"/>
      <x:c r="M16" s="11"/>
    </x:row>
    <x:row r="17" spans="1:13" ht="21.949999999999999" customHeight="1">
      <x:c r="A17" s="59" t="s">
        <x:v>112</x:v>
      </x:c>
      <x:c r="B17" s="295"/>
      <x:c r="C17" s="136">
        <x:f>SUM('1:31'!$C$16)</x:f>
        <x:v>213</x:v>
      </x:c>
      <x:c r="D17" s="276"/>
      <x:c r="E17" s="277"/>
      <x:c r="F17" s="283">
        <x:f>SUM('1:31'!$F$16)</x:f>
        <x:v>515</x:v>
      </x:c>
      <x:c r="G17" s="283"/>
      <x:c r="H17" s="54" t="s">
        <x:v>56</x:v>
      </x:c>
      <x:c r="I17" s="58">
        <x:v>4800</x:v>
      </x:c>
      <x:c r="J17" s="54" t="s">
        <x:v>72</x:v>
      </x:c>
      <x:c r="K17" s="58"/>
      <x:c r="L17" s="60"/>
      <x:c r="M17" s="11"/>
    </x:row>
    <x:row r="18" spans="1:13" ht="21.949999999999999" customHeight="1">
      <x:c r="A18" s="59" t="s">
        <x:v>39</x:v>
      </x:c>
      <x:c r="B18" s="294" t="s">
        <x:v>120</x:v>
      </x:c>
      <x:c r="C18" s="81">
        <x:v>19</x:v>
      </x:c>
      <x:c r="D18" s="284" t="s">
        <x:v>122</x:v>
      </x:c>
      <x:c r="E18" s="285"/>
      <x:c r="F18" s="292">
        <x:v>12</x:v>
      </x:c>
      <x:c r="G18" s="293"/>
      <x:c r="H18" s="54"/>
      <x:c r="I18" s="58"/>
      <x:c r="J18" s="54"/>
      <x:c r="K18" s="58"/>
      <x:c r="L18" s="60"/>
      <x:c r="M18" s="11"/>
    </x:row>
    <x:row r="19" spans="1:13" ht="21.949999999999999" customHeight="1">
      <x:c r="A19" s="59" t="s">
        <x:v>112</x:v>
      </x:c>
      <x:c r="B19" s="295"/>
      <x:c r="C19" s="136">
        <x:f>SUM('1:31'!$C$18)</x:f>
        <x:v>1211</x:v>
      </x:c>
      <x:c r="D19" s="276"/>
      <x:c r="E19" s="277"/>
      <x:c r="F19" s="283">
        <x:f>SUM('1:31'!$F$18)</x:f>
        <x:v>445</x:v>
      </x:c>
      <x:c r="G19" s="283"/>
      <x:c r="H19" s="54"/>
      <x:c r="I19" s="58"/>
      <x:c r="J19" s="54"/>
      <x:c r="K19" s="58"/>
      <x:c r="L19" s="60"/>
      <x:c r="M19" s="11"/>
    </x:row>
    <x:row r="20" spans="4:13" ht="21.949999999999999" customHeight="1">
      <x:c r="D20" s="257" t="s">
        <x:v>95</x:v>
      </x:c>
      <x:c r="E20" s="257"/>
      <x:c r="F20" s="282">
        <x:v>54</x:v>
      </x:c>
      <x:c r="G20" s="282"/>
      <x:c r="H20" s="54"/>
      <x:c r="I20" s="58"/>
      <x:c r="J20" s="54"/>
      <x:c r="K20" s="58"/>
      <x:c r="L20" s="60"/>
      <x:c r="M20" s="11"/>
    </x:row>
    <x:row r="21" spans="4:13" ht="21.949999999999999" customHeight="1">
      <x:c r="D21" s="257" t="s">
        <x:v>132</x:v>
      </x:c>
      <x:c r="E21" s="257"/>
      <x:c r="F21" s="283">
        <x:f>SUM('1:31'!$F$20)</x:f>
        <x:v>1999</x:v>
      </x:c>
      <x:c r="G21" s="283"/>
      <x:c r="H21" s="54"/>
      <x:c r="I21" s="58"/>
      <x:c r="J21" s="54"/>
      <x:c r="K21" s="58"/>
      <x:c r="L21" s="60"/>
      <x:c r="M21" s="11"/>
    </x:row>
    <x:row r="22" spans="1:13" ht="32.100000000000001" customHeight="1">
      <x:c r="A22" s="256" t="s">
        <x:v>77</x:v>
      </x:c>
      <x:c r="B22" s="257"/>
      <x:c r="C22" s="281"/>
      <x:c r="D22" s="281"/>
      <x:c r="E22" s="281"/>
      <x:c r="F22" s="281"/>
      <x:c r="G22" s="281"/>
      <x:c r="H22" s="54"/>
      <x:c r="I22" s="58"/>
      <x:c r="J22" s="54"/>
      <x:c r="K22" s="58"/>
      <x:c r="L22" s="60"/>
      <x:c r="M22" s="11"/>
    </x:row>
    <x:row r="23" spans="1:15" ht="34.149999999999999" customHeight="1">
      <x:c r="A23" s="256" t="s">
        <x:v>121</x:v>
      </x:c>
      <x:c r="B23" s="257"/>
      <x:c r="C23" s="312"/>
      <x:c r="D23" s="313"/>
      <x:c r="E23" s="313"/>
      <x:c r="F23" s="313"/>
      <x:c r="G23" s="313"/>
      <x:c r="H23" s="109" t="s">
        <x:v>127</x:v>
      </x:c>
      <x:c r="I23" s="110">
        <x:f>SUM(I4:I22)</x:f>
        <x:v>1448733</x:v>
      </x:c>
      <x:c r="J23" s="61" t="s">
        <x:v>99</x:v>
      </x:c>
      <x:c r="K23" s="62">
        <x:f>SUM(K4:K22)</x:f>
        <x:v>20194</x:v>
      </x:c>
      <x:c r="M23" s="90" t="s">
        <x:v>107</x:v>
      </x:c>
      <x:c r="N23" s="279">
        <x:f>C5+C6</x:f>
        <x:v>858000</x:v>
      </x:c>
      <x:c r="O23" s="280"/>
    </x:row>
    <x:row r="24" spans="1:11" ht="34.149999999999999" customHeight="1">
      <x:c r="A24" s="256" t="s">
        <x:v>59</x:v>
      </x:c>
      <x:c r="B24" s="257"/>
      <x:c r="C24" s="257" t="s">
        <x:v>91</x:v>
      </x:c>
      <x:c r="D24" s="257"/>
      <x:c r="E24" s="257" t="s">
        <x:v>135</x:v>
      </x:c>
      <x:c r="F24" s="257"/>
      <x:c r="G24" s="257"/>
      <x:c r="H24" s="109" t="s">
        <x:v>59</x:v>
      </x:c>
      <x:c r="I24" s="111">
        <x:f>I23/A25</x:f>
        <x:v>0.35495112091142961</x:v>
      </x:c>
      <x:c r="J24" s="61" t="s">
        <x:v>59</x:v>
      </x:c>
      <x:c r="K24" s="63">
        <x:f>K23/A25</x:f>
        <x:v>0.0049476907999509978</x:v>
      </x:c>
    </x:row>
    <x:row r="25" spans="1:11" ht="34.149999999999999" customHeight="1">
      <x:c r="A25" s="308">
        <x:f>C2</x:f>
        <x:v>4081500</x:v>
      </x:c>
      <x:c r="B25" s="272"/>
      <x:c r="C25" s="272">
        <x:f>E25/I1</x:f>
        <x:v>4599951.6129032262</x:v>
      </x:c>
      <x:c r="D25" s="272"/>
      <x:c r="E25" s="272">
        <x:f>SUM('1:31'!$A$25)</x:f>
        <x:v>142598500</x:v>
      </x:c>
      <x:c r="F25" s="272"/>
      <x:c r="G25" s="272"/>
      <x:c r="H25" s="109" t="s">
        <x:v>19</x:v>
      </x:c>
      <x:c r="I25" s="110">
        <x:f>SUM('1:31'!$I$23)</x:f>
        <x:v>50495567</x:v>
      </x:c>
      <x:c r="J25" s="61" t="s">
        <x:v>19</x:v>
      </x:c>
      <x:c r="K25" s="62">
        <x:f>SUM('1:31'!$K$23)</x:f>
        <x:v>4441658</x:v>
      </x:c>
    </x:row>
    <x:row r="26" spans="1:11" ht="34.149999999999999" customHeight="1">
      <x:c r="A26" s="256" t="s">
        <x:v>71</x:v>
      </x:c>
      <x:c r="B26" s="257"/>
      <x:c r="C26" s="257"/>
      <x:c r="D26" s="257"/>
      <x:c r="E26" s="258"/>
      <x:c r="F26" s="258"/>
      <x:c r="G26" s="258"/>
      <x:c r="H26" s="109" t="s">
        <x:v>110</x:v>
      </x:c>
      <x:c r="I26" s="112">
        <x:f>I25/$E$25</x:f>
        <x:v>0.35411008530945276</x:v>
      </x:c>
      <x:c r="J26" s="64" t="s">
        <x:v>110</x:v>
      </x:c>
      <x:c r="K26" s="65">
        <x:f>K25/$E$25</x:f>
        <x:v>0.031147999453009674</x:v>
      </x:c>
    </x:row>
    <x:row r="27" spans="1:13" ht="30.949999999999999" customHeight="1">
      <x:c r="A27" s="314" t="s">
        <x:v>68</x:v>
      </x:c>
      <x:c r="B27" s="54" t="s">
        <x:v>44</x:v>
      </x:c>
      <x:c r="C27" s="272">
        <x:f>4000000/31</x:f>
        <x:v>129032.25806451614</x:v>
      </x:c>
      <x:c r="D27" s="272"/>
      <x:c r="E27" s="55" t="s">
        <x:v>52</x:v>
      </x:c>
      <x:c r="F27" s="258"/>
      <x:c r="G27" s="258"/>
      <x:c r="H27" s="113" t="s">
        <x:v>85</x:v>
      </x:c>
      <x:c r="I27" s="114">
        <x:f>SUM(C27:D34,F27:G32)</x:f>
        <x:v>739419.3548387097</x:v>
      </x:c>
      <x:c r="M27" s="66"/>
    </x:row>
    <x:row r="28" spans="1:13" ht="30.949999999999999" customHeight="1">
      <x:c r="A28" s="315"/>
      <x:c r="B28" s="54" t="s">
        <x:v>29</x:v>
      </x:c>
      <x:c r="C28" s="272">
        <x:f>3800000/31</x:f>
        <x:v>122580.64516129032</x:v>
      </x:c>
      <x:c r="D28" s="272"/>
      <x:c r="E28" s="55" t="s">
        <x:v>52</x:v>
      </x:c>
      <x:c r="F28" s="311"/>
      <x:c r="G28" s="311"/>
      <x:c r="H28" s="113" t="s">
        <x:v>59</x:v>
      </x:c>
      <x:c r="I28" s="115">
        <x:f>I27/$A$25</x:f>
        <x:v>0.18116362975345085</x:v>
      </x:c>
      <x:c r="M28" s="66"/>
    </x:row>
    <x:row r="29" spans="1:13" ht="30.949999999999999" customHeight="1">
      <x:c r="A29" s="315"/>
      <x:c r="B29" s="54" t="s">
        <x:v>21</x:v>
      </x:c>
      <x:c r="C29" s="272">
        <x:f>3200000/31</x:f>
        <x:v>103225.80645161291</x:v>
      </x:c>
      <x:c r="D29" s="272"/>
      <x:c r="E29" s="54" t="s">
        <x:v>52</x:v>
      </x:c>
      <x:c r="F29" s="258"/>
      <x:c r="G29" s="258"/>
      <x:c r="H29" s="113" t="s">
        <x:v>19</x:v>
      </x:c>
      <x:c r="I29" s="114">
        <x:f>SUM('1:31'!$I$27)</x:f>
        <x:v>23493350.000000007</x:v>
      </x:c>
      <x:c r="M29" s="66"/>
    </x:row>
    <x:row r="30" spans="1:13" ht="30.949999999999999" customHeight="1">
      <x:c r="A30" s="315"/>
      <x:c r="B30" s="54" t="s">
        <x:v>41</x:v>
      </x:c>
      <x:c r="C30" s="272">
        <x:f>3400000/31</x:f>
        <x:v>109677.41935483871</x:v>
      </x:c>
      <x:c r="D30" s="272"/>
      <x:c r="E30" s="55" t="s">
        <x:v>1</x:v>
      </x:c>
      <x:c r="F30" s="306"/>
      <x:c r="G30" s="307"/>
      <x:c r="H30" s="113" t="s">
        <x:v>110</x:v>
      </x:c>
      <x:c r="I30" s="115">
        <x:f>I29/$I$27</x:f>
        <x:v>31.772700898699949</x:v>
      </x:c>
      <x:c r="M30" s="66"/>
    </x:row>
    <x:row r="31" spans="1:7" customHeight="1">
      <x:c r="A31" s="315"/>
      <x:c r="B31" s="54" t="s">
        <x:v>12</x:v>
      </x:c>
      <x:c r="C31" s="309">
        <x:f>3500000/31</x:f>
        <x:v>112903.22580645161</x:v>
      </x:c>
      <x:c r="D31" s="310"/>
      <x:c r="E31" s="55" t="s">
        <x:v>62</x:v>
      </x:c>
      <x:c r="F31" s="306">
        <x:v>120000</x:v>
      </x:c>
      <x:c r="G31" s="307"/>
    </x:row>
    <x:row r="32" spans="1:7" customHeight="1">
      <x:c r="A32" s="315"/>
      <x:c r="B32" s="355" t="s">
        <x:v>40</x:v>
      </x:c>
      <x:c r="C32" s="304">
        <x:v>42000</x:v>
      </x:c>
      <x:c r="D32" s="305"/>
      <x:c r="E32" s="55" t="s">
        <x:v>1</x:v>
      </x:c>
      <x:c r="F32" s="306"/>
      <x:c r="G32" s="307"/>
    </x:row>
    <x:row r="33" spans="1:4" customHeight="1">
      <x:c r="A33" s="315"/>
      <x:c r="B33" s="355" t="s">
        <x:v>149</x:v>
      </x:c>
      <x:c r="C33" s="304"/>
      <x:c r="D33" s="305"/>
    </x:row>
    <x:row r="34" spans="1:4" customHeight="1">
      <x:c r="A34" s="316"/>
      <x:c r="B34" s="54"/>
      <x:c r="C34" s="306"/>
      <x:c r="D34" s="307"/>
    </x:row>
  </x:sheetData>
  <x:mergeCells count="74">
    <x:mergeCell ref="J2:K2"/>
    <x:mergeCell ref="F32:G32"/>
    <x:mergeCell ref="A2:B3"/>
    <x:mergeCell ref="C2:D3"/>
    <x:mergeCell ref="E2:F3"/>
    <x:mergeCell ref="G2:G3"/>
    <x:mergeCell ref="H2:I2"/>
    <x:mergeCell ref="A4:B4"/>
    <x:mergeCell ref="C4:D4"/>
    <x:mergeCell ref="E4:F4"/>
    <x:mergeCell ref="A5:B5"/>
    <x:mergeCell ref="C5:D5"/>
    <x:mergeCell ref="E5:F5"/>
    <x:mergeCell ref="F12:G12"/>
    <x:mergeCell ref="F13:G13"/>
    <x:mergeCell ref="A6:B7"/>
    <x:mergeCell ref="C6:D7"/>
    <x:mergeCell ref="E6:F7"/>
    <x:mergeCell ref="G6:G7"/>
    <x:mergeCell ref="A8:B9"/>
    <x:mergeCell ref="C8:D9"/>
    <x:mergeCell ref="E8:F9"/>
    <x:mergeCell ref="G8:G9"/>
    <x:mergeCell ref="A10:B10"/>
    <x:mergeCell ref="C10:D10"/>
    <x:mergeCell ref="E10:F10"/>
    <x:mergeCell ref="A11:B11"/>
    <x:mergeCell ref="C11:G11"/>
    <x:mergeCell ref="F14:G14"/>
    <x:mergeCell ref="F15:G15"/>
    <x:mergeCell ref="F16:G16"/>
    <x:mergeCell ref="F17:G17"/>
    <x:mergeCell ref="F18:G18"/>
    <x:mergeCell ref="F19:G19"/>
    <x:mergeCell ref="D20:E20"/>
    <x:mergeCell ref="F20:G20"/>
    <x:mergeCell ref="D21:E21"/>
    <x:mergeCell ref="F21:G21"/>
    <x:mergeCell ref="A22:B22"/>
    <x:mergeCell ref="C22:G22"/>
    <x:mergeCell ref="A23:B23"/>
    <x:mergeCell ref="C23:G23"/>
    <x:mergeCell ref="C32:D32"/>
    <x:mergeCell ref="N23:O23"/>
    <x:mergeCell ref="A24:B24"/>
    <x:mergeCell ref="C24:D24"/>
    <x:mergeCell ref="E24:G24"/>
    <x:mergeCell ref="A25:B25"/>
    <x:mergeCell ref="C25:D25"/>
    <x:mergeCell ref="E25:G25"/>
    <x:mergeCell ref="C33:D33"/>
    <x:mergeCell ref="A26:B26"/>
    <x:mergeCell ref="C26:D26"/>
    <x:mergeCell ref="E26:G26"/>
    <x:mergeCell ref="A27:A34"/>
    <x:mergeCell ref="C27:D27"/>
    <x:mergeCell ref="F27:G27"/>
    <x:mergeCell ref="C28:D28"/>
    <x:mergeCell ref="F28:G28"/>
    <x:mergeCell ref="C29:D29"/>
    <x:mergeCell ref="F29:G29"/>
    <x:mergeCell ref="C34:D34"/>
    <x:mergeCell ref="C30:D30"/>
    <x:mergeCell ref="F30:G30"/>
    <x:mergeCell ref="C31:D31"/>
    <x:mergeCell ref="F31:G31"/>
    <x:mergeCell ref="B16:B17"/>
    <x:mergeCell ref="B18:B19"/>
    <x:mergeCell ref="B14:B15"/>
    <x:mergeCell ref="B12:B13"/>
    <x:mergeCell ref="D18:E19"/>
    <x:mergeCell ref="D16:E17"/>
    <x:mergeCell ref="D12:E13"/>
    <x:mergeCell ref="D14:E15"/>
  </x:mergeCells>
  <x:pageMargins left="0.52958333492279053" right="0.47972223162651062" top="0.97000002861022949" bottom="0.49000000953674316" header="0.30000001192092896" footer="0.30000001192092896"/>
  <x:pageSetup paperSize="9" scale="75" firstPageNumber="1" fitToWidth="1" fitToHeight="1" orientation="portrait" usePrinterDefaults="1" blackAndWhite="0" draft="0" useFirstPageNumber="0" horizontalDpi="600" verticalDpi="600" copies="1"/>
</x:worksheet>
</file>

<file path=xl/worksheets/sheet34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34"/>
  <x:dimension ref="A1:A1"/>
  <x:sheetViews>
    <x:sheetView topLeftCell="A1" zoomScale="66" zoomScaleNormal="66" zoomScaleSheetLayoutView="75" workbookViewId="0">
      <x:selection activeCell="A1" activeCellId="0" sqref="A1:A1"/>
    </x:sheetView>
  </x:sheetViews>
  <x:sheetFormatPr defaultColWidth="9" defaultRowHeight="16.5"/>
  <x:sheetData/>
  <x:pageMargins left="0.69972223043441772" right="0.69972223043441772" top="0.75" bottom="0.75" header="0.30000001192092896" footer="0.30000001192092896"/>
  <x:pageSetup paperSize="9" scale="100" firstPageNumber="1" fitToWidth="0" fitToHeight="0" orientation="portrait" usePrinterDefaults="1" blackAndWhite="0" draft="0" useFirstPageNumber="0" horizontalDpi="600" verticalDpi="600" copies="1"/>
  <x:drawing r:id="rId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34" baseType="lpstr">
      <vt:lpstr>월합산</vt:lpstr>
      <vt:lpstr>결산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Chart1</vt:lpstr>
    </vt:vector>
  </ep:TitlesOfParts>
  <ep:TotalTime>326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현지</dc:creator>
  <cp:lastModifiedBy>신재호</cp:lastModifiedBy>
  <cp:revision>71</cp:revision>
  <cp:lastPrinted>2020-08-02T09:11:11.000</cp:lastPrinted>
  <dcterms:created xsi:type="dcterms:W3CDTF">2017-10-12T05:43:00.000</dcterms:created>
  <dcterms:modified xsi:type="dcterms:W3CDTF">2026-04-27T16:49:43.355</dcterms:modified>
  <cp:version>1000.0100.01</cp:version>
</cp:coreProperties>
</file>