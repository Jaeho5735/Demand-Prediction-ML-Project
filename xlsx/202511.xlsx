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2.xml" ContentType="application/vnd.openxmlformats-officedocument.drawingml.chart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mand_prediction_MLproject\xlxs\"/>
    </mc:Choice>
  </mc:AlternateContent>
  <x:bookViews>
    <x:workbookView xWindow="0" yWindow="0" windowWidth="13965" windowHeight="11715" firstSheet="22" activeTab="1"/>
  </x:bookViews>
  <x:sheets>
    <x:sheet name="월합산" sheetId="1" state="hidden" r:id="rId4"/>
    <x:sheet name="결산" sheetId="2" r:id="rId5"/>
    <x:sheet name="1" sheetId="3" r:id="rId6"/>
    <x:sheet name="2" sheetId="4" r:id="rId7"/>
    <x:sheet name="3" sheetId="5" r:id="rId8"/>
    <x:sheet name="4" sheetId="6" r:id="rId9"/>
    <x:sheet name="5" sheetId="7" r:id="rId10"/>
    <x:sheet name="6" sheetId="8" r:id="rId11"/>
    <x:sheet name="7" sheetId="9" r:id="rId12"/>
    <x:sheet name="8" sheetId="10" r:id="rId13"/>
    <x:sheet name="9" sheetId="11" r:id="rId14"/>
    <x:sheet name="10" sheetId="12" r:id="rId15"/>
    <x:sheet name="11" sheetId="13" r:id="rId16"/>
    <x:sheet name="12" sheetId="14" r:id="rId17"/>
    <x:sheet name="13" sheetId="15" r:id="rId18"/>
    <x:sheet name="14" sheetId="16" r:id="rId19"/>
    <x:sheet name="15" sheetId="17" r:id="rId20"/>
    <x:sheet name="16" sheetId="18" r:id="rId21"/>
    <x:sheet name="17" sheetId="19" r:id="rId22"/>
    <x:sheet name="18" sheetId="20" r:id="rId23"/>
    <x:sheet name="19" sheetId="21" r:id="rId24"/>
    <x:sheet name="20" sheetId="22" r:id="rId25"/>
    <x:sheet name="21" sheetId="23" r:id="rId26"/>
    <x:sheet name="22" sheetId="24" r:id="rId27"/>
    <x:sheet name="23" sheetId="25" r:id="rId28"/>
    <x:sheet name="24" sheetId="26" r:id="rId29"/>
    <x:sheet name="25" sheetId="27" r:id="rId30"/>
    <x:sheet name="26" sheetId="28" r:id="rId31"/>
    <x:sheet name="27" sheetId="29" r:id="rId32"/>
    <x:sheet name="28" sheetId="30" r:id="rId33"/>
    <x:sheet name="29" sheetId="31" r:id="rId34"/>
    <x:sheet name="30" sheetId="32" r:id="rId35"/>
    <x:sheet name="Chart1" sheetId="33" state="hidden" r:id="rId36"/>
  </x:sheets>
  <x:definedNames>
    <x:definedName name="_xlnm.Print_Area" localSheetId="18">'17'!$A$1:$O$34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<x:sst xmlns:r="http://schemas.openxmlformats.org/officeDocument/2006/relationships" xmlns:c="http://schemas.openxmlformats.org/drawingml/2006/chart" xmlns:x="http://schemas.openxmlformats.org/spreadsheetml/2006/main" count="2951" uniqueCount="169">
  <x:si>
    <x:t>V</x:t>
  </x:si>
  <x:si>
    <x:t>변동비</x:t>
  </x:si>
  <x:si>
    <x:t>항목</x:t>
  </x:si>
  <x:si>
    <x:t>만</x:t>
  </x:si>
  <x:si>
    <x:t>파출</x:t>
  </x:si>
  <x:si>
    <x:t>포스</x:t>
  </x:si>
  <x:si>
    <x:t>식자재</x:t>
  </x:si>
  <x:si>
    <x:t>막걸리</x:t>
  </x:si>
  <x:si>
    <x:t>일매출</x:t>
  </x:si>
  <x:si>
    <x:t>매출</x:t>
  </x:si>
  <x:si>
    <x:t>수도</x:t>
  </x:si>
  <x:si>
    <x:t>총매출</x:t>
  </x:si>
  <x:si>
    <x:t>시제</x:t>
  </x:si>
  <x:si>
    <x:t>오백</x:t>
  </x:si>
  <x:si>
    <x:t>입금</x:t>
  </x:si>
  <x:si>
    <x:t>F</x:t>
  </x:si>
  <x:si>
    <x:t>뚝배기</x:t>
  </x:si>
  <x:si>
    <x:t>잔금</x:t>
  </x:si>
  <x:si>
    <x:t>토</x:t>
  </x:si>
  <x:si>
    <x:t>일</x:t>
  </x:si>
  <x:si>
    <x:t>고기</x:t>
  </x:si>
  <x:si>
    <x:t>알바B</x:t>
  </x:si>
  <x:si>
    <x:t>카드</x:t>
  </x:si>
  <x:si>
    <x:t>주류</x:t>
  </x:si>
  <x:si>
    <x:t>총비용</x:t>
  </x:si>
  <x:si>
    <x:t>업체</x:t>
  </x:si>
  <x:si>
    <x:t>수</x:t>
  </x:si>
  <x:si>
    <x:t>금</x:t>
  </x:si>
  <x:si>
    <x:t>고정비</x:t>
  </x:si>
  <x:si>
    <x:t>가스비</x:t>
  </x:si>
  <x:si>
    <x:t>배달</x:t>
  </x:si>
  <x:si>
    <x:t>누계</x:t>
  </x:si>
  <x:si>
    <x:t>S</x:t>
  </x:si>
  <x:si>
    <x:t>월세</x:t>
  </x:si>
  <x:si>
    <x:t>숯</x:t>
  </x:si>
  <x:si>
    <x:t>인터넷</x:t>
  </x:si>
  <x:si>
    <x:t>마케팅</x:t>
  </x:si>
  <x:si>
    <x:t>금액</x:t>
  </x:si>
  <x:si>
    <x:t>시재</x:t>
  </x:si>
  <x:si>
    <x:t>직원C</x:t>
  </x:si>
  <x:si>
    <x:t>목살</x:t>
  </x:si>
  <x:si>
    <x:t>백이하</x:t>
  </x:si>
  <x:si>
    <x:t>직원A</x:t>
  </x:si>
  <x:si>
    <x:t>쌀</x:t>
  </x:si>
  <x:si>
    <x:t>세무사</x:t>
  </x:si>
  <x:si>
    <x:t>직원D</x:t>
  </x:si>
  <x:si>
    <x:t>개수</x:t>
  </x:si>
  <x:si>
    <x:t>월</x:t>
  </x:si>
  <x:si>
    <x:t>목</x:t>
  </x:si>
  <x:si>
    <x:t>육회</x:t>
  </x:si>
  <x:si>
    <x:t>천</x:t>
  </x:si>
  <x:si>
    <x:t>발매트</x:t>
  </x:si>
  <x:si>
    <x:t>합계</x:t>
  </x:si>
  <x:si>
    <x:t>V/S</x:t>
  </x:si>
  <x:si>
    <x:t>급여</x:t>
  </x:si>
  <x:si>
    <x:t>알바X</x:t>
  </x:si>
  <x:si>
    <x:t>참기름</x:t>
  </x:si>
  <x:si>
    <x:t>전기세</x:t>
  </x:si>
  <x:si>
    <x:t>매출액</x:t>
  </x:si>
  <x:si>
    <x:t>현금</x:t>
  </x:si>
  <x:si>
    <x:t>화</x:t>
  </x:si>
  <x:si>
    <x:t>`</x:t>
  </x:si>
  <x:si>
    <x:t>삼겹살</x:t>
  </x:si>
  <x:si>
    <x:t>손익분기점 매출액 X</x:t>
  </x:si>
  <x:si>
    <x:t>take
out</x:t>
  </x:si>
  <x:si>
    <x:t>손익분기점 매출액</x:t>
  </x:si>
  <x:si>
    <x:t>퇴직금(10%)</x:t>
  </x:si>
  <x:si>
    <x:t>현금수수료 (1%)</x:t>
  </x:si>
  <x:si>
    <x:t>현금수수료(1%)</x:t>
  </x:si>
  <x:si>
    <x:t>월   합  산</x:t>
  </x:si>
  <x:si>
    <x:t>마  감  잔  금</x:t>
  </x:si>
  <x:si>
    <x:t>비       고</x:t>
  </x:si>
  <x:si>
    <x:t>비품 및 기타경비</x:t>
  </x:si>
  <x:si>
    <x:t>비품 및 
기타경비</x:t>
  </x:si>
  <x:si>
    <x:t>종량재봉투</x:t>
  </x:si>
  <x:si>
    <x:t>목표일매출</x:t>
  </x:si>
  <x:si>
    <x:t>4대보험료</x:t>
  </x:si>
  <x:si>
    <x:t>소     계</x:t>
  </x:si>
  <x:si>
    <x:t>변동비용</x:t>
  </x:si>
  <x:si>
    <x:t>화재보험</x:t>
  </x:si>
  <x:si>
    <x:t>불판세척</x:t>
  </x:si>
  <x:si>
    <x:t>중간출금</x:t>
  </x:si>
  <x:si>
    <x:t>페이결제</x:t>
  </x:si>
  <x:si>
    <x:t>목표월매출</x:t>
  </x:si>
  <x:si>
    <x:t>일평균매출</x:t>
  </x:si>
  <x:si>
    <x:t>카드할인</x:t>
  </x:si>
  <x:si>
    <x:t>영업일수</x:t>
  </x:si>
  <x:si>
    <x:t>세전이익</x:t>
  </x:si>
  <x:si>
    <x:t>다이소 구매</x:t>
  </x:si>
  <x:si>
    <x:t>소갈비살</x:t>
  </x:si>
  <x:si>
    <x:t>고정비용</x:t>
  </x:si>
  <x:si>
    <x:t>현금합계</x:t>
  </x:si>
  <x:si>
    <x:t>식자재합계</x:t>
  </x:si>
  <x:si>
    <x:t>돼지양념갈비</x:t>
  </x:si>
  <x:si>
    <x:t>매출누계</x:t>
  </x:si>
  <x:si>
    <x:t>인터넷 주문</x:t>
  </x:si>
  <x:si>
    <x:t>휴무일수</x:t>
  </x:si>
  <x:si>
    <x:t>종합소득세</x:t>
  </x:si>
  <x:si>
    <x:t>쿠쿠(블루문)</x:t>
  </x:si>
  <x:si>
    <x:t>누적총매출</x:t>
  </x:si>
  <x:si>
    <x:t>부탄가스</x:t>
  </x:si>
  <x:si>
    <x:t>할인내역</x:t>
  </x:si>
  <x:si>
    <x:t>할인금액</x:t>
  </x:si>
  <x:si>
    <x:t>손익분기점</x:t>
  </x:si>
  <x:si>
    <x:t>식자재2</x:t>
  </x:si>
  <x:si>
    <x:t>세후이익</x:t>
  </x:si>
  <x:si>
    <x:t>세금부가세</x:t>
  </x:si>
  <x:si>
    <x:t>항목별 소계</x:t>
  </x:si>
  <x:si>
    <x:t>마감잔금</x:t>
  </x:si>
  <x:si>
    <x:t>깍두기,계란</x:t>
  </x:si>
  <x:si>
    <x:t>합    계</x:t>
  </x:si>
  <x:si>
    <x:t>테이블수</x:t>
  </x:si>
  <x:si>
    <x:t>누적테이블</x:t>
  </x:si>
  <x:si>
    <x:t>매출 비율</x:t>
  </x:si>
  <x:si>
    <x:t>종량제봉투</x:t>
  </x:si>
  <x:si>
    <x:t>한우업진살</x:t>
  </x:si>
  <x:si>
    <x:t>인건비합계</x:t>
  </x:si>
  <x:si>
    <x:t>기타경비합계</x:t>
  </x:si>
  <x:si>
    <x:t>금고잔액</x:t>
  </x:si>
  <x:si>
    <x:t>코카콜라</x:t>
  </x:si>
  <x:si>
    <x:t>카드매출</x:t>
  </x:si>
  <x:si>
    <x:t>실영업일수</x:t>
  </x:si>
  <x:si>
    <x:t>출금내역</x:t>
  </x:si>
  <x:si>
    <x:t>2025년</x:t>
  </x:si>
  <x:si>
    <x:t>코카콜라음료</x:t>
  </x:si>
  <x:si>
    <x:t>음식물스티커</x:t>
  </x:si>
  <x:si>
    <x:t>누적매출</x:t>
  </x:si>
  <x:si>
    <x:t>현금매출</x:t>
  </x:si>
  <x:si>
    <x:t>LA양념갈비</x:t>
  </x:si>
  <x:si>
    <x:t>통장입금</x:t>
  </x:si>
  <x:si>
    <x:t>중간입금</x:t>
  </x:si>
  <x:si>
    <x:t>LA갈비</x:t>
  </x:si>
  <x:si>
    <x:t>금고 실잔액</x:t>
  </x:si>
  <x:si>
    <x:t>페이매출</x:t>
  </x:si>
  <x:si>
    <x:t>항목 비율</x:t>
  </x:si>
  <x:si>
    <x:t>입금내역</x:t>
  </x:si>
  <x:si>
    <x:t>홀 파출</x:t>
  </x:si>
  <x:si>
    <x:t>배달료누계</x:t>
  </x:si>
  <x:si>
    <x:t>변동비율</x:t>
  </x:si>
  <x:si>
    <x:t>인
건
비</x:t>
  </x:si>
  <x:si>
    <x:t>전   월</x:t>
  </x:si>
  <x:si>
    <x:t>현금할인</x:t>
  </x:si>
  <x:si>
    <x:t>매출대비 비율</x:t>
  </x:si>
  <x:si>
    <x:t>X=F/(1-(V/S))</x:t>
  </x:si>
  <x:si>
    <x:t>카드수수료(2.75%)</x:t>
  </x:si>
  <x:si>
    <x:t>선결제 49,000원 슈퍼멤버스 60,000원</x:t>
  </x:si>
  <x:si>
    <x:t>알바C</x:t>
  </x:si>
  <x:si>
    <x:t>ㄴ</x:t>
  </x:si>
  <x:si>
    <x:t>직원F</x:t>
  </x:si>
  <x:si>
    <x:t>눈꽃살</x:t>
  </x:si>
  <x:si>
    <x:t>양념갈비</x:t>
  </x:si>
  <x:si>
    <x:t>황제갈비</x:t>
  </x:si>
  <x:si>
    <x:t>설화양념갈비</x:t>
  </x:si>
  <x:si>
    <x:t>1%목살</x:t>
  </x:si>
  <x:si>
    <x:t>설화갈비</x:t>
  </x:si>
  <x:si>
    <x:t>토요일</x:t>
  </x:si>
  <x:si>
    <x:t>일요일</x:t>
  </x:si>
  <x:si>
    <x:t>선결제</x:t>
  </x:si>
  <x:si>
    <x:t>11월</x:t>
  </x:si>
  <x:si>
    <x:t>수요일</x:t>
  </x:si>
  <x:si>
    <x:t>김상현 고객님 선결제 247,000원</x:t>
  </x:si>
  <x:si>
    <x:t>이수진 슈퍼멤버스 블랙 58,000원</x:t>
  </x:si>
  <x:si>
    <x:t>슈퍼멤버스</x:t>
  </x:si>
  <x:si>
    <x:t>83000+a</x:t>
  </x:si>
  <x:si>
    <x:t>심재일 선결제 56,000원, 메타엠오정은 801,000원</x:t>
  </x:si>
  <x:si>
    <x:t>11월 테이블 수</x:t>
  </x:si>
  <x:si>
    <x:t>선결제 할인 542,000원</x:t>
  </x:si>
  <x:si>
    <x:t>슈퍼멤버스 블랙 53,000</x:t>
  </x:si>
  <x:si>
    <x:t>슈퍼멤버스 60,000원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</x:si>
</x:sst>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.0%"/>
    <x:numFmt numFmtId="165" formatCode="#,##0_ "/>
    <x:numFmt numFmtId="166" formatCode="#,##0.00_ "/>
    <x:numFmt numFmtId="167" formatCode="_-* #,##0_-;\-* #,##0_-;_-* &quot;-&quot;???_-;_-@_-"/>
    <x:numFmt numFmtId="168" formatCode="&quot;₩&quot;#,##0_);[Red]\(&quot;₩&quot;#,##0\)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배달의민족 도현"/>
      <x:sz val="10"/>
      <x:color rgb="ff000000"/>
    </x:font>
    <x:font>
      <x:name val="맑은 고딕"/>
      <x:sz val="11"/>
      <x:color rgb="ff000000"/>
      <x:b val="1"/>
    </x:font>
    <x:font>
      <x:name val="맑은 고딕"/>
      <x:sz val="14"/>
      <x:color rgb="ff000000"/>
      <x:b val="1"/>
    </x:font>
    <x:font>
      <x:name val="맑은 고딕"/>
      <x:sz val="14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d0d0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d0d0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24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2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9"/>
          <x:color rgb="ff000000"/>
        </x:font>
      </mc:Fallback>
    </mc:AlternateContent>
  </x:fonts>
  <x:fills count="10">
    <x:fill>
      <x:patternFill patternType="none"/>
    </x:fill>
    <x:fill>
      <x:patternFill patternType="gray125"/>
    </x:fill>
    <x:fill>
      <x:patternFill patternType="solid">
        <x:fgColor rgb="ffe6b8b7"/>
        <x:bgColor indexed="64"/>
      </x:patternFill>
    </x:fill>
    <x:fill>
      <x:patternFill patternType="solid">
        <x:fgColor rgb="ff8cb3e4"/>
        <x:bgColor indexed="64"/>
      </x:patternFill>
    </x:fill>
    <x:fill>
      <x:patternFill patternType="solid">
        <x:fgColor rgb="fffadb8e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92cddd"/>
        <x:bgColor indexed="64"/>
      </x:patternFill>
    </x:fill>
  </x:fills>
  <x:borders count="7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hair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</x:borders>
  <x:cellStyleXfs count="4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1" fontId="0" fillId="0" borderId="0">
      <x:alignment horizontal="general" vertical="center"/>
    </x:xf>
  </x:cellStyleXfs>
  <x:cellXfs count="361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2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41" fontId="0" fillId="0" borderId="1" xfId="2" applyNumberFormat="1" applyBorder="1">
      <x:alignment horizontal="general" vertical="center"/>
    </x:xf>
    <x:xf numFmtId="164" fontId="0" fillId="0" borderId="8" xfId="1" applyNumberFormat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165" fontId="0" fillId="0" borderId="1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9" xfId="1" applyNumberFormat="1" applyBorder="1" applyAlignment="1">
          <x:alignment horizontal="center" vertical="center"/>
        </x:xf>
      </mc:Fallback>
    </mc:AlternateContent>
    <x:xf numFmtId="164" fontId="8" fillId="0" borderId="9" xfId="1" applyNumberFormat="1" applyFont="1" applyBorder="1">
      <x:alignment horizontal="general" vertical="center"/>
    </x:xf>
    <x:xf numFmtId="164" fontId="9" fillId="0" borderId="10" xfId="1" applyNumberFormat="1" applyFont="1" applyBorder="1">
      <x:alignment horizontal="general" vertical="center"/>
    </x:xf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/>
        </x:xf>
      </mc:Fallback>
    </mc:AlternateContent>
    <x:xf numFmtId="41" fontId="12" fillId="0" borderId="14" xfId="2" applyNumberFormat="1" applyFont="1" applyBorder="1">
      <x:alignment horizontal="general" vertical="center"/>
    </x:xf>
    <x:xf numFmtId="41" fontId="12" fillId="0" borderId="15" xfId="2" applyNumberFormat="1" applyFont="1" applyBorder="1">
      <x:alignment horizontal="general" vertical="center"/>
    </x:xf>
    <x:xf numFmtId="41" fontId="10" fillId="0" borderId="16" xfId="2" applyNumberFormat="1" applyFont="1" applyBorder="1">
      <x:alignment horizontal="general" vertical="center"/>
    </x:xf>
    <x:xf numFmtId="165" fontId="13" fillId="0" borderId="17" xfId="0" applyNumberFormat="1" applyFont="1" applyBorder="1">
      <x:alignment horizontal="general" vertical="center"/>
    </x:xf>
    <x:xf numFmtId="164" fontId="13" fillId="0" borderId="18" xfId="1" applyNumberFormat="1" applyFont="1" applyBorder="1">
      <x:alignment horizontal="general" vertical="center"/>
    </x:xf>
    <x:xf numFmtId="164" fontId="13" fillId="0" borderId="19" xfId="1" applyNumberFormat="1" applyFont="1" applyBorder="1">
      <x:alignment horizontal="general" vertical="center"/>
    </x:xf>
    <x:xf numFmtId="41" fontId="12" fillId="0" borderId="7" xfId="2" applyNumberFormat="1" applyFont="1" applyBorder="1">
      <x:alignment horizontal="general" vertical="center"/>
    </x:xf>
    <x:xf numFmtId="41" fontId="12" fillId="0" borderId="1" xfId="2" applyNumberFormat="1" applyFont="1" applyBorder="1">
      <x:alignment horizontal="general" vertical="center"/>
    </x:xf>
    <x:xf numFmtId="165" fontId="13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8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8" xfId="2" applyNumberFormat="1" applyFont="1" applyBorder="1" applyAlignment="1">
          <x:alignment horizontal="right" vertical="center"/>
        </x:xf>
      </mc:Fallback>
    </mc:AlternateContent>
    <x:xf numFmtId="165" fontId="13" fillId="0" borderId="2" xfId="0" applyNumberFormat="1" applyFont="1" applyBorder="1">
      <x:alignment horizontal="general" vertical="center"/>
    </x:xf>
    <x:xf numFmtId="164" fontId="13" fillId="0" borderId="20" xfId="1" applyNumberFormat="1" applyFont="1" applyBorder="1">
      <x:alignment horizontal="general" vertical="center"/>
    </x:xf>
    <x:xf numFmtId="41" fontId="12" fillId="0" borderId="8" xfId="2" applyNumberFormat="1" applyFont="1" applyBorder="1">
      <x:alignment horizontal="general" vertical="center"/>
    </x:xf>
    <x:xf numFmtId="164" fontId="13" fillId="0" borderId="21" xfId="1" applyNumberFormat="1" applyFont="1" applyBorder="1">
      <x:alignment horizontal="general" vertical="center"/>
    </x:xf>
    <x:xf numFmtId="164" fontId="13" fillId="0" borderId="8" xfId="1" applyNumberFormat="1" applyFont="1" applyBorder="1">
      <x:alignment horizontal="general" vertical="center"/>
    </x:xf>
    <x:xf numFmtId="10" fontId="12" fillId="0" borderId="8" xfId="2" applyNumberFormat="1" applyFont="1" applyBorder="1">
      <x:alignment horizontal="general" vertical="center"/>
    </x:xf>
    <x:xf numFmtId="41" fontId="14" fillId="0" borderId="22" xfId="2" applyNumberFormat="1" applyFont="1" applyBorder="1">
      <x:alignment horizontal="general" vertical="center"/>
    </x:xf>
    <x:xf numFmtId="41" fontId="14" fillId="0" borderId="2" xfId="2" applyNumberFormat="1" applyFont="1" applyBorder="1">
      <x:alignment horizontal="general" vertical="center"/>
    </x:xf>
    <x:xf numFmtId="41" fontId="14" fillId="0" borderId="20" xfId="2" applyNumberFormat="1" applyFont="1" applyBorder="1">
      <x:alignment horizontal="general" vertical="center"/>
    </x:xf>
    <x:xf numFmtId="165" fontId="13" fillId="0" borderId="23" xfId="0" applyNumberFormat="1" applyFont="1" applyBorder="1">
      <x:alignment horizontal="general" vertical="center"/>
    </x:xf>
    <x:xf numFmtId="164" fontId="13" fillId="0" borderId="24" xfId="1" applyNumberFormat="1" applyFont="1" applyBorder="1">
      <x:alignment horizontal="general" vertical="center"/>
    </x:xf>
    <x:xf numFmtId="165" fontId="13" fillId="0" borderId="25" xfId="0" applyNumberFormat="1" applyFont="1" applyBorder="1">
      <x:alignment horizontal="general" vertical="center"/>
    </x:xf>
    <x:xf numFmtId="164" fontId="13" fillId="0" borderId="25" xfId="1" applyNumberFormat="1" applyFont="1" applyBorder="1">
      <x:alignment horizontal="general" vertical="center"/>
    </x:xf>
    <x:xf numFmtId="164" fontId="13" fillId="0" borderId="2" xfId="1" applyNumberFormat="1" applyFont="1" applyBorder="1">
      <x:alignment horizontal="general" vertical="center"/>
    </x:xf>
    <x:xf numFmtId="0" fontId="15" fillId="0" borderId="26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x:xf numFmtId="0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x:xf numFmtId="41" fontId="15" fillId="0" borderId="8" xfId="2" applyNumberFormat="1" applyFont="1" applyBorder="1">
      <x:alignment horizontal="general" vertical="center"/>
    </x:xf>
    <x:xf numFmtId="0" fontId="15" fillId="0" borderId="1" xfId="0" applyNumberFormat="1" applyFont="1" applyBorder="1" applyAlignment="1">
      <x:alignment horizontal="left" vertical="center"/>
    </x:xf>
    <x:xf numFmtId="41" fontId="7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" xfId="0" applyNumberFormat="1" applyFont="1" applyFill="1" applyBorder="1" applyAlignment="1">
          <x:alignment horizontal="center" vertical="center"/>
        </x:xf>
      </mc:Fallback>
    </mc:AlternateContent>
    <x:xf numFmtId="41" fontId="15" fillId="2" borderId="8" xfId="2" applyNumberFormat="1" applyFont="1" applyFill="1" applyBorder="1">
      <x:alignment horizontal="general" vertical="center"/>
    </x:xf>
    <x:xf numFmtId="9" fontId="15" fillId="2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5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2" borderId="20" xfId="0" applyNumberFormat="1" applyFont="1" applyFill="1" applyBorder="1" applyAlignment="1">
          <x:alignment horizontal="right" vertical="center"/>
        </x:xf>
      </mc:Fallback>
    </mc:AlternateContent>
    <x:xf numFmtId="41" fontId="15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6" xfId="0" applyNumberFormat="1" applyFont="1" applyBorder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 wrapText="1"/>
    </x:xf>
    <x:xf numFmtId="164" fontId="0" fillId="0" borderId="27" xfId="1" applyNumberFormat="1" applyBorder="1">
      <x:alignment horizontal="general" vertical="center"/>
    </x:xf>
    <x:xf numFmtId="164" fontId="0" fillId="0" borderId="23" xfId="1" applyNumberFormat="1" applyBorder="1">
      <x:alignment horizontal="general" vertical="center"/>
    </x:xf>
    <x:xf numFmtId="164" fontId="0" fillId="0" borderId="2" xfId="1" applyNumberFormat="1" applyBorder="1">
      <x:alignment horizontal="general" vertical="center"/>
    </x:xf>
    <x:xf numFmtId="164" fontId="13" fillId="0" borderId="28" xfId="1" applyNumberFormat="1" applyFont="1" applyBorder="1">
      <x:alignment horizontal="general" vertical="center"/>
    </x:xf>
    <x:xf numFmtId="0" fontId="10" fillId="0" borderId="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top" wrapText="1"/>
        </x:xf>
      </mc:Fallback>
    </mc:AlternateContent>
    <x:xf numFmtId="164" fontId="13" fillId="0" borderId="2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/>
        </x:xf>
      </mc:Fallback>
    </mc:AlternateContent>
    <x:xf numFmtId="41" fontId="0" fillId="0" borderId="0" xfId="0" applyNumberFormat="1" applyAlignment="1">
      <x:alignment horizontal="general" vertical="top" wrapText="1"/>
    </x:xf>
    <x:xf numFmtId="165" fontId="0" fillId="0" borderId="27" xfId="0" applyNumberFormat="1" applyBorder="1">
      <x:alignment horizontal="general" vertical="center"/>
    </x:xf>
    <x:xf numFmtId="165" fontId="0" fillId="0" borderId="25" xfId="0" applyNumberFormat="1" applyBorder="1">
      <x:alignment horizontal="general" vertical="center"/>
    </x:xf>
    <x:xf numFmtId="164" fontId="0" fillId="0" borderId="21" xfId="1" applyNumberFormat="1" applyBorder="1">
      <x:alignment horizontal="general" vertical="center"/>
    </x:xf>
    <x:xf numFmtId="165" fontId="0" fillId="0" borderId="2" xfId="0" applyNumberFormat="1" applyBorder="1">
      <x:alignment horizontal="general" vertical="center"/>
    </x:xf>
    <x:xf numFmtId="164" fontId="0" fillId="0" borderId="20" xfId="1" applyNumberFormat="1" applyBorder="1">
      <x:alignment horizontal="general" vertical="center"/>
    </x:xf>
    <x:xf numFmtId="0" fontId="15" fillId="0" borderId="30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x:xf numFmtId="164" fontId="0" fillId="0" borderId="9" xfId="1" applyNumberFormat="1" applyBorder="1">
      <x:alignment horizontal="general" vertical="center"/>
    </x:xf>
    <x:xf numFmtId="41" fontId="0" fillId="0" borderId="2" xfId="2" applyNumberFormat="1" applyBorder="1">
      <x:alignment horizontal="general" vertical="center"/>
    </x:xf>
    <x:xf numFmtId="41" fontId="0" fillId="0" borderId="0" xfId="2" applyNumberFormat="1">
      <x:alignment horizontal="general" vertical="center"/>
    </x:xf>
    <x:xf numFmtId="165" fontId="0" fillId="0" borderId="0" xfId="0" applyNumberFormat="1">
      <x:alignment horizontal="general" vertical="center"/>
    </x:xf>
    <x:xf numFmtId="165" fontId="10" fillId="0" borderId="0" xfId="0" applyNumberFormat="1" applyFont="1">
      <x:alignment horizontal="general" vertical="center"/>
    </x:xf>
    <x:xf numFmtId="0" fontId="15" fillId="0" borderId="0" xfId="0" applyNumberFormat="1" applyFont="1" applyAlignment="1">
      <x:alignment horizontal="left" vertical="center"/>
    </x:xf>
    <x:xf numFmtId="0" fontId="0" fillId="0" borderId="17" xfId="0" applyNumberFormat="1" applyBorder="1">
      <x:alignment horizontal="general" vertical="center"/>
    </x:xf>
    <x:xf numFmtId="0" fontId="15" fillId="0" borderId="3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NumberFormat="1" applyFont="1" applyBorder="1" applyAlignment="1">
          <x:alignment horizontal="center" vertical="center"/>
        </x:xf>
      </mc:Fallback>
    </mc:AlternateContent>
    <x:xf numFmtId="166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x:xf numFmtId="0" fontId="18" fillId="0" borderId="27" xfId="0" applyNumberFormat="1" applyFont="1" applyBorder="1">
      <x:alignment horizontal="general" vertical="center"/>
    </x:xf>
    <x:xf numFmtId="41" fontId="0" fillId="0" borderId="0" xfId="0" applyNumberFormat="1">
      <x:alignment horizontal="general" vertical="center"/>
    </x:xf>
    <x:xf numFmtId="167" fontId="0" fillId="0" borderId="0" xfId="0" applyNumberFormat="1">
      <x:alignment horizontal="general" vertical="center"/>
    </x:xf>
    <x:xf numFmtId="41" fontId="0" fillId="0" borderId="17" xfId="2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" xfId="0" applyNumberFormat="1" applyFont="1" applyFill="1" applyBorder="1" applyAlignment="1">
          <x:alignment horizontal="center" vertical="center"/>
        </x:xf>
      </mc:Fallback>
    </mc:AlternateContent>
    <x:xf numFmtId="41" fontId="15" fillId="3" borderId="8" xfId="2" applyNumberFormat="1" applyFont="1" applyFill="1" applyBorder="1">
      <x:alignment horizontal="general" vertical="center"/>
    </x:xf>
    <x:xf numFmtId="9" fontId="15" fillId="3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15" fillId="3" borderId="8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3" borderId="8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9" xfId="0" applyNumberFormat="1" applyFont="1" applyFill="1" applyBorder="1" applyAlignment="1">
          <x:alignment horizontal="center" vertical="center"/>
        </x:xf>
      </mc:Fallback>
    </mc:AlternateContent>
    <x:xf numFmtId="41" fontId="15" fillId="4" borderId="8" xfId="0" applyNumberFormat="1" applyFont="1" applyFill="1" applyBorder="1">
      <x:alignment horizontal="general" vertical="center"/>
    </x:xf>
    <x:xf numFmtId="9" fontId="15" fillId="4" borderId="8" xfId="0" applyNumberFormat="1" applyFont="1" applyFill="1" applyBorder="1">
      <x:alignment horizontal="general" vertical="center"/>
    </x:xf>
    <x:xf numFmtId="168" fontId="15" fillId="4" borderId="8" xfId="0" applyNumberFormat="1" applyFont="1" applyFill="1" applyBorder="1">
      <x:alignment horizontal="general" vertical="center"/>
    </x:xf>
    <x:xf numFmtId="165" fontId="13" fillId="0" borderId="27" xfId="0" applyNumberFormat="1" applyFont="1" applyBorder="1">
      <x:alignment horizontal="general" vertical="center"/>
    </x:xf>
    <x:xf numFmtId="164" fontId="13" fillId="0" borderId="32" xfId="1" applyNumberFormat="1" applyFont="1" applyBorder="1">
      <x:alignment horizontal="general" vertical="center"/>
    </x:xf>
    <x:xf numFmtId="164" fontId="13" fillId="0" borderId="3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9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2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2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1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1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8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8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0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0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x:xf numFmtId="41" fontId="15" fillId="5" borderId="8" xfId="2" applyNumberFormat="1" applyFont="1" applyFill="1" applyBorder="1">
      <x:alignment horizontal="general" vertical="center"/>
    </x:xf>
    <x:xf numFmtId="41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5" fillId="0" borderId="8" xfId="0" applyNumberFormat="1" applyFont="1" applyBorder="1" applyAlignment="1">
          <x:alignment horizontal="center" vertical="center"/>
        </x:xf>
      </mc:Fallback>
    </mc:AlternateContent>
    <x:xf numFmtId="0" fontId="0" fillId="0" borderId="1" xfId="0" applyNumberFormat="1" applyFont="1" applyBorder="1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2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NumberFormat="1" applyFont="1" applyBorder="1" applyAlignment="1">
          <x:alignment horizontal="center" vertical="top" wrapText="1"/>
        </x:xf>
      </mc:Fallback>
    </mc:AlternateContent>
    <x:xf numFmtId="165" fontId="0" fillId="6" borderId="2" xfId="0" applyNumberFormat="1" applyFill="1" applyBorder="1">
      <x:alignment horizontal="general" vertical="center"/>
    </x:xf>
    <x:xf numFmtId="41" fontId="0" fillId="6" borderId="2" xfId="2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6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6" xfId="0" applyNumberFormat="1" applyFont="1" applyBorder="1" applyAlignment="1">
          <x:alignment horizontal="center" vertical="top" wrapText="1"/>
        </x:xf>
      </mc:Fallback>
    </mc:AlternateContent>
    <x:xf numFmtId="9" fontId="0" fillId="0" borderId="8" xfId="1" applyNumberFormat="1" applyBorder="1">
      <x:alignment horizontal="general" vertical="center"/>
    </x:xf>
    <x:xf numFmtId="9" fontId="0" fillId="0" borderId="27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3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3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41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41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4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4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5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5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3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3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5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5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8" xfId="2" applyNumberFormat="1" applyFont="1" applyBorder="1" applyAlignment="1">
          <x:alignment horizontal="center" vertical="center"/>
        </x:xf>
      </mc:Fallback>
    </mc:AlternateContent>
    <x:xf numFmtId="0" fontId="6" fillId="0" borderId="55" xfId="0" applyNumberFormat="1" applyFont="1" applyBorder="1" applyAlignment="1">
      <x:alignment horizontal="left" vertical="top"/>
    </x:xf>
    <x:xf numFmtId="0" fontId="6" fillId="0" borderId="56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9" xfId="0" applyNumberFormat="1" applyFont="1" applyBorder="1" applyAlignment="1">
          <x:alignment horizontal="center" vertical="center"/>
        </x:xf>
      </mc:Fallback>
    </mc:AlternateContent>
    <x:xf numFmtId="0" fontId="6" fillId="0" borderId="29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20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9" xfId="2" applyNumberFormat="1" applyFont="1" applyBorder="1" applyAlignment="1">
          <x:alignment horizontal="center" vertical="center"/>
        </x:xf>
      </mc:Fallback>
    </mc:AlternateContent>
    <x:xf numFmtId="41" fontId="6" fillId="0" borderId="55" xfId="2" applyNumberFormat="1" applyFont="1" applyBorder="1" applyAlignment="1">
      <x:alignment horizontal="left" vertical="top"/>
    </x:xf>
    <x:xf numFmtId="41" fontId="6" fillId="0" borderId="59" xfId="2" applyNumberFormat="1" applyFont="1" applyBorder="1" applyAlignment="1">
      <x:alignment horizontal="left" vertical="top"/>
    </x:xf>
    <x:xf numFmtId="41" fontId="6" fillId="0" borderId="29" xfId="2" applyNumberFormat="1" applyFont="1" applyBorder="1" applyAlignment="1">
      <x:alignment horizontal="left" vertical="top"/>
    </x:xf>
    <x:xf numFmtId="41" fontId="6" fillId="0" borderId="56" xfId="2" applyNumberFormat="1" applyFont="1" applyBorder="1" applyAlignment="1">
      <x:alignment horizontal="left" vertical="top"/>
    </x:xf>
    <x:xf numFmtId="0" fontId="6" fillId="0" borderId="59" xfId="0" applyNumberFormat="1" applyFont="1" applyBorder="1" applyAlignment="1">
      <x:alignment horizontal="left" vertical="top"/>
    </x:xf>
    <x:xf numFmtId="0" fontId="6" fillId="0" borderId="1" xfId="0" applyNumberFormat="1" applyFont="1" applyBorder="1" applyAlignment="1">
      <x:alignment horizontal="left" vertical="top"/>
    </x:xf>
    <x:xf numFmtId="0" fontId="6" fillId="0" borderId="60" xfId="0" applyNumberFormat="1" applyFont="1" applyBorder="1" applyAlignment="1">
      <x:alignment horizontal="left" vertical="center"/>
    </x:xf>
    <x:xf numFmtId="0" fontId="6" fillId="0" borderId="61" xfId="0" applyNumberFormat="1" applyFont="1" applyBorder="1" applyAlignment="1">
      <x:alignment horizontal="left" vertical="center"/>
    </x:xf>
    <x:xf numFmtId="0" fontId="21" fillId="0" borderId="62" xfId="0" applyNumberFormat="1" applyFont="1" applyBorder="1" applyAlignment="1">
      <x:alignment horizontal="left" vertical="center"/>
    </x:xf>
    <x:xf numFmtId="0" fontId="21" fillId="0" borderId="63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x:xf numFmtId="0" fontId="6" fillId="0" borderId="32" xfId="0" applyNumberFormat="1" applyFont="1" applyBorder="1" applyAlignment="1">
      <x:alignment horizontal="left" vertical="top"/>
    </x:xf>
    <x:xf numFmtId="0" fontId="6" fillId="0" borderId="66" xfId="0" applyNumberFormat="1" applyFont="1" applyBorder="1" applyAlignment="1">
      <x:alignment horizontal="left" vertical="top"/>
    </x:xf>
    <x:xf numFmtId="0" fontId="6" fillId="0" borderId="67" xfId="0" applyNumberFormat="1" applyFont="1" applyBorder="1" applyAlignment="1">
      <x:alignment horizontal="left" vertical="top"/>
    </x:xf>
    <x:xf numFmtId="0" fontId="6" fillId="0" borderId="24" xfId="0" applyNumberFormat="1" applyFont="1" applyBorder="1" applyAlignment="1">
      <x:alignment horizontal="left" vertical="top"/>
    </x:xf>
    <x:xf numFmtId="0" fontId="6" fillId="0" borderId="0" xfId="0" applyNumberFormat="1" applyFont="1" applyAlignment="1">
      <x:alignment horizontal="left" vertical="top"/>
    </x:xf>
    <x:xf numFmtId="0" fontId="6" fillId="0" borderId="68" xfId="0" applyNumberFormat="1" applyFont="1" applyBorder="1" applyAlignment="1">
      <x:alignment horizontal="left" vertical="top"/>
    </x:xf>
    <x:xf numFmtId="0" fontId="6" fillId="0" borderId="18" xfId="0" applyNumberFormat="1" applyFont="1" applyBorder="1" applyAlignment="1">
      <x:alignment horizontal="left" vertical="top"/>
    </x:xf>
    <x:xf numFmtId="0" fontId="6" fillId="0" borderId="69" xfId="0" applyNumberFormat="1" applyFont="1" applyBorder="1" applyAlignment="1">
      <x:alignment horizontal="left" vertical="top"/>
    </x:xf>
    <x:xf numFmtId="0" fontId="6" fillId="0" borderId="70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5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5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5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5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8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8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5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5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7" xfId="2" applyNumberFormat="1" applyFont="1" applyFill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0" applyNumberFormat="1" applyFont="1" applyBorder="1" applyAlignment="1">
          <x:alignment horizontal="center" vertical="center"/>
        </x:xf>
      </mc:Fallback>
    </mc:AlternateContent>
    <x:xf numFmtId="41" fontId="15" fillId="0" borderId="1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5" borderId="5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5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5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5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7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3" xfId="0" applyNumberFormat="1" applyFont="1" applyFill="1" applyBorder="1" applyAlignment="1">
          <x:alignment horizontal="center" vertical="center"/>
        </x:xf>
      </mc:Fallback>
    </mc:AlternateContent>
    <x:xf numFmtId="0" fontId="7" fillId="2" borderId="74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25" xfId="0" applyNumberFormat="1" applyFont="1" applyFill="1" applyBorder="1" applyAlignment="1">
          <x:alignment horizontal="center" vertical="center"/>
        </x:xf>
      </mc:Fallback>
    </mc:AlternateContent>
    <x:xf numFmtId="0" fontId="7" fillId="3" borderId="2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5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5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5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53" xfId="0" applyNumberFormat="1" applyFont="1" applyFill="1" applyBorder="1" applyAlignment="1">
          <x:alignment horizontal="center" vertical="center" wrapText="1"/>
        </x:xf>
      </mc:Fallback>
    </mc:AlternateContent>
    <x:xf numFmtId="0" fontId="15" fillId="0" borderId="1" xfId="0" applyNumberFormat="1" applyFont="1" applyBorder="1" applyAlignment="1">
      <x:alignment horizontal="left" vertical="top" wrapText="1"/>
    </x:xf>
    <x:xf numFmtId="0" fontId="15" fillId="0" borderId="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3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8" borderId="5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8" borderId="5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8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8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5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5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3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38" xfId="2" applyNumberFormat="1" applyFont="1" applyFill="1" applyBorder="1" applyAlignment="1">
          <x:alignment horizontal="center" vertical="center"/>
        </x:xf>
      </mc:Fallback>
    </mc:AlternateContent>
    <x:xf numFmtId="41" fontId="16" fillId="0" borderId="55" xfId="2" applyNumberFormat="1" applyFont="1" applyBorder="1" applyAlignment="1">
      <x:alignment horizontal="left" vertical="center"/>
    </x:xf>
    <x:xf numFmtId="41" fontId="16" fillId="0" borderId="59" xfId="2" applyNumberFormat="1" applyFont="1" applyBorder="1" applyAlignment="1">
      <x:alignment horizontal="left" vertical="center"/>
    </x:xf>
    <x:xf numFmtId="41" fontId="16" fillId="0" borderId="29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5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5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5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 shrinkToFit="1"/>
        </x:xf>
      </mc:Fallback>
    </mc:AlternateContent>
    <x:xf numFmtId="0" fontId="15" fillId="0" borderId="55" xfId="0" applyNumberFormat="1" applyFont="1" applyBorder="1" applyAlignment="1">
      <x:alignment horizontal="left" vertical="center" wrapText="1"/>
    </x:xf>
    <x:xf numFmtId="0" fontId="15" fillId="0" borderId="59" xfId="0" applyNumberFormat="1" applyFont="1" applyBorder="1" applyAlignment="1">
      <x:alignment horizontal="left" vertical="center" wrapText="1"/>
    </x:xf>
    <x:xf numFmtId="0" fontId="15" fillId="0" borderId="29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7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5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5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6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6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6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6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9" xfId="0" applyNumberFormat="1" applyFont="1" applyBorder="1" applyAlignment="1">
          <x:alignment horizontal="center" vertical="center"/>
        </x:xf>
      </mc:Fallback>
    </mc:AlternateContent>
    <x:xf numFmtId="0" fontId="15" fillId="0" borderId="55" xfId="0" applyNumberFormat="1" applyFont="1" applyBorder="1" applyAlignment="1">
      <x:alignment horizontal="left" vertical="top" wrapText="1"/>
    </x:xf>
    <x:xf numFmtId="0" fontId="15" fillId="0" borderId="59" xfId="0" applyNumberFormat="1" applyFont="1" applyBorder="1" applyAlignment="1">
      <x:alignment horizontal="left" vertical="top" wrapText="1"/>
    </x:xf>
    <x:xf numFmtId="0" fontId="15" fillId="0" borderId="29" xfId="0" applyNumberFormat="1" applyFon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right" vertical="center"/>
        </x:xf>
      </mc:Fallback>
    </mc:AlternateContent>
    <x:xf numFmtId="3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right" vertical="center"/>
        </x:xf>
      </mc:Fallback>
    </mc:AlternateContent>
    <x:xf numFmtId="41" fontId="15" fillId="0" borderId="55" xfId="2" applyNumberFormat="1" applyFont="1" applyBorder="1" applyAlignment="1">
      <x:alignment horizontal="left" vertical="center"/>
    </x:xf>
    <x:xf numFmtId="41" fontId="15" fillId="0" borderId="59" xfId="2" applyNumberFormat="1" applyFont="1" applyBorder="1" applyAlignment="1">
      <x:alignment horizontal="left" vertical="center"/>
    </x:xf>
    <x:xf numFmtId="41" fontId="15" fillId="0" borderId="29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3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3" fontId="15" fillId="5" borderId="1" xfId="2" applyNumberFormat="1" applyFont="1" applyFill="1" applyBorder="1" applyAlignment="1">
          <x:alignment horizontal="center" vertical="center"/>
        </x:xf>
      </mc:Fallback>
    </mc:AlternateContent>
  </x:cellXfs>
  <x:cellStyles count="4">
    <x:cellStyle name="표준" xfId="0" builtinId="0"/>
    <x:cellStyle name="백분율" xfId="1" builtinId="5"/>
    <x:cellStyle name="쉼표 [0]" xfId="2" builtinId="6"/>
    <x:cellStyle name="쉼표 [0] 3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34" Type="http://schemas.openxmlformats.org/officeDocument/2006/relationships/worksheet" Target="worksheets/sheet31.xml"  /><Relationship Id="rId35" Type="http://schemas.openxmlformats.org/officeDocument/2006/relationships/worksheet" Target="worksheets/sheet32.xml"  /><Relationship Id="rId36" Type="http://schemas.openxmlformats.org/officeDocument/2006/relationships/worksheet" Target="worksheets/sheet33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12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layout/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'10'!$C$1:$C$11</c:f>
              <c:strCache>
                <c:ptCount val="1"/>
                <c:pt idx="0">
                  <c:v>2025년4,226,0003,485,000741,00067,600600,000슈퍼멤버스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알바X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4226000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'10'!$C$12:$C$34</c:f>
              <c:numCache>
                <c:formatCode>General</c:formatCode>
                <c:ptCount val="23"/>
                <c:pt idx="0">
                  <c:v>10</c:v>
                </c:pt>
                <c:pt idx="1">
                  <c:v>73</c:v>
                </c:pt>
                <c:pt idx="2">
                  <c:v>25</c:v>
                </c:pt>
                <c:pt idx="3">
                  <c:v>219</c:v>
                </c:pt>
                <c:pt idx="4">
                  <c:v>3</c:v>
                </c:pt>
                <c:pt idx="5">
                  <c:v>48</c:v>
                </c:pt>
                <c:pt idx="6">
                  <c:v>6</c:v>
                </c:pt>
                <c:pt idx="7">
                  <c:v>153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5116400</c:v>
                </c:pt>
                <c:pt idx="14">
                  <c:v/>
                </c:pt>
                <c:pt idx="15">
                  <c:v>106451.612903226</c:v>
                </c:pt>
                <c:pt idx="16">
                  <c:v/>
                </c:pt>
                <c:pt idx="17">
                  <c:v>106451.612903226</c:v>
                </c:pt>
                <c:pt idx="18">
                  <c:v/>
                </c:pt>
                <c:pt idx="19">
                  <c:v>129032.258064516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1"/>
          <c:order val="1"/>
          <c:tx>
            <c:strRef>
              <c:f>'10'!$D$1:$D$11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알바X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4226000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'10'!$D$12:$D$34</c:f>
              <c:numCache>
                <c:formatCode>General</c:formatCode>
                <c:ptCount val="23"/>
                <c:pt idx="0">
                  <c:v>0</c:v>
                </c:pt>
                <c:pt idx="1">
                  <c:v/>
                </c:pt>
                <c:pt idx="2">
                  <c:v>0</c:v>
                </c:pt>
                <c:pt idx="3">
                  <c:v/>
                </c:pt>
                <c:pt idx="4">
                  <c:v>0</c:v>
                </c:pt>
                <c:pt idx="5">
                  <c:v/>
                </c:pt>
                <c:pt idx="6">
                  <c:v>0</c:v>
                </c:pt>
                <c:pt idx="7">
                  <c:v/>
                </c:pt>
                <c:pt idx="8">
                  <c:v>0</c:v>
                </c:pt>
                <c:pt idx="9">
                  <c:v>0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2"/>
          <c:order val="2"/>
          <c:tx>
            <c:strRef>
              <c:f>'10'!$E$1:$E$11</c:f>
              <c:strCache>
                <c:ptCount val="1"/>
                <c:pt idx="0">
                  <c:v>11월시재카드수수료(2.75%)현금수수료(1%)통장입금마감잔금카드할인</c:v>
                </c:pt>
              </c:strCache>
            </c:strRef>
          </c:tx>
          <c:spPr>
            <a:solidFill>
              <a:schemeClr val="accent3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알바X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4226000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'10'!$E$12:$E$34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51164000</c:v>
                </c:pt>
                <c:pt idx="14">
                  <c:v/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3"/>
          <c:order val="3"/>
          <c:tx>
            <c:strRef>
              <c:f>'10'!$F$1:$F$11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알바X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4226000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'10'!$F$12:$F$34</c:f>
              <c:numCache>
                <c:formatCode>General</c:formatCode>
                <c:ptCount val="23"/>
                <c:pt idx="0">
                  <c:v>7</c:v>
                </c:pt>
                <c:pt idx="1">
                  <c:v>64</c:v>
                </c:pt>
                <c:pt idx="2">
                  <c:v>12</c:v>
                </c:pt>
                <c:pt idx="3">
                  <c:v>88</c:v>
                </c:pt>
                <c:pt idx="4">
                  <c:v>7</c:v>
                </c:pt>
                <c:pt idx="5">
                  <c:v>44</c:v>
                </c:pt>
                <c:pt idx="6">
                  <c:v>9</c:v>
                </c:pt>
                <c:pt idx="7">
                  <c:v>44</c:v>
                </c:pt>
                <c:pt idx="8">
                  <c:v>57</c:v>
                </c:pt>
                <c:pt idx="9">
                  <c:v>657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>58500</c:v>
                </c:pt>
                <c:pt idx="16">
                  <c:v>48387.0967741935</c:v>
                </c:pt>
                <c:pt idx="17">
                  <c:v/>
                </c:pt>
                <c:pt idx="18">
                  <c:v/>
                </c:pt>
                <c:pt idx="19">
                  <c:v>12000</c:v>
                </c:pt>
                <c:pt idx="20">
                  <c:v>71000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4"/>
          <c:order val="4"/>
          <c:tx>
            <c:strRef>
              <c:f>'10'!$G$1:$G$11</c:f>
              <c:strCache>
                <c:ptCount val="1"/>
                <c:pt idx="0">
                  <c:v>월126,60095,8377,410800,00067,600</c:v>
                </c:pt>
              </c:strCache>
            </c:strRef>
          </c:tx>
          <c:spPr>
            <a:solidFill>
              <a:schemeClr val="accent5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알바X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4226000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'10'!$G$12:$G$34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5"/>
          <c:order val="5"/>
          <c:tx>
            <c:strRef>
              <c:f>'10'!$H$1:$H$11</c:f>
              <c:strCache>
                <c:ptCount val="1"/>
                <c:pt idx="0">
                  <c:v>실영업일수식자재업체고기식자재주류쌀참기름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알바X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4226000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'10'!$H$12:$H$34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/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6"/>
          <c:order val="6"/>
          <c:tx>
            <c:strRef>
              <c:f>'10'!$I$1:$I$11</c:f>
              <c:strCache>
                <c:ptCount val="1"/>
                <c:pt idx="0">
                  <c:v>10금액2,231,358393,12265,000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알바X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4226000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'10'!$I$13:$I$34</c:f>
              <c:numCache>
                <c:formatCode>General</c:formatCode>
                <c:ptCount val="22"/>
                <c:pt idx="0">
                  <c:v/>
                </c:pt>
                <c:pt idx="1">
                  <c:v/>
                </c:pt>
                <c:pt idx="2">
                  <c:v>209750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2899230</c:v>
                </c:pt>
                <c:pt idx="11">
                  <c:v>0.686045906294368</c:v>
                </c:pt>
                <c:pt idx="12">
                  <c:v>1925001</c:v>
                </c:pt>
                <c:pt idx="13">
                  <c:v>0.0376241302478305</c:v>
                </c:pt>
                <c:pt idx="14">
                  <c:v>531822.580645161</c:v>
                </c:pt>
                <c:pt idx="15">
                  <c:v>0.125845381127582</c:v>
                </c:pt>
                <c:pt idx="16">
                  <c:v>19250010</c:v>
                </c:pt>
                <c:pt idx="17">
                  <c:v>36.1963006095897</c:v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</c:numCache>
            </c:numRef>
          </c:val>
        </c:ser>
        <c:ser>
          <c:idx val="7"/>
          <c:order val="7"/>
          <c:tx>
            <c:strRef>
              <c:f>'10'!$J$1:$J$11</c:f>
              <c:strCache>
                <c:ptCount val="1"/>
                <c:pt idx="0">
                  <c:v>휴무일수비품 및 기타경비업체숯음식물스티커종량제봉투뚝배기발매트불판세척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알바X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4226000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'10'!$J$12:$J$34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8"/>
          <c:order val="8"/>
          <c:tx>
            <c:strRef>
              <c:f>'10'!$K$1:$K$11</c:f>
              <c:strCache>
                <c:ptCount val="1"/>
                <c:pt idx="0">
                  <c:v>금액14,300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3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알바X</c:v>
                  </c:pt>
                  <c:pt idx="21">
                    <c:v>알바B</c:v>
                  </c:pt>
                  <c:pt idx="22">
                    <c:v>알바X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4226000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'10'!$K$12:$K$34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14300</c:v>
                </c:pt>
                <c:pt idx="12">
                  <c:v>0.00338381448177946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367527704"/>
        <c:axId val="367533104"/>
      </c:barChart>
      <c:catAx>
        <c:axId val="367527704"/>
        <c:scaling>
          <c:orientation val="minMax"/>
        </c:scaling>
        <c:axPos val="b"/>
        <c:crossAx val="367533104"/>
        <c:delete val="0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367533104"/>
        <c:scaling>
          <c:orientation val="minMax"/>
        </c:scaling>
        <c:axPos val="l"/>
        <c:crossAx val="367527704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legend>
    <c:plotVisOnly val="0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12.xml.rels><?xml version="1.0" encoding="UTF-8" standalone="yes" ?><Relationships xmlns="http://schemas.openxmlformats.org/package/2006/relationships"><Relationship Id="rId1" Type="http://schemas.openxmlformats.org/officeDocument/2006/relationships/chart" Target="../charts/chart12.xml"  /></Relationships>
</file>

<file path=xl/drawings/drawing1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0</xdr:col>
      <xdr:colOff>0</xdr:colOff>
      <xdr:row>0</xdr:row>
      <xdr:rowOff>0</xdr:rowOff>
    </xdr:from>
    <xdr:to>
      <xdr:col>12</xdr:col>
      <xdr:colOff>447675</xdr:colOff>
      <xdr:row>30</xdr:row>
      <xdr:rowOff>19050</xdr:rowOff>
    </xdr:to>
    <xdr:graphicFrame fPublished="0">
      <xdr:nvGraphicFramePr>
        <xdr:cNvPr id="2" name="차트 1"/>
        <xdr:cNvGraphicFramePr/>
      </xdr:nvGraphicFramePr>
      <xdr:xfrm>
        <a:off x="0" y="0"/>
        <a:ext cx="8760113" cy="65087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1"/>
  <x:sheetViews>
    <x:sheetView topLeftCell="A1" zoomScaleNormal="100" zoomScaleSheetLayoutView="75" workbookViewId="0">
      <x:selection activeCell="N10" activeCellId="0" sqref="N10:N10"/>
    </x:sheetView>
  </x:sheetViews>
  <x:sheetFormatPr defaultColWidth="8.625" defaultRowHeight="30" customHeight="1"/>
  <x:cols>
    <x:col min="1" max="1" width="8.625" style="2" customWidth="1"/>
    <x:col min="2" max="2" width="4.625" style="2" customWidth="1"/>
    <x:col min="3" max="3" width="10.625" style="2" customWidth="1"/>
    <x:col min="4" max="4" width="3.625" style="2" customWidth="1"/>
    <x:col min="5" max="5" width="8.625" style="2" customWidth="1"/>
    <x:col min="6" max="6" width="4.625" style="2" customWidth="1"/>
    <x:col min="7" max="7" width="12.625" style="2" customWidth="1"/>
    <x:col min="8" max="8" width="8.625" style="2" customWidth="1"/>
    <x:col min="9" max="10" width="4.625" style="2" customWidth="1"/>
    <x:col min="11" max="11" width="12.625" style="2" customWidth="1"/>
    <x:col min="12" max="16384" width="8.625" style="2"/>
  </x:cols>
  <x:sheetData>
    <x:row r="1" spans="1:11" customHeight="1">
      <x:c r="A1" s="214" t="s">
        <x:v>69</x:v>
      </x:c>
      <x:c r="B1" s="214"/>
      <x:c r="C1" s="214"/>
      <x:c r="D1" s="214"/>
      <x:c r="E1" s="214"/>
      <x:c r="F1" s="214"/>
      <x:c r="G1" s="214"/>
      <x:c r="H1" s="214"/>
      <x:c r="I1" s="214"/>
      <x:c r="J1" s="214"/>
      <x:c r="K1" s="214"/>
    </x:row>
    <x:row r="2" spans="1:11" ht="30.949999999999999" customHeight="1">
      <x:c r="A2" s="231" t="s">
        <x:v>9</x:v>
      </x:c>
      <x:c r="B2" s="232"/>
      <x:c r="C2" s="233">
        <x:f>C3+G3+C5</x:f>
        <x:v>0</x:v>
      </x:c>
      <x:c r="D2" s="234"/>
      <x:c r="E2" s="235" t="s">
        <x:v>12</x:v>
      </x:c>
      <x:c r="F2" s="236"/>
      <x:c r="G2" s="6"/>
      <x:c r="H2" s="237" t="s">
        <x:v>71</x:v>
      </x:c>
      <x:c r="I2" s="238"/>
      <x:c r="J2" s="238"/>
      <x:c r="K2" s="239"/>
    </x:row>
    <x:row r="3" spans="1:11" ht="30.949999999999999" customHeight="1">
      <x:c r="A3" s="208" t="s">
        <x:v>120</x:v>
      </x:c>
      <x:c r="B3" s="209"/>
      <x:c r="C3" s="197">
        <x:f>SUM('1'!C3)</x:f>
        <x:v>0</x:v>
      </x:c>
      <x:c r="D3" s="197"/>
      <x:c r="E3" s="209" t="s">
        <x:v>127</x:v>
      </x:c>
      <x:c r="F3" s="209"/>
      <x:c r="G3" s="7">
        <x:f>SUM('1'!G3)</x:f>
        <x:v>0</x:v>
      </x:c>
      <x:c r="H3" s="240"/>
      <x:c r="I3" s="241"/>
      <x:c r="J3" s="241"/>
      <x:c r="K3" s="242"/>
    </x:row>
    <x:row r="4" spans="1:11" ht="30.949999999999999" customHeight="1">
      <x:c r="A4" s="215" t="s">
        <x:v>118</x:v>
      </x:c>
      <x:c r="B4" s="211"/>
      <x:c r="C4" s="249">
        <x:f>C21</x:f>
        <x:v>0</x:v>
      </x:c>
      <x:c r="D4" s="249"/>
      <x:c r="E4" s="210" t="s">
        <x:v>14</x:v>
      </x:c>
      <x:c r="F4" s="211"/>
      <x:c r="G4" s="8">
        <x:f>C17</x:f>
        <x:v>0</x:v>
      </x:c>
      <x:c r="H4" s="243"/>
      <x:c r="I4" s="244"/>
      <x:c r="J4" s="244"/>
      <x:c r="K4" s="245"/>
    </x:row>
    <x:row r="5" spans="1:11" ht="30.949999999999999" customHeight="1">
      <x:c r="A5" s="208" t="s">
        <x:v>102</x:v>
      </x:c>
      <x:c r="B5" s="209"/>
      <x:c r="C5" s="250">
        <x:f>C6+G6</x:f>
        <x:v>0</x:v>
      </x:c>
      <x:c r="D5" s="251"/>
      <x:c r="E5" s="210" t="s">
        <x:v>17</x:v>
      </x:c>
      <x:c r="F5" s="211"/>
      <x:c r="G5" s="8">
        <x:f>C4-G4</x:f>
        <x:v>0</x:v>
      </x:c>
      <x:c r="H5" s="243"/>
      <x:c r="I5" s="244"/>
      <x:c r="J5" s="244"/>
      <x:c r="K5" s="245"/>
    </x:row>
    <x:row r="6" spans="1:11" ht="30.949999999999999" customHeight="1">
      <x:c r="A6" s="208" t="s">
        <x:v>141</x:v>
      </x:c>
      <x:c r="B6" s="209"/>
      <x:c r="C6" s="197">
        <x:f>SUM('1'!C7)</x:f>
        <x:v>0</x:v>
      </x:c>
      <x:c r="D6" s="197"/>
      <x:c r="E6" s="209" t="s">
        <x:v>85</x:v>
      </x:c>
      <x:c r="F6" s="209"/>
      <x:c r="G6" s="7">
        <x:f>SUM('1'!G7)</x:f>
        <x:v>0</x:v>
      </x:c>
      <x:c r="H6" s="243"/>
      <x:c r="I6" s="244"/>
      <x:c r="J6" s="244"/>
      <x:c r="K6" s="245"/>
    </x:row>
    <x:row r="7" spans="1:11" ht="30.949999999999999" customHeight="1">
      <x:c r="A7" s="208" t="s">
        <x:v>101</x:v>
      </x:c>
      <x:c r="B7" s="209"/>
      <x:c r="C7" s="226"/>
      <x:c r="D7" s="226"/>
      <x:c r="E7" s="226"/>
      <x:c r="F7" s="226"/>
      <x:c r="G7" s="226"/>
      <x:c r="H7" s="246"/>
      <x:c r="I7" s="247"/>
      <x:c r="J7" s="247"/>
      <x:c r="K7" s="248"/>
    </x:row>
    <x:row r="8" spans="1:11" ht="30.949999999999999" customHeight="1">
      <x:c r="A8" s="208"/>
      <x:c r="B8" s="209"/>
      <x:c r="C8" s="226"/>
      <x:c r="D8" s="226"/>
      <x:c r="E8" s="226"/>
      <x:c r="F8" s="226"/>
      <x:c r="G8" s="226"/>
      <x:c r="H8" s="5" t="s">
        <x:v>64</x:v>
      </x:c>
      <x:c r="I8" s="227" t="s">
        <x:v>94</x:v>
      </x:c>
      <x:c r="J8" s="228"/>
      <x:c r="K8" s="9">
        <x:f>SUM('1'!K9)</x:f>
        <x:v>0</x:v>
      </x:c>
    </x:row>
    <x:row r="9" spans="1:11" ht="30.949999999999999" customHeight="1">
      <x:c r="A9" s="208"/>
      <x:c r="B9" s="209"/>
      <x:c r="C9" s="226"/>
      <x:c r="D9" s="226"/>
      <x:c r="E9" s="226"/>
      <x:c r="F9" s="226"/>
      <x:c r="G9" s="226"/>
      <x:c r="H9" s="209" t="s">
        <x:v>30</x:v>
      </x:c>
      <x:c r="I9" s="227" t="s">
        <x:v>94</x:v>
      </x:c>
      <x:c r="J9" s="228"/>
      <x:c r="K9" s="9">
        <x:f>SUM('1'!K10)</x:f>
        <x:v>0</x:v>
      </x:c>
    </x:row>
    <x:row r="10" spans="1:11" ht="30.949999999999999" customHeight="1">
      <x:c r="A10" s="208"/>
      <x:c r="B10" s="209"/>
      <x:c r="C10" s="226"/>
      <x:c r="D10" s="226"/>
      <x:c r="E10" s="226"/>
      <x:c r="F10" s="226"/>
      <x:c r="G10" s="226"/>
      <x:c r="H10" s="209"/>
      <x:c r="I10" s="229" t="s">
        <x:v>137</x:v>
      </x:c>
      <x:c r="J10" s="230"/>
      <x:c r="K10" s="10">
        <x:f>SUM('1'!K11)</x:f>
        <x:v>0</x:v>
      </x:c>
    </x:row>
    <x:row r="11" spans="1:11" ht="32.100000000000001" customHeight="1">
      <x:c r="A11" s="215" t="s">
        <x:v>81</x:v>
      </x:c>
      <x:c r="B11" s="211"/>
      <x:c r="C11" s="221"/>
      <x:c r="D11" s="222"/>
      <x:c r="E11" s="222"/>
      <x:c r="F11" s="222"/>
      <x:c r="G11" s="223"/>
      <x:c r="H11" s="3" t="s">
        <x:v>130</x:v>
      </x:c>
      <x:c r="I11" s="221"/>
      <x:c r="J11" s="222"/>
      <x:c r="K11" s="224"/>
    </x:row>
    <x:row r="12" spans="1:11" ht="69.950000000000003" customHeight="1">
      <x:c r="A12" s="215" t="s">
        <x:v>122</x:v>
      </x:c>
      <x:c r="B12" s="211"/>
      <x:c r="C12" s="199"/>
      <x:c r="D12" s="225"/>
      <x:c r="E12" s="225"/>
      <x:c r="F12" s="225"/>
      <x:c r="G12" s="213"/>
      <x:c r="H12" s="3" t="s">
        <x:v>135</x:v>
      </x:c>
      <x:c r="I12" s="199"/>
      <x:c r="J12" s="225"/>
      <x:c r="K12" s="200"/>
    </x:row>
    <x:row r="13" spans="1:11" ht="30.949999999999999" customHeight="1">
      <x:c r="A13" s="208" t="s">
        <x:v>86</x:v>
      </x:c>
      <x:c r="B13" s="209"/>
      <x:c r="C13" s="210" t="s">
        <x:v>84</x:v>
      </x:c>
      <x:c r="D13" s="211"/>
      <x:c r="E13" s="210" t="s">
        <x:v>99</x:v>
      </x:c>
      <x:c r="F13" s="212"/>
      <x:c r="G13" s="211"/>
      <x:c r="H13" s="209" t="s">
        <x:v>75</x:v>
      </x:c>
      <x:c r="I13" s="209"/>
      <x:c r="J13" s="209" t="s">
        <x:v>83</x:v>
      </x:c>
      <x:c r="K13" s="216"/>
    </x:row>
    <x:row r="14" spans="1:11" ht="30.949999999999999" customHeight="1">
      <x:c r="A14" s="217">
        <x:f>C2</x:f>
        <x:v>0</x:v>
      </x:c>
      <x:c r="B14" s="218"/>
      <x:c r="C14" s="219" t="e">
        <x:f>ROUNDDOWN((E14/A14),-4)</x:f>
        <x:v>#DIV/0!</x:v>
      </x:c>
      <x:c r="D14" s="218"/>
      <x:c r="E14" s="219">
        <x:f>C2</x:f>
        <x:v>0</x:v>
      </x:c>
      <x:c r="F14" s="220"/>
      <x:c r="G14" s="218"/>
      <x:c r="H14" s="199"/>
      <x:c r="I14" s="213"/>
      <x:c r="J14" s="199"/>
      <x:c r="K14" s="200"/>
    </x:row>
    <x:row r="15" spans="1:11" ht="30.949999999999999" customHeight="1">
      <x:c r="A15" s="208" t="s">
        <x:v>140</x:v>
      </x:c>
      <x:c r="B15" s="209"/>
      <x:c r="C15" s="210"/>
      <x:c r="D15" s="211"/>
      <x:c r="E15" s="210"/>
      <x:c r="F15" s="212"/>
      <x:c r="G15" s="211"/>
      <x:c r="H15" s="199"/>
      <x:c r="I15" s="213"/>
      <x:c r="J15" s="199"/>
      <x:c r="K15" s="200"/>
    </x:row>
    <x:row r="16" spans="1:11" ht="30.949999999999999" customHeight="1">
      <x:c r="A16" s="215" t="s">
        <x:v>70</x:v>
      </x:c>
      <x:c r="B16" s="212"/>
      <x:c r="C16" s="212"/>
      <x:c r="D16" s="212"/>
      <x:c r="E16" s="212"/>
      <x:c r="F16" s="211"/>
      <x:c r="G16" s="209" t="s">
        <x:v>70</x:v>
      </x:c>
      <x:c r="H16" s="209"/>
      <x:c r="I16" s="209"/>
      <x:c r="J16" s="209"/>
      <x:c r="K16" s="216"/>
    </x:row>
    <x:row r="17" spans="1:11" ht="30.949999999999999" customHeight="1">
      <x:c r="A17" s="208" t="s">
        <x:v>3</x:v>
      </x:c>
      <x:c r="B17" s="209"/>
      <x:c r="C17" s="197"/>
      <x:c r="D17" s="197"/>
      <x:c r="E17" s="197"/>
      <x:c r="F17" s="197"/>
      <x:c r="G17" s="3" t="s">
        <x:v>3</x:v>
      </x:c>
      <x:c r="H17" s="197"/>
      <x:c r="I17" s="197"/>
      <x:c r="J17" s="197"/>
      <x:c r="K17" s="198"/>
    </x:row>
    <x:row r="18" spans="1:11" ht="30.949999999999999" customHeight="1">
      <x:c r="A18" s="208" t="s">
        <x:v>50</x:v>
      </x:c>
      <x:c r="B18" s="209"/>
      <x:c r="C18" s="197"/>
      <x:c r="D18" s="197"/>
      <x:c r="E18" s="197"/>
      <x:c r="F18" s="197"/>
      <x:c r="G18" s="3" t="s">
        <x:v>50</x:v>
      </x:c>
      <x:c r="H18" s="197"/>
      <x:c r="I18" s="197"/>
      <x:c r="J18" s="197"/>
      <x:c r="K18" s="198"/>
    </x:row>
    <x:row r="19" spans="1:11" ht="30.949999999999999" customHeight="1">
      <x:c r="A19" s="208" t="s">
        <x:v>13</x:v>
      </x:c>
      <x:c r="B19" s="209"/>
      <x:c r="C19" s="197"/>
      <x:c r="D19" s="197"/>
      <x:c r="E19" s="197"/>
      <x:c r="F19" s="197"/>
      <x:c r="G19" s="3" t="s">
        <x:v>13</x:v>
      </x:c>
      <x:c r="H19" s="197"/>
      <x:c r="I19" s="197"/>
      <x:c r="J19" s="197"/>
      <x:c r="K19" s="198"/>
    </x:row>
    <x:row r="20" spans="1:11" ht="30.949999999999999" customHeight="1">
      <x:c r="A20" s="208" t="s">
        <x:v>41</x:v>
      </x:c>
      <x:c r="B20" s="209"/>
      <x:c r="C20" s="197"/>
      <x:c r="D20" s="197"/>
      <x:c r="E20" s="197"/>
      <x:c r="F20" s="197"/>
      <x:c r="G20" s="3" t="s">
        <x:v>41</x:v>
      </x:c>
      <x:c r="H20" s="197"/>
      <x:c r="I20" s="197"/>
      <x:c r="J20" s="197"/>
      <x:c r="K20" s="198"/>
    </x:row>
    <x:row r="21" spans="1:11" ht="30.949999999999999" customHeight="1">
      <x:c r="A21" s="201" t="s">
        <x:v>52</x:v>
      </x:c>
      <x:c r="B21" s="202"/>
      <x:c r="C21" s="203">
        <x:f>SUM(C17:E20)</x:f>
        <x:v>0</x:v>
      </x:c>
      <x:c r="D21" s="204"/>
      <x:c r="E21" s="204"/>
      <x:c r="F21" s="205"/>
      <x:c r="G21" s="4" t="s">
        <x:v>52</x:v>
      </x:c>
      <x:c r="H21" s="206">
        <x:f>SUM(H17:K20)</x:f>
        <x:v>0</x:v>
      </x:c>
      <x:c r="I21" s="206"/>
      <x:c r="J21" s="206"/>
      <x:c r="K21" s="207"/>
    </x:row>
  </x:sheetData>
  <x:mergeCells count="62">
    <x:mergeCell ref="H18:K18"/>
    <x:mergeCell ref="J15:K15"/>
    <x:mergeCell ref="A21:B21"/>
    <x:mergeCell ref="C21:F21"/>
    <x:mergeCell ref="H21:K21"/>
    <x:mergeCell ref="A15:B15"/>
    <x:mergeCell ref="C15:D15"/>
    <x:mergeCell ref="E15:G15"/>
    <x:mergeCell ref="H15:I15"/>
    <x:mergeCell ref="A1:K1"/>
    <x:mergeCell ref="A19:B19"/>
    <x:mergeCell ref="C19:F19"/>
    <x:mergeCell ref="H19:K19"/>
    <x:mergeCell ref="A20:B20"/>
    <x:mergeCell ref="C20:F20"/>
    <x:mergeCell ref="H20:K20"/>
    <x:mergeCell ref="A17:B17"/>
    <x:mergeCell ref="C17:F17"/>
    <x:mergeCell ref="H17:K17"/>
    <x:mergeCell ref="A18:B18"/>
    <x:mergeCell ref="C18:F18"/>
    <x:mergeCell ref="A16:F16"/>
    <x:mergeCell ref="G16:K16"/>
    <x:mergeCell ref="A13:B13"/>
    <x:mergeCell ref="C13:D13"/>
    <x:mergeCell ref="E13:G13"/>
    <x:mergeCell ref="H13:I13"/>
    <x:mergeCell ref="J13:K13"/>
    <x:mergeCell ref="A14:B14"/>
    <x:mergeCell ref="C14:D14"/>
    <x:mergeCell ref="E14:G14"/>
    <x:mergeCell ref="H14:I14"/>
    <x:mergeCell ref="J14:K14"/>
    <x:mergeCell ref="A11:B11"/>
    <x:mergeCell ref="C11:G11"/>
    <x:mergeCell ref="I11:K11"/>
    <x:mergeCell ref="A12:B12"/>
    <x:mergeCell ref="C12:G12"/>
    <x:mergeCell ref="I12:K12"/>
    <x:mergeCell ref="E6:F6"/>
    <x:mergeCell ref="A7:B10"/>
    <x:mergeCell ref="C7:G10"/>
    <x:mergeCell ref="I8:J8"/>
    <x:mergeCell ref="H9:H10"/>
    <x:mergeCell ref="I9:J9"/>
    <x:mergeCell ref="I10:J10"/>
    <x:mergeCell ref="A2:B2"/>
    <x:mergeCell ref="C2:D2"/>
    <x:mergeCell ref="E2:F2"/>
    <x:mergeCell ref="H2:K2"/>
    <x:mergeCell ref="A3:B3"/>
    <x:mergeCell ref="C3:D3"/>
    <x:mergeCell ref="E3:F3"/>
    <x:mergeCell ref="H3:K7"/>
    <x:mergeCell ref="A4:B4"/>
    <x:mergeCell ref="C4:D4"/>
    <x:mergeCell ref="E4:F4"/>
    <x:mergeCell ref="A5:B5"/>
    <x:mergeCell ref="C5:D5"/>
    <x:mergeCell ref="E5:F5"/>
    <x:mergeCell ref="A6:B6"/>
    <x:mergeCell ref="C6:D6"/>
  </x:mergeCells>
  <x:pageMargins left="0.52958333492279053" right="0.47972223162651062" top="0.97000002861022949" bottom="0.49000000953674316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U58"/>
  <x:sheetViews>
    <x:sheetView tabSelected="1" topLeftCell="A4" zoomScale="90" zoomScaleNormal="90" zoomScaleSheetLayoutView="75" workbookViewId="0">
      <x:selection activeCell="C28" activeCellId="0" sqref="C28:C28"/>
    </x:sheetView>
  </x:sheetViews>
  <x:sheetFormatPr defaultColWidth="9" defaultRowHeight="16.5" customHeight="1"/>
  <x:cols>
    <x:col min="1" max="1" width="13.75" style="1" customWidth="1"/>
    <x:col min="2" max="2" width="13.875" style="1" customWidth="1"/>
    <x:col min="3" max="3" width="13.375" style="1" customWidth="1"/>
    <x:col min="4" max="4" width="20.625" style="1" customWidth="1"/>
    <x:col min="5" max="5" width="16" style="1" customWidth="1"/>
    <x:col min="6" max="6" width="11.375" style="1" customWidth="1"/>
    <x:col min="7" max="7" width="20.625" style="1" customWidth="1"/>
    <x:col min="8" max="8" width="15.25" style="1" customWidth="1"/>
    <x:col min="9" max="9" width="14.875" style="1" customWidth="1"/>
    <x:col min="10" max="10" width="14" style="1" customWidth="1"/>
    <x:col min="11" max="11" width="14.25" style="1" customWidth="1"/>
    <x:col min="12" max="12" width="0.875" style="1" customWidth="1"/>
    <x:col min="13" max="13" width="14.5" style="1" customWidth="1"/>
    <x:col min="14" max="14" width="13" style="1" customWidth="1"/>
    <x:col min="16" max="16" width="12.125" style="1" bestFit="1" customWidth="1"/>
    <x:col min="20" max="20" width="13" style="1" bestFit="1" customWidth="1"/>
    <x:col min="21" max="21" width="10.875" style="1" bestFit="1" customWidth="1"/>
  </x:cols>
  <x:sheetData>
    <x:row r="1" spans="5:5" customHeight="1">
      <x:c r="E1" s="139" t="s">
        <x:v>158</x:v>
      </x:c>
    </x:row>
    <x:row r="2" spans="1:2" ht="16.399999999999999">
      <x:c r="A2" s="11"/>
      <x:c r="B2" s="11"/>
    </x:row>
    <x:row r="3" ht="16.399999999999999"/>
    <x:row r="4" spans="1:16" customHeight="1">
      <x:c r="A4" s="176" t="s">
        <x:v>90</x:v>
      </x:c>
      <x:c r="B4" s="177"/>
      <x:c r="C4" s="177"/>
      <x:c r="D4" s="177"/>
      <x:c r="E4" s="178"/>
      <x:c r="F4" s="176" t="s">
        <x:v>78</x:v>
      </x:c>
      <x:c r="G4" s="177"/>
      <x:c r="H4" s="177"/>
      <x:c r="I4" s="177"/>
      <x:c r="J4" s="177"/>
      <x:c r="K4" s="178"/>
      <x:c r="M4" s="69"/>
      <x:c r="N4" s="69"/>
      <x:c r="O4" s="69"/>
      <x:c r="P4" s="69"/>
    </x:row>
    <x:row r="5" spans="1:16" s="15" customFormat="1" ht="17.149999999999999">
      <x:c r="A5" s="181" t="s">
        <x:v>2</x:v>
      </x:c>
      <x:c r="B5" s="182"/>
      <x:c r="C5" s="13"/>
      <x:c r="D5" s="13" t="s">
        <x:v>107</x:v>
      </x:c>
      <x:c r="E5" s="14" t="s">
        <x:v>142</x:v>
      </x:c>
      <x:c r="F5" s="12" t="s">
        <x:v>2</x:v>
      </x:c>
      <x:c r="G5" s="13" t="s">
        <x:v>25</x:v>
      </x:c>
      <x:c r="H5" s="13" t="s">
        <x:v>37</x:v>
      </x:c>
      <x:c r="I5" s="14"/>
      <x:c r="J5" s="13" t="s">
        <x:v>107</x:v>
      </x:c>
      <x:c r="K5" s="14"/>
      <x:c r="M5" s="76" t="s">
        <x:v>129</x:v>
      </x:c>
      <x:c r="N5" s="126">
        <x:f>SUM('1:30'!G6)</x:f>
        <x:v>19222200</x:v>
      </x:c>
      <x:c r="O5" s="69"/>
      <x:c r="P5" s="69"/>
    </x:row>
    <x:row r="6" spans="1:16" ht="16.399999999999999">
      <x:c r="A6" s="179" t="s">
        <x:v>33</x:v>
      </x:c>
      <x:c r="B6" s="180"/>
      <x:c r="C6" s="16">
        <x:v>6985000</x:v>
      </x:c>
      <x:c r="D6" s="16">
        <x:f>C6</x:f>
        <x:v>6985000</x:v>
      </x:c>
      <x:c r="E6" s="145">
        <x:f>D6/$B$45</x:f>
        <x:v>0.046839648136003297</x:v>
      </x:c>
      <x:c r="F6" s="170" t="s">
        <x:v>6</x:v>
      </x:c>
      <x:c r="G6" s="67" t="s">
        <x:v>20</x:v>
      </x:c>
      <x:c r="H6" s="16">
        <x:f>SUM('1:30'!I4)</x:f>
        <x:v>36011609</x:v>
      </x:c>
      <x:c r="I6" s="70">
        <x:f>H6/$B$45</x:f>
        <x:v>0.24148476655280307</x:v>
      </x:c>
      <x:c r="J6" s="173">
        <x:f>SUM(H6:H18)</x:f>
        <x:v>49967635</x:v>
      </x:c>
      <x:c r="K6" s="183">
        <x:f>J6/$B$45</x:f>
        <x:v>0.33507035670554658</x:v>
      </x:c>
      <x:c r="M6" s="75"/>
      <x:c r="N6" s="127"/>
      <x:c r="O6" s="69"/>
      <x:c r="P6" s="69"/>
    </x:row>
    <x:row r="7" spans="1:16" ht="16.75">
      <x:c r="A7" s="179" t="s">
        <x:v>36</x:v>
      </x:c>
      <x:c r="B7" s="180"/>
      <x:c r="C7" s="16">
        <x:v>2600000</x:v>
      </x:c>
      <x:c r="D7" s="16">
        <x:f>C7</x:f>
        <x:v>2600000</x:v>
      </x:c>
      <x:c r="E7" s="17">
        <x:f t="shared" ref="E7:E17" si="0">D7/$B$45</x:f>
        <x:v>0.017434944188061356</x:v>
      </x:c>
      <x:c r="F7" s="171"/>
      <x:c r="G7" s="67" t="s">
        <x:v>6</x:v>
      </x:c>
      <x:c r="H7" s="16">
        <x:f>SUM('1:30'!I5)</x:f>
        <x:v>6076926</x:v>
      </x:c>
      <x:c r="I7" s="70">
        <x:f>H7/$B$45</x:f>
        <x:v>0.040750332940376513</x:v>
      </x:c>
      <x:c r="J7" s="174"/>
      <x:c r="K7" s="169"/>
      <x:c r="M7" s="144" t="s">
        <x:v>62</x:v>
      </x:c>
      <x:c r="N7" s="128">
        <x:f>SUM('30'!C15)</x:f>
        <x:v>734</x:v>
      </x:c>
      <x:c r="O7" s="69"/>
      <x:c r="P7" s="69"/>
    </x:row>
    <x:row r="8" spans="1:16" ht="16.399999999999999">
      <x:c r="A8" s="179" t="s">
        <x:v>5</x:v>
      </x:c>
      <x:c r="B8" s="180"/>
      <x:c r="C8" s="16">
        <x:v>154000</x:v>
      </x:c>
      <x:c r="D8" s="16">
        <x:f t="shared" ref="D8:D17" si="1">C8</x:f>
        <x:v>154000</x:v>
      </x:c>
      <x:c r="E8" s="17">
        <x:f>D8/$B$45</x:f>
        <x:v>0.0010326851557544033</x:v>
      </x:c>
      <x:c r="F8" s="171"/>
      <x:c r="G8" s="67" t="s">
        <x:v>23</x:v>
      </x:c>
      <x:c r="H8" s="16">
        <x:f>SUM('1:30'!I7)</x:f>
        <x:v>3030190</x:v>
      </x:c>
      <x:c r="I8" s="146">
        <x:f>H8/$B$45</x:f>
        <x:v>0.0203196898189314</x:v>
      </x:c>
      <x:c r="J8" s="174"/>
      <x:c r="K8" s="169"/>
      <x:c r="M8" s="77" t="s">
        <x:v>153</x:v>
      </x:c>
      <x:c r="N8" s="129">
        <x:f>SUM('30'!C13)</x:f>
        <x:v>251</x:v>
      </x:c>
      <x:c r="O8" s="69"/>
      <x:c r="P8" s="69"/>
    </x:row>
    <x:row r="9" spans="1:16" ht="16.399999999999999">
      <x:c r="A9" s="185" t="s">
        <x:v>10</x:v>
      </x:c>
      <x:c r="B9" s="180"/>
      <x:c r="C9" s="16">
        <x:v>670000</x:v>
      </x:c>
      <x:c r="D9" s="16">
        <x:f t="shared" si="1"/>
        <x:v>670000</x:v>
      </x:c>
      <x:c r="E9" s="17">
        <x:f t="shared" si="0"/>
        <x:v>0.0044928510023081181</x:v>
      </x:c>
      <x:c r="F9" s="171"/>
      <x:c r="G9" s="67" t="s">
        <x:v>43</x:v>
      </x:c>
      <x:c r="H9" s="16">
        <x:f>SUM('1:30'!I8)</x:f>
        <x:v>845000</x:v>
      </x:c>
      <x:c r="I9" s="146">
        <x:f>H9/$B$45</x:f>
        <x:v>0.0056663568611199401</x:v>
      </x:c>
      <x:c r="J9" s="174"/>
      <x:c r="K9" s="169"/>
      <x:c r="M9" s="77" t="s">
        <x:v>49</x:v>
      </x:c>
      <x:c r="N9" s="129">
        <x:f>SUM('30'!C17)</x:f>
        <x:v>163</x:v>
      </x:c>
      <x:c r="O9" s="69"/>
      <x:c r="P9" s="69"/>
    </x:row>
    <x:row r="10" spans="1:16" ht="16.399999999999999">
      <x:c r="A10" s="179" t="s">
        <x:v>79</x:v>
      </x:c>
      <x:c r="B10" s="180"/>
      <x:c r="C10" s="16">
        <x:v>66000</x:v>
      </x:c>
      <x:c r="D10" s="16">
        <x:f t="shared" si="1"/>
        <x:v>66000</x:v>
      </x:c>
      <x:c r="E10" s="17">
        <x:f t="shared" si="0"/>
        <x:v>0.00044257935246617286</x:v>
      </x:c>
      <x:c r="F10" s="171"/>
      <x:c r="G10" s="67" t="s">
        <x:v>56</x:v>
      </x:c>
      <x:c r="H10" s="16">
        <x:f>SUM('1:30'!I11)</x:f>
        <x:v>200000</x:v>
      </x:c>
      <x:c r="I10" s="70">
        <x:f>H10/$B$45</x:f>
        <x:v>0.0013411495529277965</x:v>
      </x:c>
      <x:c r="J10" s="174"/>
      <x:c r="K10" s="169"/>
      <x:c r="M10" s="77" t="s">
        <x:v>154</x:v>
      </x:c>
      <x:c r="N10" s="129">
        <x:f>SUM('30'!F13)</x:f>
        <x:v>184</x:v>
      </x:c>
      <x:c r="O10" s="69"/>
      <x:c r="P10" s="69"/>
    </x:row>
    <x:row r="11" spans="1:16" ht="16.399999999999999">
      <x:c r="A11" s="179" t="s">
        <x:v>44</x:v>
      </x:c>
      <x:c r="B11" s="180"/>
      <x:c r="C11" s="16">
        <x:v>330000</x:v>
      </x:c>
      <x:c r="D11" s="16">
        <x:f t="shared" si="1"/>
        <x:v>330000</x:v>
      </x:c>
      <x:c r="E11" s="17">
        <x:f t="shared" si="0"/>
        <x:v>0.0022128967623308645</x:v>
      </x:c>
      <x:c r="F11" s="171"/>
      <x:c r="G11" s="67" t="s">
        <x:v>100</x:v>
      </x:c>
      <x:c r="H11" s="16">
        <x:f>SUM('1:30'!I12)</x:f>
        <x:v>53400</x:v>
      </x:c>
      <x:c r="I11" s="70"/>
      <x:c r="J11" s="174"/>
      <x:c r="K11" s="169"/>
      <x:c r="M11" s="77" t="s">
        <x:v>150</x:v>
      </x:c>
      <x:c r="N11" s="129">
        <x:f>SUM('30'!F15)</x:f>
        <x:v>348</x:v>
      </x:c>
      <x:c r="O11" s="69"/>
      <x:c r="P11" s="69"/>
    </x:row>
    <x:row r="12" spans="1:16" ht="16.399999999999999">
      <x:c r="A12" s="179" t="s">
        <x:v>35</x:v>
      </x:c>
      <x:c r="B12" s="180"/>
      <x:c r="C12" s="16">
        <x:v>48000</x:v>
      </x:c>
      <x:c r="D12" s="16">
        <x:f t="shared" si="1"/>
        <x:v>48000</x:v>
      </x:c>
      <x:c r="E12" s="17">
        <x:f t="shared" si="0"/>
        <x:v>0.00032187589270267117</x:v>
      </x:c>
      <x:c r="F12" s="171"/>
      <x:c r="G12" s="67" t="s">
        <x:v>119</x:v>
      </x:c>
      <x:c r="H12" s="16">
        <x:f>SUM('1:30'!I13)</x:f>
        <x:v>440000</x:v>
      </x:c>
      <x:c r="I12" s="70">
        <x:f>H12/$B$45</x:f>
        <x:v>0.0029505290164411522</x:v>
      </x:c>
      <x:c r="J12" s="174"/>
      <x:c r="K12" s="169"/>
      <x:c r="M12" s="77" t="s">
        <x:v>149</x:v>
      </x:c>
      <x:c r="N12" s="129">
        <x:f>SUM('30'!F17)</x:f>
        <x:v>265</x:v>
      </x:c>
      <x:c r="O12" s="69"/>
      <x:c r="P12" s="69"/>
    </x:row>
    <x:row r="13" spans="1:16" ht="16.399999999999999">
      <x:c r="A13" s="185" t="s">
        <x:v>98</x:v>
      </x:c>
      <x:c r="B13" s="180"/>
      <x:c r="C13" s="16">
        <x:v>66000</x:v>
      </x:c>
      <x:c r="D13" s="16">
        <x:f t="shared" si="1"/>
        <x:v>66000</x:v>
      </x:c>
      <x:c r="E13" s="17">
        <x:f t="shared" si="0"/>
        <x:v>0.00044257935246617286</x:v>
      </x:c>
      <x:c r="F13" s="171"/>
      <x:c r="G13" s="67" t="s">
        <x:v>109</x:v>
      </x:c>
      <x:c r="H13" s="16">
        <x:f>SUM('1:30'!I14)</x:f>
        <x:v>0</x:v>
      </x:c>
      <x:c r="I13" s="70">
        <x:f>H13/$B$45</x:f>
        <x:v>0</x:v>
      </x:c>
      <x:c r="J13" s="174"/>
      <x:c r="K13" s="169"/>
      <x:c r="M13" s="143" t="s">
        <x:v>151</x:v>
      </x:c>
      <x:c r="N13" s="129">
        <x:f>SUM('30'!C19)</x:f>
        <x:v>387</x:v>
      </x:c>
      <x:c r="O13" s="69"/>
      <x:c r="P13" s="69"/>
    </x:row>
    <x:row r="14" spans="1:16" ht="16.399999999999999">
      <x:c r="A14" s="179"/>
      <x:c r="B14" s="180"/>
      <x:c r="C14" s="16"/>
      <x:c r="D14" s="16">
        <x:f t="shared" si="1"/>
        <x:v>0</x:v>
      </x:c>
      <x:c r="E14" s="17">
        <x:f t="shared" si="0"/>
        <x:v>0</x:v>
      </x:c>
      <x:c r="F14" s="171"/>
      <x:c r="G14" s="67" t="s">
        <x:v>7</x:v>
      </x:c>
      <x:c r="H14" s="16">
        <x:f>SUM('1:30'!I17)</x:f>
        <x:v>10000</x:v>
      </x:c>
      <x:c r="I14" s="70">
        <x:f>H14/$B$45</x:f>
        <x:v>6.7057477646389826E-5</x:v>
      </x:c>
      <x:c r="J14" s="174"/>
      <x:c r="K14" s="169"/>
      <x:c r="M14" s="131" t="s">
        <x:v>152</x:v>
      </x:c>
      <x:c r="N14" s="129">
        <x:f>SUM('30'!F19)</x:f>
        <x:v>140</x:v>
      </x:c>
      <x:c r="O14" s="69"/>
      <x:c r="P14" s="69"/>
    </x:row>
    <x:row r="15" spans="1:16" ht="16.75">
      <x:c r="A15" s="179"/>
      <x:c r="B15" s="180"/>
      <x:c r="C15" s="16"/>
      <x:c r="D15" s="16">
        <x:f t="shared" si="1"/>
        <x:v>0</x:v>
      </x:c>
      <x:c r="E15" s="17">
        <x:f t="shared" si="0"/>
        <x:v>0</x:v>
      </x:c>
      <x:c r="F15" s="171"/>
      <x:c r="G15" s="147" t="s">
        <x:v>104</x:v>
      </x:c>
      <x:c r="H15" s="91">
        <x:f>SUM('1:30'!I15)</x:f>
        <x:v>3300510</x:v>
      </x:c>
      <x:c r="I15" s="72">
        <x:f>H15/$B$45</x:f>
        <x:v>0.02213238755466861</x:v>
      </x:c>
      <x:c r="J15" s="174"/>
      <x:c r="K15" s="169"/>
      <x:c r="M15" s="140" t="s">
        <x:v>165</x:v>
      </x:c>
      <x:c r="N15" s="130">
        <x:f>SUM('30'!F21)</x:f>
        <x:v>1907</x:v>
      </x:c>
      <x:c r="O15" s="69"/>
      <x:c r="P15" s="69"/>
    </x:row>
    <x:row r="16" spans="1:16" ht="16.399999999999999">
      <x:c r="A16" s="187" t="s">
        <x:v>57</x:v>
      </x:c>
      <x:c r="B16" s="188"/>
      <x:c r="C16" s="16"/>
      <x:c r="D16" s="16">
        <x:f t="shared" si="1"/>
        <x:v>0</x:v>
      </x:c>
      <x:c r="E16" s="17">
        <x:f t="shared" si="0"/>
        <x:v>0</x:v>
      </x:c>
      <x:c r="F16" s="171"/>
      <x:c r="J16" s="174"/>
      <x:c r="K16" s="169"/>
      <x:c r="M16" s="75"/>
      <x:c r="N16" s="127"/>
      <x:c r="O16" s="69"/>
      <x:c r="P16" s="69"/>
    </x:row>
    <x:row r="17" spans="1:16" ht="16.399999999999999">
      <x:c r="A17" s="187" t="s">
        <x:v>29</x:v>
      </x:c>
      <x:c r="B17" s="188"/>
      <x:c r="C17" s="16"/>
      <x:c r="D17" s="16">
        <x:f t="shared" si="1"/>
        <x:v>0</x:v>
      </x:c>
      <x:c r="E17" s="17">
        <x:f t="shared" si="0"/>
        <x:v>0</x:v>
      </x:c>
      <x:c r="F17" s="171"/>
      <x:c r="J17" s="174"/>
      <x:c r="K17" s="169"/>
      <x:c r="M17" s="69"/>
      <x:c r="N17" s="69"/>
      <x:c r="O17" s="69"/>
      <x:c r="P17" s="69"/>
    </x:row>
    <x:row r="18" spans="1:14" ht="17.149999999999999">
      <x:c r="A18" s="152" t="s">
        <x:v>77</x:v>
      </x:c>
      <x:c r="B18" s="153"/>
      <x:c r="C18" s="154">
        <x:f>SUM(D6:D17)</x:f>
        <x:v>10919000</x:v>
      </x:c>
      <x:c r="D18" s="155"/>
      <x:c r="E18" s="90">
        <x:f>SUM(E6:E17)</x:f>
        <x:v>0.07322005984209308</x:v>
      </x:c>
      <x:c r="F18" s="172"/>
      <x:c r="J18" s="175"/>
      <x:c r="K18" s="184"/>
      <x:c r="M18" s="82"/>
      <x:c r="N18" s="69"/>
    </x:row>
    <x:row r="19" spans="1:14" ht="17.449999999999999" customHeight="1">
      <x:c r="A19" s="156" t="s">
        <x:v>54</x:v>
      </x:c>
      <x:c r="B19" s="96" t="s">
        <x:v>42</x:v>
      </x:c>
      <x:c r="C19" s="106">
        <x:v>3300000</x:v>
      </x:c>
      <x:c r="D19" s="174">
        <x:f>SUM(C19:C30)</x:f>
        <x:v>20093000</x:v>
      </x:c>
      <x:c r="E19" s="192">
        <x:f>D19/$B$45</x:f>
        <x:v>0.13473858983489106</x:v>
      </x:c>
      <x:c r="F19" s="166" t="s">
        <x:v>73</x:v>
      </x:c>
      <x:c r="G19" s="80" t="s">
        <x:v>34</x:v>
      </x:c>
      <x:c r="H19" s="16">
        <x:f>SUM('1:30'!K4)</x:f>
        <x:v>961000</x:v>
      </x:c>
      <x:c r="I19" s="71">
        <x:f t="shared" ref="I19:I22" si="2">H19/$B$45</x:f>
        <x:v>0.0064442236018180622</x:v>
      </x:c>
      <x:c r="J19" s="189">
        <x:f>SUM(H19:H32)</x:f>
        <x:v>3021960</x:v>
      </x:c>
      <x:c r="K19" s="168">
        <x:f>J19/$B$45</x:f>
        <x:v>0.02026450151482842</x:v>
      </x:c>
      <x:c r="M19" s="69"/>
      <x:c r="N19" s="69"/>
    </x:row>
    <x:row r="20" spans="1:16" ht="16.399999999999999">
      <x:c r="A20" s="156"/>
      <x:c r="B20" s="138"/>
      <x:c r="C20" s="16"/>
      <x:c r="D20" s="174"/>
      <x:c r="E20" s="193"/>
      <x:c r="F20" s="167"/>
      <x:c r="G20" s="81" t="s">
        <x:v>125</x:v>
      </x:c>
      <x:c r="H20" s="16">
        <x:f>SUM('1:30'!K6)</x:f>
        <x:v>112000</x:v>
      </x:c>
      <x:c r="I20" s="70">
        <x:f t="shared" si="2"/>
        <x:v>0.00075104374963956609</x:v>
      </x:c>
      <x:c r="J20" s="174"/>
      <x:c r="K20" s="169"/>
      <x:c r="M20" s="69"/>
      <x:c r="N20" s="69"/>
      <x:c r="P20" s="92"/>
    </x:row>
    <x:row r="21" spans="1:16" ht="16.399999999999999">
      <x:c r="A21" s="156"/>
      <x:c r="B21" s="138" t="s">
        <x:v>39</x:v>
      </x:c>
      <x:c r="C21" s="16">
        <x:v>4000000</x:v>
      </x:c>
      <x:c r="D21" s="174"/>
      <x:c r="E21" s="193"/>
      <x:c r="F21" s="167"/>
      <x:c r="G21" s="81" t="s">
        <x:v>74</x:v>
      </x:c>
      <x:c r="H21" s="16">
        <x:f>SUM('1:30'!K7)</x:f>
        <x:v>12500</x:v>
      </x:c>
      <x:c r="I21" s="70">
        <x:f t="shared" si="2"/>
        <x:v>8.3821847057987279E-5</x:v>
      </x:c>
      <x:c r="J21" s="174"/>
      <x:c r="K21" s="169"/>
      <x:c r="M21" s="69"/>
      <x:c r="N21" s="69"/>
      <x:c r="P21" s="92"/>
    </x:row>
    <x:row r="22" spans="1:16" ht="16.399999999999999">
      <x:c r="A22" s="156"/>
      <x:c r="B22" s="138" t="s">
        <x:v>45</x:v>
      </x:c>
      <x:c r="C22" s="16">
        <x:v>3300000</x:v>
      </x:c>
      <x:c r="D22" s="174"/>
      <x:c r="E22" s="193"/>
      <x:c r="F22" s="167"/>
      <x:c r="G22" s="54" t="s">
        <x:v>16</x:v>
      </x:c>
      <x:c r="H22" s="16">
        <x:f>SUM('1:30'!K9)</x:f>
        <x:v>0</x:v>
      </x:c>
      <x:c r="I22" s="70">
        <x:f t="shared" si="2"/>
        <x:v>0</x:v>
      </x:c>
      <x:c r="J22" s="174"/>
      <x:c r="K22" s="169"/>
      <x:c r="M22" s="69"/>
      <x:c r="N22" s="69"/>
      <x:c r="P22" s="92"/>
    </x:row>
    <x:row r="23" spans="1:16" ht="16.399999999999999">
      <x:c r="A23" s="156"/>
      <x:c r="D23" s="174"/>
      <x:c r="E23" s="193"/>
      <x:c r="F23" s="167"/>
      <x:c r="G23" s="54" t="s">
        <x:v>51</x:v>
      </x:c>
      <x:c r="H23" s="16">
        <x:f>SUM('1:30'!K10)</x:f>
        <x:v>114400</x:v>
      </x:c>
      <x:c r="I23" s="70">
        <x:f>H23/$B$45</x:f>
        <x:v>0.00076713754427469962</x:v>
      </x:c>
      <x:c r="J23" s="174"/>
      <x:c r="K23" s="169"/>
      <x:c r="M23" s="69"/>
      <x:c r="N23" s="69"/>
      <x:c r="P23" s="92"/>
    </x:row>
    <x:row r="24" spans="1:16" ht="16.399999999999999">
      <x:c r="A24" s="156"/>
      <x:c r="B24" s="138" t="s">
        <x:v>148</x:v>
      </x:c>
      <x:c r="C24" s="16">
        <x:v>1500000</x:v>
      </x:c>
      <x:c r="D24" s="174"/>
      <x:c r="E24" s="193"/>
      <x:c r="F24" s="167"/>
      <x:c r="G24" s="54" t="s">
        <x:v>80</x:v>
      </x:c>
      <x:c r="H24" s="16">
        <x:f>SUM('1:30'!K11)</x:f>
        <x:v>0</x:v>
      </x:c>
      <x:c r="I24" s="70">
        <x:f>H24/$B$45</x:f>
        <x:v>0</x:v>
      </x:c>
      <x:c r="J24" s="174"/>
      <x:c r="K24" s="169"/>
      <x:c r="M24" s="69"/>
      <x:c r="N24" s="69"/>
      <x:c r="P24" s="15"/>
    </x:row>
    <x:row r="25" spans="1:14" ht="16.399999999999999">
      <x:c r="A25" s="156"/>
      <x:c r="D25" s="174"/>
      <x:c r="E25" s="193"/>
      <x:c r="F25" s="167"/>
      <x:c r="G25" s="54" t="s">
        <x:v>72</x:v>
      </x:c>
      <x:c r="H25" s="16">
        <x:f>SUM('1:30'!K15)</x:f>
        <x:v>0</x:v>
      </x:c>
      <x:c r="I25" s="70">
        <x:f>H25/$B$45</x:f>
        <x:v>0</x:v>
      </x:c>
      <x:c r="J25" s="174"/>
      <x:c r="K25" s="169"/>
      <x:c r="M25" s="69"/>
      <x:c r="N25" s="69"/>
    </x:row>
    <x:row r="26" spans="1:21" ht="16.399999999999999">
      <x:c r="A26" s="156"/>
      <x:c r="B26" s="138" t="s">
        <x:v>21</x:v>
      </x:c>
      <x:c r="C26" s="16">
        <x:f>SUM('1:30'!C33)</x:f>
        <x:v>1391000</x:v>
      </x:c>
      <x:c r="D26" s="174"/>
      <x:c r="E26" s="193"/>
      <x:c r="F26" s="167"/>
      <x:c r="G26" s="54" t="s">
        <x:v>95</x:v>
      </x:c>
      <x:c r="H26" s="16">
        <x:f>SUM('1:30'!K16)</x:f>
        <x:v>1802060</x:v>
      </x:c>
      <x:c r="I26" s="70">
        <x:f>H26/$B$45</x:f>
        <x:v>0.012084159816745325</x:v>
      </x:c>
      <x:c r="J26" s="174"/>
      <x:c r="K26" s="169"/>
      <x:c r="M26" s="69"/>
      <x:c r="N26" s="69"/>
      <x:c r="P26" s="92"/>
      <x:c r="T26" s="105"/>
      <x:c r="U26" s="104"/>
    </x:row>
    <x:row r="27" spans="1:21" ht="16.399999999999999">
      <x:c r="A27" s="156"/>
      <x:c r="B27" s="138" t="s">
        <x:v>146</x:v>
      </x:c>
      <x:c r="C27" s="16">
        <x:f>SUM('1:30'!F27)</x:f>
        <x:v>1189500</x:v>
      </x:c>
      <x:c r="D27" s="174"/>
      <x:c r="E27" s="193"/>
      <x:c r="F27" s="167"/>
      <x:c r="G27" s="54" t="s">
        <x:v>88</x:v>
      </x:c>
      <x:c r="H27" s="16">
        <x:f>SUM('1:30'!K17)</x:f>
        <x:v>20000</x:v>
      </x:c>
      <x:c r="I27" s="70">
        <x:f>H27/$B$45</x:f>
        <x:v>0.00013411495529277965</x:v>
      </x:c>
      <x:c r="J27" s="174"/>
      <x:c r="K27" s="169"/>
      <x:c r="M27" s="69"/>
      <x:c r="N27" s="69"/>
      <x:c r="P27" s="92"/>
      <x:c r="T27" s="105"/>
      <x:c r="U27" s="104"/>
    </x:row>
    <x:row r="28" spans="1:21" ht="16.399999999999999">
      <x:c r="A28" s="156"/>
      <x:c r="B28" s="138" t="s">
        <x:v>55</x:v>
      </x:c>
      <x:c r="C28" s="16">
        <x:f>SUM('1:30'!F29)+SUM('1:30'!F30)+SUM('1:30'!C32)+SUM('1:30'!C34)</x:f>
        <x:v>630500</x:v>
      </x:c>
      <x:c r="D28" s="174"/>
      <x:c r="E28" s="193"/>
      <x:c r="F28" s="167"/>
      <x:c r="G28" s="54"/>
      <x:c r="H28" s="16"/>
      <x:c r="I28" s="70"/>
      <x:c r="J28" s="174"/>
      <x:c r="K28" s="169"/>
      <x:c r="P28" s="92"/>
      <x:c r="T28" s="105"/>
      <x:c r="U28" s="104"/>
    </x:row>
    <x:row r="29" spans="1:21" ht="16.399999999999999">
      <x:c r="A29" s="156"/>
      <x:c r="B29" s="138" t="s">
        <x:v>136</x:v>
      </x:c>
      <x:c r="C29" s="16">
        <x:f>SUM('1:30'!F32)</x:f>
        <x:v>1164000</x:v>
      </x:c>
      <x:c r="D29" s="174"/>
      <x:c r="E29" s="193"/>
      <x:c r="F29" s="167"/>
      <x:c r="J29" s="174"/>
      <x:c r="K29" s="169"/>
      <x:c r="P29" s="92"/>
      <x:c r="T29" s="105"/>
      <x:c r="U29" s="104"/>
    </x:row>
    <x:row r="30" spans="1:21" ht="16.399999999999999">
      <x:c r="A30" s="156"/>
      <x:c r="B30" s="138" t="s">
        <x:v>4</x:v>
      </x:c>
      <x:c r="C30" s="16">
        <x:f>SUM('1:30'!F31)</x:f>
        <x:v>3618000</x:v>
      </x:c>
      <x:c r="D30" s="174"/>
      <x:c r="E30" s="193"/>
      <x:c r="F30" s="167"/>
      <x:c r="J30" s="174"/>
      <x:c r="K30" s="169"/>
      <x:c r="P30" s="92"/>
      <x:c r="T30" s="105"/>
      <x:c r="U30" s="104"/>
    </x:row>
    <x:row r="31" spans="1:11" ht="16.399999999999999">
      <x:c r="A31" s="157"/>
      <x:c r="B31" s="138" t="s">
        <x:v>52</x:v>
      </x:c>
      <x:c r="C31" s="16">
        <x:f>SUM(C19:C30)</x:f>
        <x:v>20093000</x:v>
      </x:c>
      <x:c r="D31" s="194"/>
      <x:c r="E31" s="193"/>
      <x:c r="F31" s="167"/>
      <x:c r="J31" s="174"/>
      <x:c r="K31" s="169"/>
    </x:row>
    <x:row r="32" spans="1:11" ht="16.399999999999999">
      <x:c r="A32" s="195" t="s">
        <x:v>66</x:v>
      </x:c>
      <x:c r="B32" s="196"/>
      <x:c r="C32" s="19">
        <x:f>SUM(C19:C22)*0.1</x:f>
        <x:v>1060000</x:v>
      </x:c>
      <x:c r="D32" s="16">
        <x:f>C32</x:f>
        <x:v>1060000</x:v>
      </x:c>
      <x:c r="E32" s="169">
        <x:f>(D32:D33)/$B$45</x:f>
        <x:v>0.0071080926305173214</x:v>
      </x:c>
      <x:c r="F32" s="167"/>
      <x:c r="G32" s="103"/>
      <x:c r="H32" s="83"/>
      <x:c r="I32" s="70"/>
      <x:c r="J32" s="174"/>
      <x:c r="K32" s="169"/>
    </x:row>
    <x:row r="33" spans="1:11" ht="16.75">
      <x:c r="A33" s="150" t="s">
        <x:v>76</x:v>
      </x:c>
      <x:c r="B33" s="151"/>
      <x:c r="C33" s="141"/>
      <x:c r="D33" s="142">
        <x:f>C33</x:f>
        <x:v>0</x:v>
      </x:c>
      <x:c r="E33" s="184"/>
      <x:c r="F33" s="158" t="s">
        <x:v>67</x:v>
      </x:c>
      <x:c r="G33" s="159"/>
      <x:c r="H33" s="84">
        <x:f>SUM('1:30'!$G$5)</x:f>
        <x:v>184865</x:v>
      </x:c>
      <x:c r="I33" s="84"/>
      <x:c r="J33" s="84">
        <x:f>H33</x:f>
        <x:v>184865</x:v>
      </x:c>
      <x:c r="K33" s="85">
        <x:f>J33/$B$45</x:f>
        <x:v>0.0012396580605099855</x:v>
      </x:c>
    </x:row>
    <x:row r="34" spans="1:11" ht="21.399999999999999">
      <x:c r="A34" s="190" t="s">
        <x:v>77</x:v>
      </x:c>
      <x:c r="B34" s="191"/>
      <x:c r="C34" s="164">
        <x:f>SUM(C6:D17,C19:C24,C32:C33)</x:f>
        <x:v>34998000</x:v>
      </x:c>
      <x:c r="D34" s="165"/>
      <x:c r="E34" s="20">
        <x:f>SUM(E19:E33)</x:f>
        <x:v>0.14184668246540838</x:v>
      </x:c>
      <x:c r="F34" s="160" t="s">
        <x:v>144</x:v>
      </x:c>
      <x:c r="G34" s="161"/>
      <x:c r="H34" s="86">
        <x:f>SUM('1:30'!$G$4)</x:f>
        <x:v>3399058.25</x:v>
      </x:c>
      <x:c r="I34" s="86"/>
      <x:c r="J34" s="86">
        <x:f>H34</x:f>
        <x:v>3399058.25</x:v>
      </x:c>
      <x:c r="K34" s="87">
        <x:f>J34/$B$45</x:f>
        <x:v>0.022793227261815194</x:v>
      </x:c>
    </x:row>
    <x:row r="35" spans="1:11" ht="21.399999999999999">
      <x:c r="A35" s="162" t="s">
        <x:v>110</x:v>
      </x:c>
      <x:c r="B35" s="163"/>
      <x:c r="E35" s="21">
        <x:f>E18+E34</x:f>
        <x:v>0.21506674230750145</x:v>
      </x:c>
      <x:c r="F35" s="162"/>
      <x:c r="G35" s="163"/>
      <x:c r="H35" s="164">
        <x:f>SUM(J6:J34)</x:f>
        <x:v>56573518.25</x:v>
      </x:c>
      <x:c r="I35" s="165"/>
      <x:c r="J35" s="186"/>
      <x:c r="K35" s="22">
        <x:f>SUM(K6:K34)</x:f>
        <x:v>0.3793677435427002</x:v>
      </x:c>
    </x:row>
    <x:row r="36" spans="6:11" ht="20.649999999999999">
      <x:c r="F36" s="102"/>
      <x:c r="G36" s="102"/>
      <x:c r="H36" s="101"/>
      <x:c r="I36" s="101"/>
      <x:c r="J36" s="101"/>
      <x:c r="K36" s="100"/>
    </x:row>
    <x:row r="37" spans="1:4" ht="17.800000000000001">
      <x:c r="A37" s="23"/>
      <x:c r="B37" s="23"/>
      <x:c r="C37" s="23"/>
      <x:c r="D37" s="23"/>
    </x:row>
    <x:row r="38" spans="1:11" ht="18.199999999999999">
      <x:c r="A38" s="24" t="s">
        <x:v>2</x:v>
      </x:c>
      <x:c r="B38" s="25" t="s">
        <x:v>37</x:v>
      </x:c>
      <x:c r="C38" s="26" t="s">
        <x:v>134</x:v>
      </x:c>
      <x:c r="D38" s="99" t="s">
        <x:v>113</x:v>
      </x:c>
      <x:c r="F38" s="27" t="s">
        <x:v>103</x:v>
      </x:c>
      <x:c r="G38" s="28"/>
      <x:c r="H38" s="28"/>
      <x:c r="I38" s="28"/>
      <x:c r="J38" s="28"/>
      <x:c r="K38" s="29"/>
    </x:row>
    <x:row r="39" spans="1:11" ht="17.800000000000001">
      <x:c r="A39" s="118" t="s">
        <x:v>90</x:v>
      </x:c>
      <x:c r="B39" s="30">
        <x:f>$C$34</x:f>
        <x:v>34998000</x:v>
      </x:c>
      <x:c r="C39" s="31">
        <x:f>B39/$B$41</x:f>
        <x:v>0.38219307344508291</x:v>
      </x:c>
      <x:c r="D39" s="32">
        <x:f>B39/$B$45</x:f>
        <x:v>0.2346877602668351</x:v>
      </x:c>
      <x:c r="F39" s="33" t="s">
        <x:v>63</x:v>
      </x:c>
      <x:c r="G39" s="34"/>
      <x:c r="H39" s="34"/>
      <x:c r="I39" s="34"/>
      <x:c r="J39" s="34"/>
      <x:c r="K39" s="74"/>
    </x:row>
    <x:row r="40" spans="1:11" ht="17.800000000000001">
      <x:c r="A40" s="119" t="s">
        <x:v>78</x:v>
      </x:c>
      <x:c r="B40" s="35">
        <x:f>$H$35</x:f>
        <x:v>56573518.25</x:v>
      </x:c>
      <x:c r="C40" s="31">
        <x:f>B40/$B$41</x:f>
        <x:v>0.61780692655491709</x:v>
      </x:c>
      <x:c r="D40" s="32">
        <x:f>B40/$B$45</x:f>
        <x:v>0.3793677435427002</x:v>
      </x:c>
      <x:c r="F40" s="148" t="s">
        <x:v>28</x:v>
      </x:c>
      <x:c r="G40" s="149"/>
      <x:c r="H40" s="34" t="s">
        <x:v>15</x:v>
      </x:c>
      <x:c r="I40" s="34"/>
      <x:c r="J40" s="34"/>
      <x:c r="K40" s="36">
        <x:f>$C$34</x:f>
        <x:v>34998000</x:v>
      </x:c>
    </x:row>
    <x:row r="41" spans="1:11" ht="17.800000000000001">
      <x:c r="A41" s="120" t="s">
        <x:v>24</x:v>
      </x:c>
      <x:c r="B41" s="115">
        <x:f>SUM(B39:B40)</x:f>
        <x:v>91571518.25</x:v>
      </x:c>
      <x:c r="C41" s="116">
        <x:f>SUM(C39:C40)</x:f>
        <x:v>1</x:v>
      </x:c>
      <x:c r="D41" s="117">
        <x:f>SUM(D39:D40)</x:f>
        <x:v>0.61405550380953533</x:v>
      </x:c>
      <x:c r="F41" s="148" t="s">
        <x:v>1</x:v>
      </x:c>
      <x:c r="G41" s="149"/>
      <x:c r="H41" s="34" t="s">
        <x:v>0</x:v>
      </x:c>
      <x:c r="I41" s="34"/>
      <x:c r="J41" s="34"/>
      <x:c r="K41" s="39">
        <x:f>$H$35</x:f>
        <x:v>56573518.25</x:v>
      </x:c>
    </x:row>
    <x:row r="42" spans="1:11" customHeight="1">
      <x:c r="A42" s="121" t="s">
        <x:v>120</x:v>
      </x:c>
      <x:c r="B42" s="48">
        <x:f>SUM('1:30'!C4)</x:f>
        <x:v>129831300</x:v>
      </x:c>
      <x:c r="C42" s="49"/>
      <x:c r="D42" s="40">
        <x:f>B42/$B$45</x:f>
        <x:v>0.8706159497551732</x:v>
      </x:c>
      <x:c r="F42" s="148" t="s">
        <x:v>58</x:v>
      </x:c>
      <x:c r="G42" s="149"/>
      <x:c r="H42" s="34" t="s">
        <x:v>32</x:v>
      </x:c>
      <x:c r="I42" s="34"/>
      <x:c r="J42" s="34"/>
      <x:c r="K42" s="39">
        <x:f>$B$45</x:f>
        <x:v>149125800</x:v>
      </x:c>
    </x:row>
    <x:row r="43" spans="1:11" customHeight="1">
      <x:c r="A43" s="119" t="s">
        <x:v>127</x:v>
      </x:c>
      <x:c r="B43" s="35">
        <x:f>SUM('1:30'!C5)</x:f>
        <x:v>19294500</x:v>
      </x:c>
      <x:c r="C43" s="35"/>
      <x:c r="D43" s="41">
        <x:f>B43/$B$45</x:f>
        <x:v>0.12938405024482685</x:v>
      </x:c>
      <x:c r="F43" s="148" t="s">
        <x:v>138</x:v>
      </x:c>
      <x:c r="G43" s="149"/>
      <x:c r="H43" s="34" t="s">
        <x:v>53</x:v>
      </x:c>
      <x:c r="I43" s="34"/>
      <x:c r="J43" s="34"/>
      <x:c r="K43" s="42">
        <x:f>(K41)/K42</x:f>
        <x:v>0.3793677435427002</x:v>
      </x:c>
    </x:row>
    <x:row r="44" spans="1:11" customHeight="1">
      <x:c r="A44" s="119" t="s">
        <x:v>133</x:v>
      </x:c>
      <x:c r="B44" s="35">
        <x:f>SUM('1:30'!C6)</x:f>
        <x:v>0</x:v>
      </x:c>
      <x:c r="C44" s="18"/>
      <x:c r="D44" s="41">
        <x:f>B44/$B$45</x:f>
        <x:v>0</x:v>
      </x:c>
      <x:c r="F44" s="43" t="s">
        <x:v>65</x:v>
      </x:c>
      <x:c r="G44" s="44"/>
      <x:c r="H44" s="44" t="s">
        <x:v>143</x:v>
      </x:c>
      <x:c r="I44" s="44"/>
      <x:c r="J44" s="44"/>
      <x:c r="K44" s="45">
        <x:f>K40/(1-K43)</x:f>
        <x:v>56390881.453335971</x:v>
      </x:c>
    </x:row>
    <x:row r="45" spans="1:4" customHeight="1">
      <x:c r="A45" s="122" t="s">
        <x:v>11</x:v>
      </x:c>
      <x:c r="B45" s="37">
        <x:f>SUM(B42:B44)</x:f>
        <x:v>149125800</x:v>
      </x:c>
      <x:c r="C45" s="50"/>
      <x:c r="D45" s="38"/>
    </x:row>
    <x:row r="46" spans="1:4" customHeight="1">
      <x:c r="A46" s="123" t="s">
        <x:v>87</x:v>
      </x:c>
      <x:c r="B46" s="46">
        <x:f>B45-B41</x:f>
        <x:v>57554281.75</x:v>
      </x:c>
      <x:c r="C46" s="47"/>
      <x:c r="D46" s="73">
        <x:f>B46/B45</x:f>
        <x:v>0.38594449619046467</x:v>
      </x:c>
    </x:row>
    <x:row r="47" spans="1:13" ht="20.100000000000001" customHeight="1">
      <x:c r="A47" s="121" t="s">
        <x:v>106</x:v>
      </x:c>
      <x:c r="B47" s="48">
        <x:f>INT(B45*0.05)</x:f>
        <x:v>7456290</x:v>
      </x:c>
      <x:c r="C47" s="49"/>
      <x:c r="D47" s="40">
        <x:f>B47/B45</x:f>
        <x:v>0.05</x:v>
      </x:c>
      <x:c r="E47" s="23"/>
      <x:c r="F47" s="23"/>
      <x:c r="G47" s="23"/>
      <x:c r="H47" s="23"/>
      <x:c r="I47" s="23"/>
      <x:c r="J47" s="23"/>
      <x:c r="K47" s="23"/>
      <x:c r="M47" s="23"/>
    </x:row>
    <x:row r="48" spans="1:13" customHeight="1">
      <x:c r="A48" s="123" t="s">
        <x:v>97</x:v>
      </x:c>
      <x:c r="B48" s="30">
        <x:f>INT(B45*0.02)</x:f>
        <x:v>2982516</x:v>
      </x:c>
      <x:c r="C48" s="78"/>
      <x:c r="D48" s="32">
        <x:f>B48/B45</x:f>
        <x:v>0.020000000000000001</x:v>
      </x:c>
      <x:c r="E48" s="23"/>
      <x:c r="F48" s="23"/>
      <x:c r="G48" s="23"/>
      <x:c r="H48" s="23"/>
      <x:c r="I48" s="23"/>
      <x:c r="J48" s="23"/>
      <x:c r="K48" s="23"/>
      <x:c r="M48" s="23"/>
    </x:row>
    <x:row r="49" spans="1:6" s="23" customFormat="1" customHeight="1">
      <x:c r="A49" s="122" t="s">
        <x:v>105</x:v>
      </x:c>
      <x:c r="B49" s="37">
        <x:f>B46-B47-B48</x:f>
        <x:v>47115475.75</x:v>
      </x:c>
      <x:c r="C49" s="50"/>
      <x:c r="D49" s="73">
        <x:f>B49/B45</x:f>
        <x:v>0.31594449619046472</x:v>
      </x:c>
      <x:c r="E49" s="93"/>
      <x:c r="F49" s="94"/>
    </x:row>
    <x:row r="50" spans="1:5" s="23" customFormat="1" customHeight="1">
      <x:c r="A50" s="98"/>
      <x:c r="B50" s="1"/>
      <x:c r="C50" s="1"/>
      <x:c r="D50" s="1"/>
      <x:c r="E50" s="1"/>
    </x:row>
    <x:row r="51" spans="1:5" s="23" customFormat="1" customHeight="1">
      <x:c r="A51" s="98"/>
      <x:c r="B51" s="1"/>
      <x:c r="C51" s="1"/>
      <x:c r="D51" s="1"/>
      <x:c r="E51" s="93"/>
    </x:row>
    <x:row r="52" spans="1:5" s="23" customFormat="1" customHeight="1">
      <x:c r="A52" s="1"/>
      <x:c r="B52" s="1"/>
      <x:c r="C52" s="1"/>
      <x:c r="D52" s="1"/>
      <x:c r="E52" s="1"/>
    </x:row>
    <x:row r="53" spans="1:5" s="23" customFormat="1" customHeight="1">
      <x:c r="A53" s="1"/>
      <x:c r="B53" s="1"/>
      <x:c r="C53" s="1"/>
      <x:c r="D53" s="1"/>
      <x:c r="E53" s="1"/>
    </x:row>
    <x:row r="54" spans="1:5" s="23" customFormat="1" customHeight="1">
      <x:c r="A54" s="1"/>
      <x:c r="B54" s="1"/>
      <x:c r="C54" s="1"/>
      <x:c r="D54" s="1"/>
      <x:c r="E54" s="1"/>
    </x:row>
    <x:row r="55" spans="1:11" s="23" customFormat="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spans="1:11" s="23" customFormat="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spans="1:11" s="23" customFormat="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spans="1:11" s="23" customFormat="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</x:sheetData>
  <x:mergeCells count="40">
    <x:mergeCell ref="F43:G43"/>
    <x:mergeCell ref="F40:G40"/>
    <x:mergeCell ref="F42:G42"/>
    <x:mergeCell ref="A33:B33"/>
    <x:mergeCell ref="A18:B18"/>
    <x:mergeCell ref="C18:D18"/>
    <x:mergeCell ref="A19:A31"/>
    <x:mergeCell ref="F41:G41"/>
    <x:mergeCell ref="F33:G33"/>
    <x:mergeCell ref="F34:G34"/>
    <x:mergeCell ref="A35:B35"/>
    <x:mergeCell ref="C34:D34"/>
    <x:mergeCell ref="F19:F32"/>
    <x:mergeCell ref="K19:K32"/>
    <x:mergeCell ref="F6:F18"/>
    <x:mergeCell ref="J6:J18"/>
    <x:mergeCell ref="A4:E4"/>
    <x:mergeCell ref="F4:K4"/>
    <x:mergeCell ref="A6:B6"/>
    <x:mergeCell ref="A7:B7"/>
    <x:mergeCell ref="A8:B8"/>
    <x:mergeCell ref="A5:B5"/>
    <x:mergeCell ref="K6:K18"/>
    <x:mergeCell ref="A9:B9"/>
    <x:mergeCell ref="A10:B10"/>
    <x:mergeCell ref="A11:B11"/>
    <x:mergeCell ref="E32:E33"/>
    <x:mergeCell ref="H35:J35"/>
    <x:mergeCell ref="F35:G35"/>
    <x:mergeCell ref="A12:B12"/>
    <x:mergeCell ref="A13:B13"/>
    <x:mergeCell ref="A14:B14"/>
    <x:mergeCell ref="A15:B15"/>
    <x:mergeCell ref="A16:B16"/>
    <x:mergeCell ref="A17:B17"/>
    <x:mergeCell ref="J19:J32"/>
    <x:mergeCell ref="A34:B34"/>
    <x:mergeCell ref="E19:E31"/>
    <x:mergeCell ref="D19:D31"/>
    <x:mergeCell ref="A32:B32"/>
  </x:mergeCells>
  <x:pageMargins left="0.69972223043441772" right="0.69972223043441772" top="0.75" bottom="0.75" header="0.30000001192092896" footer="0.30000001192092896"/>
  <x:pageSetup paperSize="9" scale="57" firstPageNumber="1" fitToWidth="1" fitToHeight="1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O34"/>
  <x:sheetViews>
    <x:sheetView topLeftCell="A16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1</x:v>
      </x:c>
      <x:c r="G1" s="68" t="s">
        <x:v>155</x:v>
      </x:c>
      <x:c r="H1" s="52" t="s">
        <x:v>121</x:v>
      </x:c>
      <x:c r="I1" s="52">
        <x:f>F1-K1</x:f>
        <x:v>1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4267000</x:v>
      </x:c>
      <x:c r="D2" s="307"/>
      <x:c r="E2" s="309" t="s">
        <x:v>38</x:v>
      </x:c>
      <x:c r="F2" s="310"/>
      <x:c r="G2" s="299">
        <x:v>66200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2" ht="30.949999999999999" customHeight="1">
      <x:c r="A4" s="301" t="s">
        <x:v>22</x:v>
      </x:c>
      <x:c r="B4" s="302"/>
      <x:c r="C4" s="268">
        <x:v>3285000</x:v>
      </x:c>
      <x:c r="D4" s="268"/>
      <x:c r="E4" s="308" t="s">
        <x:v>144</x:v>
      </x:c>
      <x:c r="F4" s="308"/>
      <x:c r="G4" s="133">
        <x:f>INT(C4*0.0275)</x:f>
        <x:v>90337</x:v>
      </x:c>
      <x:c r="H4" s="54" t="s">
        <x:v>20</x:v>
      </x:c>
      <x:c r="I4" s="124">
        <x:f>287212+221000+190393+452000+43500+253500</x:f>
        <x:v>1447605</x:v>
      </x:c>
      <x:c r="J4" s="80" t="s">
        <x:v>34</x:v>
      </x:c>
      <x:c r="K4" s="58"/>
      <x:c r="L4" s="95"/>
    </x:row>
    <x:row r="5" spans="1:11" ht="30.949999999999999" customHeight="1">
      <x:c r="A5" s="301" t="s">
        <x:v>59</x:v>
      </x:c>
      <x:c r="B5" s="302"/>
      <x:c r="C5" s="268">
        <x:v>982000</x:v>
      </x:c>
      <x:c r="D5" s="268"/>
      <x:c r="E5" s="257" t="s">
        <x:v>68</x:v>
      </x:c>
      <x:c r="F5" s="257"/>
      <x:c r="G5" s="133">
        <x:f>INT(C5*0.01)</x:f>
        <x:v>9820</x:v>
      </x:c>
      <x:c r="H5" s="54" t="s">
        <x:v>6</x:v>
      </x:c>
      <x:c r="I5" s="124">
        <x:f>29656+39380+150000+69000+108000+10500+35820+35040</x:f>
        <x:v>477396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920000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128300</x:v>
      </x:c>
      <x:c r="D8" s="268"/>
      <x:c r="E8" s="253" t="s">
        <x:v>108</x:v>
      </x:c>
      <x:c r="F8" s="254"/>
      <x:c r="G8" s="287">
        <x:f>C5+G2-G6-C22</x:f>
        <x:v>128200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/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/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9</x:v>
      </x:c>
      <x:c r="D12" s="253" t="s">
        <x:v>131</x:v>
      </x:c>
      <x:c r="E12" s="254"/>
      <x:c r="F12" s="280">
        <x:v>5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SUM('1'!$C$12)</x:f>
        <x:v>9</x:v>
      </x:c>
      <x:c r="D13" s="255"/>
      <x:c r="E13" s="256"/>
      <x:c r="F13" s="285">
        <x:f>SUM('1'!$F$12)</x:f>
        <x:v>5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26</x:v>
      </x:c>
      <x:c r="D14" s="253" t="s">
        <x:v>93</x:v>
      </x:c>
      <x:c r="E14" s="254"/>
      <x:c r="F14" s="280">
        <x:v>12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SUM('1'!$C$14)</x:f>
        <x:v>26</x:v>
      </x:c>
      <x:c r="D15" s="255"/>
      <x:c r="E15" s="256"/>
      <x:c r="F15" s="285">
        <x:f>SUM('1'!$F$14)</x:f>
        <x:v>12</x:v>
      </x:c>
      <x:c r="G15" s="286"/>
      <x:c r="H15" s="54" t="s">
        <x:v>104</x:v>
      </x:c>
      <x:c r="I15" s="58"/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3</x:v>
      </x:c>
      <x:c r="D16" s="253" t="s">
        <x:v>115</x:v>
      </x:c>
      <x:c r="E16" s="254"/>
      <x:c r="F16" s="261">
        <x:v>10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SUM('1'!$C$16)</x:f>
        <x:v>3</x:v>
      </x:c>
      <x:c r="D17" s="255"/>
      <x:c r="E17" s="256"/>
      <x:c r="F17" s="252">
        <x:f>SUM('1'!$F$16)</x:f>
        <x:v>10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13</x:v>
      </x:c>
      <x:c r="D18" s="253" t="s">
        <x:v>128</x:v>
      </x:c>
      <x:c r="E18" s="254"/>
      <x:c r="F18" s="289">
        <x:v>4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SUM('1'!$C$18)</x:f>
        <x:v>13</x:v>
      </x:c>
      <x:c r="D19" s="255"/>
      <x:c r="E19" s="256"/>
      <x:c r="F19" s="252">
        <x:f>SUM('1'!$F$18)</x:f>
        <x:v>4</x:v>
      </x:c>
      <x:c r="G19" s="252"/>
      <x:c r="H19" s="58"/>
      <x:c r="I19" s="58"/>
      <x:c r="J19" s="54"/>
      <x:c r="K19" s="58"/>
      <x:c r="L19" s="60"/>
      <x:c r="M19" s="11"/>
    </x:row>
    <x:row r="20" spans="1:13" ht="21.949999999999999" customHeight="1">
      <x:c r="A20" s="59" t="s">
        <x:v>46</x:v>
      </x:c>
      <x:c r="B20" s="257"/>
      <x:c r="C20" s="54"/>
      <x:c r="D20" s="257" t="s">
        <x:v>111</x:v>
      </x:c>
      <x:c r="E20" s="257"/>
      <x:c r="F20" s="261">
        <x:v>51</x:v>
      </x:c>
      <x:c r="G20" s="261"/>
      <x:c r="H20" s="58"/>
      <x:c r="J20" s="54"/>
      <x:c r="K20" s="58"/>
      <x:c r="L20" s="60"/>
      <x:c r="M20" s="11"/>
    </x:row>
    <x:row r="21" spans="1:13" ht="21.949999999999999" customHeight="1">
      <x:c r="A21" s="59" t="s">
        <x:v>94</x:v>
      </x:c>
      <x:c r="B21" s="257"/>
      <x:c r="C21" s="54"/>
      <x:c r="D21" s="257" t="s">
        <x:v>112</x:v>
      </x:c>
      <x:c r="E21" s="257"/>
      <x:c r="F21" s="252">
        <x:f>SUM('1'!$F$20)</x:f>
        <x:v>51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284"/>
      <x:c r="D23" s="284"/>
      <x:c r="E23" s="284"/>
      <x:c r="F23" s="284"/>
      <x:c r="G23" s="284"/>
      <x:c r="H23" s="107" t="s">
        <x:v>92</x:v>
      </x:c>
      <x:c r="I23" s="108">
        <x:f>SUM(I4:I22)</x:f>
        <x:v>1925001</x:v>
      </x:c>
      <x:c r="J23" s="61" t="s">
        <x:v>117</x:v>
      </x:c>
      <x:c r="K23" s="62">
        <x:f>SUM(K4:K22)</x:f>
        <x:v>0</x:v>
      </x:c>
      <x:c r="M23" s="89" t="s">
        <x:v>91</x:v>
      </x:c>
      <x:c r="N23" s="282">
        <x:f>C5+C6</x:f>
        <x:v>982000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0.45113686430747596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78">
        <x:f>C2</x:f>
        <x:v>4267000</x:v>
      </x:c>
      <x:c r="B25" s="270"/>
      <x:c r="C25" s="270">
        <x:f>E25/I1</x:f>
        <x:v>4267000</x:v>
      </x:c>
      <x:c r="D25" s="270"/>
      <x:c r="E25" s="270">
        <x:f>SUM('1'!$A$25)</x:f>
        <x:v>4267000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SUM('1'!$K$23)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0.45113686430747596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275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/>
      <x:c r="G27" s="268"/>
      <x:c r="H27" s="111" t="s">
        <x:v>116</x:v>
      </x:c>
      <x:c r="I27" s="112">
        <x:f>SUM(C27:D34,F27:G32)</x:f>
        <x:v>585322.58064516133</x:v>
      </x:c>
      <x:c r="M27" s="66"/>
    </x:row>
    <x:row r="28" spans="1:13" ht="30.949999999999999" customHeight="1">
      <x:c r="A28" s="276"/>
      <x:c r="B28" s="54"/>
      <x:c r="C28" s="262"/>
      <x:c r="D28" s="263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0.13717426309940506</x:v>
      </x:c>
      <x:c r="M28" s="66"/>
    </x:row>
    <x:row r="29" spans="1:13" ht="30.949999999999999" customHeight="1">
      <x:c r="A29" s="276"/>
      <x:c r="B29" s="54" t="s">
        <x:v>45</x:v>
      </x:c>
      <x:c r="C29" s="270">
        <x:f>3300000/31</x:f>
        <x:v>106451.6129032258</x:v>
      </x:c>
      <x:c r="D29" s="270"/>
      <x:c r="E29" s="54" t="s">
        <x:v>55</x:v>
      </x:c>
      <x:c r="F29" s="268"/>
      <x:c r="G29" s="268"/>
      <x:c r="H29" s="111" t="s">
        <x:v>31</x:v>
      </x:c>
      <x:c r="I29" s="112">
        <x:f>SUM('1'!$I$27)</x:f>
        <x:v>585322.58064516133</x:v>
      </x:c>
      <x:c r="M29" s="66"/>
    </x:row>
    <x:row r="30" spans="1:13" ht="30.949999999999999" customHeight="1">
      <x:c r="A30" s="276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1</x:v>
      </x:c>
      <x:c r="M30" s="66"/>
    </x:row>
    <x:row r="31" spans="1:7" customHeight="1">
      <x:c r="A31" s="276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143000</x:v>
      </x:c>
      <x:c r="G31" s="267"/>
    </x:row>
    <x:row r="32" spans="1:7" customHeight="1">
      <x:c r="A32" s="276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customHeight="1">
      <x:c r="A33" s="276"/>
      <x:c r="B33" s="54" t="s">
        <x:v>21</x:v>
      </x:c>
      <x:c r="C33" s="264">
        <x:f>13000*4</x:f>
        <x:v>52000</x:v>
      </x:c>
      <x:c r="D33" s="265"/>
    </x:row>
    <x:row r="34" spans="1:4" customHeight="1">
      <x:c r="A34" s="277"/>
      <x:c r="B34" s="54" t="s">
        <x:v>55</x:v>
      </x:c>
      <x:c r="C34" s="266"/>
      <x:c r="D34" s="267"/>
    </x:row>
  </x:sheetData>
  <x:mergeCells count="75">
    <x:mergeCell ref="F19:G19"/>
    <x:mergeCell ref="B20:B21"/>
    <x:mergeCell ref="D21:E21"/>
    <x:mergeCell ref="F21:G21"/>
    <x:mergeCell ref="A26:B26"/>
    <x:mergeCell ref="F20:G20"/>
    <x:mergeCell ref="C31:D31"/>
    <x:mergeCell ref="C33:D33"/>
    <x:mergeCell ref="F30:G30"/>
    <x:mergeCell ref="F29:G29"/>
    <x:mergeCell ref="C26:D26"/>
    <x:mergeCell ref="E26:G26"/>
    <x:mergeCell ref="C30:D30"/>
    <x:mergeCell ref="F27:G27"/>
    <x:mergeCell ref="C28:D28"/>
    <x:mergeCell ref="F28:G28"/>
    <x:mergeCell ref="C29:D29"/>
    <x:mergeCell ref="F32:G32"/>
    <x:mergeCell ref="C6:D7"/>
    <x:mergeCell ref="E6:F7"/>
    <x:mergeCell ref="E8:F9"/>
    <x:mergeCell ref="A27:A34"/>
    <x:mergeCell ref="C32:D32"/>
    <x:mergeCell ref="C34:D34"/>
    <x:mergeCell ref="D20:E20"/>
    <x:mergeCell ref="C27:D27"/>
    <x:mergeCell ref="A25:B25"/>
    <x:mergeCell ref="C25:D25"/>
    <x:mergeCell ref="E25:G25"/>
    <x:mergeCell ref="A24:B24"/>
    <x:mergeCell ref="C24:D24"/>
    <x:mergeCell ref="E24:G24"/>
    <x:mergeCell ref="F31:G31"/>
    <x:mergeCell ref="A11:B11"/>
    <x:mergeCell ref="C11:G11"/>
    <x:mergeCell ref="F12:G12"/>
    <x:mergeCell ref="N23:O23"/>
    <x:mergeCell ref="C23:G23"/>
    <x:mergeCell ref="A8:B9"/>
    <x:mergeCell ref="C8:D9"/>
    <x:mergeCell ref="F16:G16"/>
    <x:mergeCell ref="F17:G17"/>
    <x:mergeCell ref="F13:G13"/>
    <x:mergeCell ref="F14:G14"/>
    <x:mergeCell ref="F15:G15"/>
    <x:mergeCell ref="G8:G9"/>
    <x:mergeCell ref="A22:B22"/>
    <x:mergeCell ref="C22:G22"/>
    <x:mergeCell ref="A23:B23"/>
    <x:mergeCell ref="E10:F10"/>
    <x:mergeCell ref="F18:G18"/>
    <x:mergeCell ref="A6:B7"/>
    <x:mergeCell ref="A10:B10"/>
    <x:mergeCell ref="C10:D10"/>
    <x:mergeCell ref="J2:K2"/>
    <x:mergeCell ref="H2:I2"/>
    <x:mergeCell ref="G2:G3"/>
    <x:mergeCell ref="A5:B5"/>
    <x:mergeCell ref="C5:D5"/>
    <x:mergeCell ref="E5:F5"/>
    <x:mergeCell ref="A2:B3"/>
    <x:mergeCell ref="C2:D3"/>
    <x:mergeCell ref="A4:B4"/>
    <x:mergeCell ref="C4:D4"/>
    <x:mergeCell ref="E4:F4"/>
    <x:mergeCell ref="E2:F3"/>
    <x:mergeCell ref="G6:G7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O34"/>
  <x:sheetViews>
    <x:sheetView topLeftCell="A26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3" width="12.625" style="53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2</x:v>
      </x:c>
      <x:c r="G1" s="68" t="s">
        <x:v>156</x:v>
      </x:c>
      <x:c r="H1" s="52" t="s">
        <x:v>121</x:v>
      </x:c>
      <x:c r="I1" s="52">
        <x:f>F1-K1</x:f>
        <x:v>2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5074000</x:v>
      </x:c>
      <x:c r="D2" s="307"/>
      <x:c r="E2" s="309" t="s">
        <x:v>38</x:v>
      </x:c>
      <x:c r="F2" s="310"/>
      <x:c r="G2" s="299">
        <x:v>128300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4295000</x:v>
      </x:c>
      <x:c r="D4" s="268"/>
      <x:c r="E4" s="308" t="s">
        <x:v>144</x:v>
      </x:c>
      <x:c r="F4" s="308"/>
      <x:c r="G4" s="133">
        <x:f>INT(C4*0.0275)</x:f>
        <x:v>118112</x:v>
      </x:c>
      <x:c r="H4" s="54" t="s">
        <x:v>20</x:v>
      </x:c>
      <x:c r="I4" s="125"/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779000</x:v>
      </x:c>
      <x:c r="D5" s="268"/>
      <x:c r="E5" s="257" t="s">
        <x:v>68</x:v>
      </x:c>
      <x:c r="F5" s="257"/>
      <x:c r="G5" s="133">
        <x:f>INT(C5*0.01)</x:f>
        <x:v>7790</x:v>
      </x:c>
      <x:c r="H5" s="54" t="s">
        <x:v>6</x:v>
      </x:c>
      <x:c r="I5" s="137"/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760000</x:v>
      </x:c>
      <x:c r="H6" s="54"/>
      <x:c r="I6" s="125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5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147300</x:v>
      </x:c>
      <x:c r="D8" s="268"/>
      <x:c r="E8" s="253" t="s">
        <x:v>108</x:v>
      </x:c>
      <x:c r="F8" s="254"/>
      <x:c r="G8" s="287">
        <x:f>C5+G2-G6-C22</x:f>
        <x:v>147300</x:v>
      </x:c>
      <x:c r="H8" s="54" t="s">
        <x:v>43</x:v>
      </x:c>
      <x:c r="I8" s="125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/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/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9</x:v>
      </x:c>
      <x:c r="D12" s="253" t="s">
        <x:v>131</x:v>
      </x:c>
      <x:c r="E12" s="254"/>
      <x:c r="F12" s="280">
        <x:v>8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SUM('1:2'!$C$12)</x:f>
        <x:v>18</x:v>
      </x:c>
      <x:c r="D13" s="255"/>
      <x:c r="E13" s="256"/>
      <x:c r="F13" s="285">
        <x:f>SUM('1:2'!$F$12)</x:f>
        <x:v>13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20</x:v>
      </x:c>
      <x:c r="D14" s="253" t="s">
        <x:v>93</x:v>
      </x:c>
      <x:c r="E14" s="254"/>
      <x:c r="F14" s="280">
        <x:v>16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SUM('1:2'!$C$14)</x:f>
        <x:v>46</x:v>
      </x:c>
      <x:c r="D15" s="255"/>
      <x:c r="E15" s="256"/>
      <x:c r="F15" s="285">
        <x:f>SUM('1:2'!$F$14)</x:f>
        <x:v>28</x:v>
      </x:c>
      <x:c r="G15" s="286"/>
      <x:c r="H15" s="54" t="s">
        <x:v>104</x:v>
      </x:c>
      <x:c r="I15" s="58"/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7</x:v>
      </x:c>
      <x:c r="D16" s="253" t="s">
        <x:v>115</x:v>
      </x:c>
      <x:c r="E16" s="254"/>
      <x:c r="F16" s="261">
        <x:v>20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SUM('1:2'!$C$16)</x:f>
        <x:v>10</x:v>
      </x:c>
      <x:c r="D17" s="255"/>
      <x:c r="E17" s="256"/>
      <x:c r="F17" s="252">
        <x:f>SUM('1:2'!$F$16)</x:f>
        <x:v>30</x:v>
      </x:c>
      <x:c r="G17" s="252"/>
      <x:c r="H17" s="54" t="s">
        <x:v>7</x:v>
      </x:c>
      <x:c r="I17" s="58"/>
      <x:c r="J17" s="54" t="s">
        <x:v>88</x:v>
      </x:c>
      <x:c r="K17" s="58">
        <x:v>17200</x:v>
      </x:c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14</x:v>
      </x:c>
      <x:c r="D18" s="253" t="s">
        <x:v>128</x:v>
      </x:c>
      <x:c r="E18" s="254"/>
      <x:c r="F18" s="289">
        <x:v>8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SUM('1:2'!$C$18)</x:f>
        <x:v>27</x:v>
      </x:c>
      <x:c r="D19" s="255"/>
      <x:c r="E19" s="256"/>
      <x:c r="F19" s="252">
        <x:f>SUM('1:2'!$F$18)</x:f>
        <x:v>12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69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SUM('1:2'!$F$20)</x:f>
        <x:v>120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0</x:v>
      </x:c>
      <x:c r="J23" s="61" t="s">
        <x:v>117</x:v>
      </x:c>
      <x:c r="K23" s="62">
        <x:f>SUM(K4:K22)</x:f>
        <x:v>17200</x:v>
      </x:c>
      <x:c r="M23" s="88" t="s">
        <x:v>91</x:v>
      </x:c>
      <x:c r="N23" s="282">
        <x:f>C5+C6</x:f>
        <x:v>779000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0.0033898305084745762</x:v>
      </x:c>
    </x:row>
    <x:row r="25" spans="1:11" ht="34.149999999999999" customHeight="1">
      <x:c r="A25" s="278">
        <x:f>C2</x:f>
        <x:v>5074000</x:v>
      </x:c>
      <x:c r="B25" s="270"/>
      <x:c r="C25" s="270">
        <x:f>E25/I1</x:f>
        <x:v>2133500</x:v>
      </x:c>
      <x:c r="D25" s="270"/>
      <x:c r="E25" s="270">
        <x:f>SUM('1'!$A$25)</x:f>
        <x:v>4267000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SUM('1'!$K$23)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0.45113686430747596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/>
      <x:c r="G27" s="268"/>
      <x:c r="H27" s="111" t="s">
        <x:v>116</x:v>
      </x:c>
      <x:c r="I27" s="112">
        <x:f>SUM(C27:D34,F27:G32)</x:f>
        <x:v>585322.58064516133</x:v>
      </x:c>
      <x:c r="M27" s="66"/>
    </x:row>
    <x:row r="28" spans="1:13" ht="30.949999999999999" customHeight="1">
      <x:c r="A28" s="313"/>
      <x:c r="B28" s="54"/>
      <x:c r="C28" s="262"/>
      <x:c r="D28" s="263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0.11535722913779294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SUM('1:2'!$I$27)</x:f>
        <x:v>1170645.1612903227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2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143000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customHeight="1">
      <x:c r="A33" s="313"/>
      <x:c r="B33" s="54" t="s">
        <x:v>21</x:v>
      </x:c>
      <x:c r="C33" s="264">
        <x:f>13000*4</x:f>
        <x:v>52000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A27:A34"/>
    <x:mergeCell ref="C32:D32"/>
    <x:mergeCell ref="C33:D33"/>
    <x:mergeCell ref="C34:D34"/>
    <x:mergeCell ref="D20:E20"/>
    <x:mergeCell ref="A25:B25"/>
    <x:mergeCell ref="A26:B26"/>
    <x:mergeCell ref="A22:B22"/>
    <x:mergeCell ref="A23:B23"/>
    <x:mergeCell ref="A24:B24"/>
    <x:mergeCell ref="D21:E21"/>
    <x:mergeCell ref="N23:O23"/>
    <x:mergeCell ref="C26:D26"/>
    <x:mergeCell ref="E26:G26"/>
    <x:mergeCell ref="E24:G24"/>
    <x:mergeCell ref="F31:G31"/>
    <x:mergeCell ref="C27:D27"/>
    <x:mergeCell ref="F27:G27"/>
    <x:mergeCell ref="C28:D28"/>
    <x:mergeCell ref="F28:G28"/>
    <x:mergeCell ref="C29:D29"/>
    <x:mergeCell ref="F30:G30"/>
    <x:mergeCell ref="C30:D30"/>
    <x:mergeCell ref="F16:G16"/>
    <x:mergeCell ref="F17:G17"/>
    <x:mergeCell ref="F21:G21"/>
    <x:mergeCell ref="C31:D31"/>
    <x:mergeCell ref="F29:G29"/>
    <x:mergeCell ref="C22:G22"/>
    <x:mergeCell ref="F18:G18"/>
    <x:mergeCell ref="F19:G19"/>
    <x:mergeCell ref="F20:G20"/>
    <x:mergeCell ref="G6:G7"/>
    <x:mergeCell ref="A10:B10"/>
    <x:mergeCell ref="C10:D10"/>
    <x:mergeCell ref="C25:D25"/>
    <x:mergeCell ref="E25:G25"/>
    <x:mergeCell ref="C23:G23"/>
    <x:mergeCell ref="C24:D24"/>
    <x:mergeCell ref="F15:G15"/>
    <x:mergeCell ref="F12:G12"/>
    <x:mergeCell ref="F13:G13"/>
    <x:mergeCell ref="F14:G14"/>
    <x:mergeCell ref="A11:B11"/>
    <x:mergeCell ref="C11:G11"/>
    <x:mergeCell ref="E10:F10"/>
    <x:mergeCell ref="E8:F9"/>
    <x:mergeCell ref="G8:G9"/>
    <x:mergeCell ref="A8:B9"/>
    <x:mergeCell ref="C8:D9"/>
    <x:mergeCell ref="F32:G32"/>
    <x:mergeCell ref="H2:I2"/>
    <x:mergeCell ref="J2:K2"/>
    <x:mergeCell ref="A2:B3"/>
    <x:mergeCell ref="C2:D3"/>
    <x:mergeCell ref="E2:F3"/>
    <x:mergeCell ref="G2:G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O34"/>
  <x:sheetViews>
    <x:sheetView topLeftCell="A1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3</x:v>
      </x:c>
      <x:c r="G1" s="68" t="s">
        <x:v>47</x:v>
      </x:c>
      <x:c r="H1" s="52" t="s">
        <x:v>121</x:v>
      </x:c>
      <x:c r="I1" s="52">
        <x:f>F1-K1</x:f>
        <x:v>3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3816500</x:v>
      </x:c>
      <x:c r="D2" s="307"/>
      <x:c r="E2" s="309" t="s">
        <x:v>38</x:v>
      </x:c>
      <x:c r="F2" s="310"/>
      <x:c r="G2" s="299">
        <x:v>147300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3061500</x:v>
      </x:c>
      <x:c r="D4" s="268"/>
      <x:c r="E4" s="308" t="s">
        <x:v>144</x:v>
      </x:c>
      <x:c r="F4" s="308"/>
      <x:c r="G4" s="133">
        <x:f>C4*0.0275</x:f>
        <x:v>84191.25</x:v>
      </x:c>
      <x:c r="H4" s="54" t="s">
        <x:v>20</x:v>
      </x:c>
      <x:c r="I4" s="124">
        <x:f>311087+279910+439200+237276+177485+452000</x:f>
        <x:v>1896958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755000</x:v>
      </x:c>
      <x:c r="D5" s="268"/>
      <x:c r="E5" s="257" t="s">
        <x:v>68</x:v>
      </x:c>
      <x:c r="F5" s="257"/>
      <x:c r="G5" s="133">
        <x:f>INT(C5*0.01)</x:f>
        <x:v>7550</x:v>
      </x:c>
      <x:c r="H5" s="54" t="s">
        <x:v>6</x:v>
      </x:c>
      <x:c r="I5" s="124">
        <x:f>29656+78760+100000+34500+36000</x:f>
        <x:v>278916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760000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>
        <x:v>44200</x:v>
      </x:c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142300</x:v>
      </x:c>
      <x:c r="D8" s="268"/>
      <x:c r="E8" s="253" t="s">
        <x:v>108</x:v>
      </x:c>
      <x:c r="F8" s="254"/>
      <x:c r="G8" s="287">
        <x:f>C5+G2-G6-C22</x:f>
        <x:v>142300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21.75" customHeight="1">
      <x:c r="A10" s="260" t="s">
        <x:v>141</x:v>
      </x:c>
      <x:c r="B10" s="257"/>
      <x:c r="C10" s="268"/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21.75" customHeight="1">
      <x:c r="A11" s="260" t="s">
        <x:v>101</x:v>
      </x:c>
      <x:c r="B11" s="257"/>
      <x:c r="C11" s="279"/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5</x:v>
      </x:c>
      <x:c r="D12" s="253" t="s">
        <x:v>131</x:v>
      </x:c>
      <x:c r="E12" s="254"/>
      <x:c r="F12" s="280">
        <x:v>2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SUM('1:3'!$C$12)</x:f>
        <x:v>23</x:v>
      </x:c>
      <x:c r="D13" s="255"/>
      <x:c r="E13" s="256"/>
      <x:c r="F13" s="285">
        <x:f>SUM('1:3'!$F$12)</x:f>
        <x:v>15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17</x:v>
      </x:c>
      <x:c r="D14" s="253" t="s">
        <x:v>93</x:v>
      </x:c>
      <x:c r="E14" s="254"/>
      <x:c r="F14" s="280">
        <x:v>1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SUM('1:3'!$C$14)</x:f>
        <x:v>63</x:v>
      </x:c>
      <x:c r="D15" s="255"/>
      <x:c r="E15" s="256"/>
      <x:c r="F15" s="285">
        <x:f>SUM('1:3'!$F$14)</x:f>
        <x:v>29</x:v>
      </x:c>
      <x:c r="G15" s="286"/>
      <x:c r="H15" s="54" t="s">
        <x:v>104</x:v>
      </x:c>
      <x:c r="I15" s="58">
        <x:f>6000+27200+11800+3500+3500+38000+2450+44000+37500</x:f>
        <x:v>173950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4</x:v>
      </x:c>
      <x:c r="D16" s="253" t="s">
        <x:v>115</x:v>
      </x:c>
      <x:c r="E16" s="254"/>
      <x:c r="F16" s="261">
        <x:v>5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SUM('1:3'!$C$16)</x:f>
        <x:v>14</x:v>
      </x:c>
      <x:c r="D17" s="255"/>
      <x:c r="E17" s="256"/>
      <x:c r="F17" s="252">
        <x:f>SUM('1:3'!$F$16)</x:f>
        <x:v>35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13</x:v>
      </x:c>
      <x:c r="D18" s="253" t="s">
        <x:v>128</x:v>
      </x:c>
      <x:c r="E18" s="254"/>
      <x:c r="F18" s="289">
        <x:v>1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SUM('1:3'!$C$18)</x:f>
        <x:v>40</x:v>
      </x:c>
      <x:c r="D19" s="255"/>
      <x:c r="E19" s="256"/>
      <x:c r="F19" s="252">
        <x:f>SUM('1:3'!$F$18)</x:f>
        <x:v>13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64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SUM('1:3'!$F$20)</x:f>
        <x:v>184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2394024</x:v>
      </x:c>
      <x:c r="J23" s="61" t="s">
        <x:v>117</x:v>
      </x:c>
      <x:c r="K23" s="62">
        <x:f>SUM(K4:K22)</x:f>
        <x:v>0</x:v>
      </x:c>
      <x:c r="M23" s="88" t="s">
        <x:v>91</x:v>
      </x:c>
      <x:c r="N23" s="282">
        <x:f>C5+C6</x:f>
        <x:v>755000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0.62728258875933451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78">
        <x:f>C2</x:f>
        <x:v>3816500</x:v>
      </x:c>
      <x:c r="B25" s="270"/>
      <x:c r="C25" s="270">
        <x:f>E25/I1</x:f>
        <x:v>4385833.333333333</x:v>
      </x:c>
      <x:c r="D25" s="270"/>
      <x:c r="E25" s="270">
        <x:f>SUM('1:3'!$A$25)</x:f>
        <x:v>13157500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SUM('1:3'!$K$23)</x:f>
        <x:v>17200</x:v>
      </x:c>
    </x:row>
    <x:row r="26" spans="1:11" ht="34.149999999999999" customHeight="1">
      <x:c r="A26" s="260" t="s">
        <x:v>140</x:v>
      </x:c>
      <x:c r="B26" s="257"/>
      <x:c r="C26" s="317"/>
      <x:c r="D26" s="257"/>
      <x:c r="E26" s="268"/>
      <x:c r="F26" s="268"/>
      <x:c r="G26" s="268"/>
      <x:c r="H26" s="107" t="s">
        <x:v>126</x:v>
      </x:c>
      <x:c r="I26" s="110">
        <x:f>I25/$E$25</x:f>
        <x:v>0.14630446513395401</x:v>
      </x:c>
      <x:c r="J26" s="64" t="s">
        <x:v>126</x:v>
      </x:c>
      <x:c r="K26" s="65">
        <x:f>K25/$E$25</x:f>
        <x:v>0.0013072392171765152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13000*4.5</x:f>
        <x:v>58500</x:v>
      </x:c>
      <x:c r="G27" s="268"/>
      <x:c r="H27" s="111" t="s">
        <x:v>116</x:v>
      </x:c>
      <x:c r="I27" s="112">
        <x:f>SUM(C27:D34,F27:G32)</x:f>
        <x:v>651822.58064516133</x:v>
      </x:c>
      <x:c r="M27" s="66"/>
    </x:row>
    <x:row r="28" spans="1:13" ht="30.949999999999999" customHeight="1">
      <x:c r="A28" s="313"/>
      <x:c r="B28" s="54"/>
      <x:c r="C28" s="262"/>
      <x:c r="D28" s="263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0.17079066701039206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SUM('1:3'!$I$27)</x:f>
        <x:v>1822467.7419354841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2.7959567465914437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132000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>
        <x:v>71000</x:v>
      </x:c>
      <x:c r="G32" s="267"/>
    </x:row>
    <x:row r="33" spans="1:4" customHeight="1">
      <x:c r="A33" s="313"/>
      <x:c r="B33" s="54" t="s">
        <x:v>21</x:v>
      </x:c>
      <x:c r="C33" s="264"/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O34"/>
  <x:sheetViews>
    <x:sheetView topLeftCell="A23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4</x:v>
      </x:c>
      <x:c r="G1" s="68" t="s">
        <x:v>60</x:v>
      </x:c>
      <x:c r="H1" s="52" t="s">
        <x:v>121</x:v>
      </x:c>
      <x:c r="I1" s="52">
        <x:f>F1-K1</x:f>
        <x:v>4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7304000</x:v>
      </x:c>
      <x:c r="D2" s="307"/>
      <x:c r="E2" s="309" t="s">
        <x:v>38</x:v>
      </x:c>
      <x:c r="F2" s="310"/>
      <x:c r="G2" s="299">
        <x:v>142300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6812000</x:v>
      </x:c>
      <x:c r="D4" s="268"/>
      <x:c r="E4" s="308" t="s">
        <x:v>144</x:v>
      </x:c>
      <x:c r="F4" s="308"/>
      <x:c r="G4" s="133">
        <x:f>INT(C4*0.0275)</x:f>
        <x:v>187330</x:v>
      </x:c>
      <x:c r="H4" s="54" t="s">
        <x:v>20</x:v>
      </x:c>
      <x:c r="I4" s="124">
        <x:f>596330+180712+452000+468468+221000</x:f>
        <x:v>1918510</x:v>
      </x:c>
      <x:c r="J4" s="80" t="s">
        <x:v>34</x:v>
      </x:c>
      <x:c r="K4" s="58">
        <x:v>263000</x:v>
      </x:c>
    </x:row>
    <x:row r="5" spans="1:11" ht="30.949999999999999" customHeight="1">
      <x:c r="A5" s="301" t="s">
        <x:v>59</x:v>
      </x:c>
      <x:c r="B5" s="302"/>
      <x:c r="C5" s="268">
        <x:v>492000</x:v>
      </x:c>
      <x:c r="D5" s="268"/>
      <x:c r="E5" s="257" t="s">
        <x:v>68</x:v>
      </x:c>
      <x:c r="F5" s="257"/>
      <x:c r="G5" s="133">
        <x:f>INT(C5*0.01)</x:f>
        <x:v>4920</x:v>
      </x:c>
      <x:c r="H5" s="54" t="s">
        <x:v>6</x:v>
      </x:c>
      <x:c r="I5" s="124">
        <x:f>50000+34500+16720+44000+53350+23880+17520+40420+7000</x:f>
        <x:v>287390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500000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134800</x:v>
      </x:c>
      <x:c r="D8" s="268"/>
      <x:c r="E8" s="253" t="s">
        <x:v>108</x:v>
      </x:c>
      <x:c r="F8" s="254"/>
      <x:c r="G8" s="287">
        <x:f>C5+G2-G6-C22</x:f>
        <x:v>134300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/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>
        <x:v>14300</x:v>
      </x:c>
    </x:row>
    <x:row r="11" spans="1:11" ht="33" customHeight="1">
      <x:c r="A11" s="260" t="s">
        <x:v>101</x:v>
      </x:c>
      <x:c r="B11" s="257"/>
      <x:c r="C11" s="279"/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/>
      <x:c r="D12" s="253" t="s">
        <x:v>131</x:v>
      </x:c>
      <x:c r="E12" s="254"/>
      <x:c r="F12" s="280"/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SUM('1:4'!$C$12)</x:f>
        <x:v>23</x:v>
      </x:c>
      <x:c r="D13" s="255"/>
      <x:c r="E13" s="256"/>
      <x:c r="F13" s="285">
        <x:f>SUM('1:4'!$F$12)</x:f>
        <x:v>15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/>
      <x:c r="D14" s="253" t="s">
        <x:v>93</x:v>
      </x:c>
      <x:c r="E14" s="254"/>
      <x:c r="F14" s="280"/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SUM('1:4'!$C$14)</x:f>
        <x:v>63</x:v>
      </x:c>
      <x:c r="D15" s="255"/>
      <x:c r="E15" s="256"/>
      <x:c r="F15" s="285">
        <x:f>SUM('1:4'!$F$14)</x:f>
        <x:v>29</x:v>
      </x:c>
      <x:c r="G15" s="286"/>
      <x:c r="H15" s="54" t="s">
        <x:v>104</x:v>
      </x:c>
      <x:c r="I15" s="58">
        <x:v>93700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/>
      <x:c r="D16" s="253" t="s">
        <x:v>115</x:v>
      </x:c>
      <x:c r="E16" s="254"/>
      <x:c r="F16" s="261"/>
      <x:c r="G16" s="261"/>
      <x:c r="H16" s="54"/>
      <x:c r="I16" s="58"/>
      <x:c r="J16" s="54" t="s">
        <x:v>95</x:v>
      </x:c>
      <x:c r="K16" s="58">
        <x:f>11680+24300</x:f>
        <x:v>35980</x:v>
      </x:c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SUM('1:4'!$C$16)</x:f>
        <x:v>14</x:v>
      </x:c>
      <x:c r="D17" s="255"/>
      <x:c r="E17" s="256"/>
      <x:c r="F17" s="252">
        <x:f>SUM('1:4'!$F$16)</x:f>
        <x:v>35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/>
      <x:c r="D18" s="253" t="s">
        <x:v>128</x:v>
      </x:c>
      <x:c r="E18" s="254"/>
      <x:c r="F18" s="289"/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SUM('1:4'!$C$18)</x:f>
        <x:v>40</x:v>
      </x:c>
      <x:c r="D19" s="255"/>
      <x:c r="E19" s="256"/>
      <x:c r="F19" s="252">
        <x:f>SUM('1:4'!$F$18)</x:f>
        <x:v>13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71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SUM('1:4'!$F$20)</x:f>
        <x:v>255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2364600</x:v>
      </x:c>
      <x:c r="J23" s="61" t="s">
        <x:v>117</x:v>
      </x:c>
      <x:c r="K23" s="62">
        <x:f>SUM(K4:K22)</x:f>
        <x:v>313280</x:v>
      </x:c>
      <x:c r="M23" s="88" t="s">
        <x:v>91</x:v>
      </x:c>
      <x:c r="N23" s="282">
        <x:f>C5+C6</x:f>
        <x:v>492000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0.32374041621029576</x:v>
      </x:c>
      <x:c r="J24" s="61" t="s">
        <x:v>8</x:v>
      </x:c>
      <x:c r="K24" s="63">
        <x:f>K23/A25</x:f>
        <x:v>0.042891566265060244</x:v>
      </x:c>
    </x:row>
    <x:row r="25" spans="1:11" ht="34.149999999999999" customHeight="1">
      <x:c r="A25" s="278">
        <x:f>C2</x:f>
        <x:v>7304000</x:v>
      </x:c>
      <x:c r="B25" s="270"/>
      <x:c r="C25" s="270">
        <x:f>E25/I1</x:f>
        <x:v>5115375</x:v>
      </x:c>
      <x:c r="D25" s="270"/>
      <x:c r="E25" s="270">
        <x:f>SUM('1:4'!$A$25)</x:f>
        <x:v>20461500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SUM('1:4'!$K$23)</x:f>
        <x:v>330480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0.094079173081152406</x:v>
      </x:c>
      <x:c r="J26" s="64" t="s">
        <x:v>126</x:v>
      </x:c>
      <x:c r="K26" s="65">
        <x:f>K25/$E$25</x:f>
        <x:v>0.016151308555091268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13000*5</x:f>
        <x:v>65000</x:v>
      </x:c>
      <x:c r="G27" s="268"/>
      <x:c r="H27" s="111" t="s">
        <x:v>116</x:v>
      </x:c>
      <x:c r="I27" s="112">
        <x:f>SUM(C27:D34,F27:G32)</x:f>
        <x:v>639322.58064516133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0.08753047380136382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SUM('1:4'!$I$27)</x:f>
        <x:v>2461790.3225806453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3.8506231394116757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132000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customHeight="1">
      <x:c r="A33" s="313"/>
      <x:c r="B33" s="54" t="s">
        <x:v>21</x:v>
      </x:c>
      <x:c r="C33" s="264">
        <x:f>13000*4</x:f>
        <x:v>52000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O34"/>
  <x:sheetViews>
    <x:sheetView topLeftCell="A26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5</x:v>
      </x:c>
      <x:c r="G1" s="68" t="s">
        <x:v>159</x:v>
      </x:c>
      <x:c r="H1" s="52" t="s">
        <x:v>121</x:v>
      </x:c>
      <x:c r="I1" s="52">
        <x:f>F1-K1</x:f>
        <x:v>5</x:v>
      </x:c>
      <x:c r="J1" s="52" t="s">
        <x:v>96</x:v>
      </x:c>
      <x:c r="K1" s="52"/>
    </x:row>
    <x:row r="2" spans="1:11" ht="20.100000000000001" customHeight="1">
      <x:c r="A2" s="337" t="s">
        <x:v>9</x:v>
      </x:c>
      <x:c r="B2" s="338"/>
      <x:c r="C2" s="341">
        <x:f>SUM(C4:D7)</x:f>
        <x:v>4889000</x:v>
      </x:c>
      <x:c r="D2" s="342"/>
      <x:c r="E2" s="309" t="s">
        <x:v>38</x:v>
      </x:c>
      <x:c r="F2" s="310"/>
      <x:c r="G2" s="299">
        <x:v>134800</x:v>
      </x:c>
      <x:c r="H2" s="345" t="s">
        <x:v>6</x:v>
      </x:c>
      <x:c r="I2" s="346"/>
      <x:c r="J2" s="295" t="s">
        <x:v>72</x:v>
      </x:c>
      <x:c r="K2" s="347"/>
    </x:row>
    <x:row r="3" spans="1:11" ht="20.100000000000001" customHeight="1">
      <x:c r="A3" s="339"/>
      <x:c r="B3" s="340"/>
      <x:c r="C3" s="343"/>
      <x:c r="D3" s="344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28" t="s">
        <x:v>22</x:v>
      </x:c>
      <x:c r="B4" s="329"/>
      <x:c r="C4" s="266">
        <x:v>4089000</x:v>
      </x:c>
      <x:c r="D4" s="267"/>
      <x:c r="E4" s="330" t="s">
        <x:v>144</x:v>
      </x:c>
      <x:c r="F4" s="331"/>
      <x:c r="G4" s="133">
        <x:f>INT(C4*0.0275)</x:f>
        <x:v>112447</x:v>
      </x:c>
      <x:c r="H4" s="54" t="s">
        <x:v>20</x:v>
      </x:c>
      <x:c r="I4" s="124">
        <x:f>56220+43500+10+221000</x:f>
        <x:v>320730</x:v>
      </x:c>
      <x:c r="J4" s="80" t="s">
        <x:v>34</x:v>
      </x:c>
      <x:c r="K4" s="58"/>
    </x:row>
    <x:row r="5" spans="1:11" ht="30.949999999999999" customHeight="1">
      <x:c r="A5" s="328" t="s">
        <x:v>59</x:v>
      </x:c>
      <x:c r="B5" s="329"/>
      <x:c r="C5" s="266">
        <x:v>800000</x:v>
      </x:c>
      <x:c r="D5" s="267"/>
      <x:c r="E5" s="280" t="s">
        <x:v>68</x:v>
      </x:c>
      <x:c r="F5" s="281"/>
      <x:c r="G5" s="133">
        <x:f>INT(C5*0.01)</x:f>
        <x:v>8000</x:v>
      </x:c>
      <x:c r="H5" s="54" t="s">
        <x:v>6</x:v>
      </x:c>
      <x:c r="I5" s="124">
        <x:f>36000+50000</x:f>
        <x:v>86000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840000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>
        <x:v>243900</x:v>
      </x:c>
      <x:c r="J7" s="81" t="s">
        <x:v>114</x:v>
      </x:c>
      <x:c r="K7" s="58"/>
    </x:row>
    <x:row r="8" spans="1:11" ht="21.949999999999999" customHeight="1">
      <x:c r="A8" s="335" t="s">
        <x:v>132</x:v>
      </x:c>
      <x:c r="B8" s="254"/>
      <x:c r="C8" s="271">
        <x:v>94800</x:v>
      </x:c>
      <x:c r="D8" s="272"/>
      <x:c r="E8" s="253" t="s">
        <x:v>108</x:v>
      </x:c>
      <x:c r="F8" s="254"/>
      <x:c r="G8" s="287">
        <x:f>C5+G2-G6</x:f>
        <x:v>94800</x:v>
      </x:c>
      <x:c r="H8" s="54" t="s">
        <x:v>43</x:v>
      </x:c>
      <x:c r="I8" s="124"/>
      <x:c r="J8" s="81"/>
      <x:c r="K8" s="58"/>
    </x:row>
    <x:row r="9" spans="1:11" ht="21.949999999999999" customHeight="1">
      <x:c r="A9" s="336"/>
      <x:c r="B9" s="256"/>
      <x:c r="C9" s="273"/>
      <x:c r="D9" s="274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318" t="s">
        <x:v>141</x:v>
      </x:c>
      <x:c r="B10" s="281"/>
      <x:c r="C10" s="266">
        <x:v>1000</x:v>
      </x:c>
      <x:c r="D10" s="267"/>
      <x:c r="E10" s="280" t="s">
        <x:v>85</x:v>
      </x:c>
      <x:c r="F10" s="281"/>
      <x:c r="G10" s="55"/>
      <x:c r="H10" s="54"/>
      <x:c r="I10" s="124"/>
      <x:c r="J10" s="54" t="s">
        <x:v>51</x:v>
      </x:c>
      <x:c r="K10" s="58"/>
    </x:row>
    <x:row r="11" spans="1:11" ht="33" customHeight="1">
      <x:c r="A11" s="318" t="s">
        <x:v>101</x:v>
      </x:c>
      <x:c r="B11" s="281"/>
      <x:c r="C11" s="332" t="s">
        <x:v>157</x:v>
      </x:c>
      <x:c r="D11" s="333"/>
      <x:c r="E11" s="333"/>
      <x:c r="F11" s="333"/>
      <x:c r="G11" s="33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4</x:v>
      </x:c>
      <x:c r="D12" s="253" t="s">
        <x:v>131</x:v>
      </x:c>
      <x:c r="E12" s="254"/>
      <x:c r="F12" s="280">
        <x:v>9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SUM('1:5'!$C$12)</x:f>
        <x:v>27</x:v>
      </x:c>
      <x:c r="D13" s="255"/>
      <x:c r="E13" s="256"/>
      <x:c r="F13" s="285">
        <x:f>SUM('1:5'!$F$12)</x:f>
        <x:v>24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20</x:v>
      </x:c>
      <x:c r="D14" s="253" t="s">
        <x:v>93</x:v>
      </x:c>
      <x:c r="E14" s="254"/>
      <x:c r="F14" s="280">
        <x:v>9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SUM('1:5'!$C$14)</x:f>
        <x:v>83</x:v>
      </x:c>
      <x:c r="D15" s="255"/>
      <x:c r="E15" s="256"/>
      <x:c r="F15" s="285">
        <x:f>SUM('1:5'!$F$14)</x:f>
        <x:v>38</x:v>
      </x:c>
      <x:c r="G15" s="286"/>
      <x:c r="H15" s="54" t="s">
        <x:v>104</x:v>
      </x:c>
      <x:c r="I15" s="58">
        <x:f>19200+11800+34000+3900+12500+3500+4250+9800+11500+10600+14000</x:f>
        <x:v>135050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6</x:v>
      </x:c>
      <x:c r="D16" s="253" t="s">
        <x:v>115</x:v>
      </x:c>
      <x:c r="E16" s="254"/>
      <x:c r="F16" s="326">
        <x:v>7</x:v>
      </x:c>
      <x:c r="G16" s="327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SUM('1:5'!$C$16)</x:f>
        <x:v>20</x:v>
      </x:c>
      <x:c r="D17" s="255"/>
      <x:c r="E17" s="256"/>
      <x:c r="F17" s="285">
        <x:f>SUM('1:5'!$F$16)</x:f>
        <x:v>42</x:v>
      </x:c>
      <x:c r="G17" s="286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13</x:v>
      </x:c>
      <x:c r="D18" s="253" t="s">
        <x:v>128</x:v>
      </x:c>
      <x:c r="E18" s="254"/>
      <x:c r="F18" s="326">
        <x:v>7</x:v>
      </x:c>
      <x:c r="G18" s="32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SUM('1:5'!$C$18)</x:f>
        <x:v>53</x:v>
      </x:c>
      <x:c r="D19" s="255"/>
      <x:c r="E19" s="256"/>
      <x:c r="F19" s="285">
        <x:f>SUM('1:5'!$F$18)</x:f>
        <x:v>20</x:v>
      </x:c>
      <x:c r="G19" s="286"/>
      <x:c r="H19" s="58"/>
      <x:c r="I19" s="58"/>
      <x:c r="J19" s="54"/>
      <x:c r="K19" s="58"/>
      <x:c r="L19" s="60"/>
      <x:c r="M19" s="11"/>
    </x:row>
    <x:row r="20" spans="1:13" ht="21.949999999999999" customHeight="1">
      <x:c r="A20" s="132"/>
      <x:c r="C20" s="132"/>
      <x:c r="D20" s="280" t="s">
        <x:v>111</x:v>
      </x:c>
      <x:c r="E20" s="281"/>
      <x:c r="F20" s="326">
        <x:v>53</x:v>
      </x:c>
      <x:c r="G20" s="327"/>
      <x:c r="H20" s="58"/>
      <x:c r="J20" s="54"/>
      <x:c r="K20" s="58"/>
      <x:c r="L20" s="60"/>
      <x:c r="M20" s="11"/>
    </x:row>
    <x:row r="21" spans="1:13" ht="21.949999999999999" customHeight="1">
      <x:c r="A21" s="132"/>
      <x:c r="C21" s="132"/>
      <x:c r="D21" s="280" t="s">
        <x:v>112</x:v>
      </x:c>
      <x:c r="E21" s="281"/>
      <x:c r="F21" s="285">
        <x:f>SUM('1:5'!$F$20)</x:f>
        <x:v>308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318" t="s">
        <x:v>81</x:v>
      </x:c>
      <x:c r="B22" s="281"/>
      <x:c r="C22" s="323"/>
      <x:c r="D22" s="324"/>
      <x:c r="E22" s="324"/>
      <x:c r="F22" s="324"/>
      <x:c r="G22" s="325"/>
      <x:c r="H22" s="54"/>
      <x:c r="J22" s="54"/>
      <x:c r="K22" s="58"/>
      <x:c r="L22" s="60"/>
      <x:c r="M22" s="11"/>
    </x:row>
    <x:row r="23" spans="1:15" ht="34.149999999999999" customHeight="1">
      <x:c r="A23" s="318" t="s">
        <x:v>122</x:v>
      </x:c>
      <x:c r="B23" s="281"/>
      <x:c r="C23" s="350"/>
      <x:c r="D23" s="351"/>
      <x:c r="E23" s="351"/>
      <x:c r="F23" s="351"/>
      <x:c r="G23" s="352"/>
      <x:c r="H23" s="107" t="s">
        <x:v>92</x:v>
      </x:c>
      <x:c r="I23" s="108">
        <x:f>SUM(I4:I22)</x:f>
        <x:v>785680</x:v>
      </x:c>
      <x:c r="J23" s="61" t="s">
        <x:v>117</x:v>
      </x:c>
      <x:c r="K23" s="62">
        <x:f>SUM(K4:K22)</x:f>
        <x:v>0</x:v>
      </x:c>
      <x:c r="M23" s="88" t="s">
        <x:v>91</x:v>
      </x:c>
      <x:c r="N23" s="282">
        <x:f>C5+C6</x:f>
        <x:v>800000</x:v>
      </x:c>
      <x:c r="O23" s="283"/>
    </x:row>
    <x:row r="24" spans="1:11" ht="34.149999999999999" customHeight="1">
      <x:c r="A24" s="318" t="s">
        <x:v>8</x:v>
      </x:c>
      <x:c r="B24" s="281"/>
      <x:c r="C24" s="280" t="s">
        <x:v>84</x:v>
      </x:c>
      <x:c r="D24" s="281"/>
      <x:c r="E24" s="280" t="s">
        <x:v>99</x:v>
      </x:c>
      <x:c r="F24" s="349"/>
      <x:c r="G24" s="281"/>
      <x:c r="H24" s="107" t="s">
        <x:v>8</x:v>
      </x:c>
      <x:c r="I24" s="109">
        <x:f>I23/A25</x:f>
        <x:v>0.16070362037226427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22">
        <x:f>C2</x:f>
        <x:v>4889000</x:v>
      </x:c>
      <x:c r="B25" s="263"/>
      <x:c r="C25" s="262">
        <x:f>E25/I1</x:f>
        <x:v>5070100</x:v>
      </x:c>
      <x:c r="D25" s="263"/>
      <x:c r="E25" s="262">
        <x:f>SUM('1:5'!$A$25)</x:f>
        <x:v>25350500</x:v>
      </x:c>
      <x:c r="F25" s="348"/>
      <x:c r="G25" s="263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SUM('1:5'!$K$23)</x:f>
        <x:v>330480</x:v>
      </x:c>
    </x:row>
    <x:row r="26" spans="1:11" ht="34.149999999999999" customHeight="1">
      <x:c r="A26" s="318" t="s">
        <x:v>140</x:v>
      </x:c>
      <x:c r="B26" s="281"/>
      <x:c r="C26" s="280"/>
      <x:c r="D26" s="281"/>
      <x:c r="E26" s="266"/>
      <x:c r="F26" s="321"/>
      <x:c r="G26" s="267"/>
      <x:c r="H26" s="107" t="s">
        <x:v>126</x:v>
      </x:c>
      <x:c r="I26" s="110">
        <x:f>I25/$E$25</x:f>
        <x:v>0.07593542533677837</x:v>
      </x:c>
      <x:c r="J26" s="64" t="s">
        <x:v>126</x:v>
      </x:c>
      <x:c r="K26" s="65">
        <x:f>K25/$E$25</x:f>
        <x:v>0.013036429261750261</x:v>
      </x:c>
    </x:row>
    <x:row r="27" spans="1:13" ht="30.949999999999999" customHeight="1">
      <x:c r="A27" s="275" t="s">
        <x:v>139</x:v>
      </x:c>
      <x:c r="B27" s="54" t="s">
        <x:v>42</x:v>
      </x:c>
      <x:c r="C27" s="262">
        <x:f>3300000/31</x:f>
        <x:v>106451.6129032258</x:v>
      </x:c>
      <x:c r="D27" s="263"/>
      <x:c r="E27" s="55" t="s">
        <x:v>146</x:v>
      </x:c>
      <x:c r="F27" s="266">
        <x:f>13000*4.5</x:f>
        <x:v>58500</x:v>
      </x:c>
      <x:c r="G27" s="267"/>
      <x:c r="H27" s="111" t="s">
        <x:v>116</x:v>
      </x:c>
      <x:c r="I27" s="112">
        <x:f>SUM(C27:D34,F27:G32)</x:f>
        <x:v>620822.58064516133</x:v>
      </x:c>
      <x:c r="M27" s="66"/>
    </x:row>
    <x:row r="28" spans="1:13" ht="30.949999999999999" customHeight="1">
      <x:c r="A28" s="276"/>
      <x:c r="B28" s="54"/>
      <x:c r="C28" s="262"/>
      <x:c r="D28" s="263"/>
      <x:c r="E28" s="55" t="s">
        <x:v>148</x:v>
      </x:c>
      <x:c r="F28" s="262">
        <x:f>1500000/31</x:f>
        <x:v>48387.096774193546</x:v>
      </x:c>
      <x:c r="G28" s="263"/>
      <x:c r="H28" s="111" t="s">
        <x:v>8</x:v>
      </x:c>
      <x:c r="I28" s="113">
        <x:f>I27/$A$25</x:f>
        <x:v>0.12698355096035208</x:v>
      </x:c>
      <x:c r="M28" s="66"/>
    </x:row>
    <x:row r="29" spans="1:13" ht="30.949999999999999" customHeight="1">
      <x:c r="A29" s="276"/>
      <x:c r="B29" s="54" t="s">
        <x:v>45</x:v>
      </x:c>
      <x:c r="C29" s="262">
        <x:f>3300000/31</x:f>
        <x:v>106451.6129032258</x:v>
      </x:c>
      <x:c r="D29" s="263"/>
      <x:c r="E29" s="55" t="s">
        <x:v>55</x:v>
      </x:c>
      <x:c r="F29" s="266"/>
      <x:c r="G29" s="267"/>
      <x:c r="H29" s="111" t="s">
        <x:v>31</x:v>
      </x:c>
      <x:c r="I29" s="112">
        <x:f>SUM('1:5'!$I$27)</x:f>
        <x:v>3082612.9032258065</x:v>
      </x:c>
      <x:c r="M29" s="66"/>
    </x:row>
    <x:row r="30" spans="1:13" ht="30.949999999999999" customHeight="1">
      <x:c r="A30" s="276"/>
      <x:c r="B30" s="54"/>
      <x:c r="C30" s="319"/>
      <x:c r="D30" s="320"/>
      <x:c r="E30" s="55" t="s">
        <x:v>55</x:v>
      </x:c>
      <x:c r="F30" s="266"/>
      <x:c r="G30" s="267"/>
      <x:c r="H30" s="111" t="s">
        <x:v>126</x:v>
      </x:c>
      <x:c r="I30" s="113">
        <x:f>I29/$I$27</x:f>
        <x:v>4.9653685277077759</x:v>
      </x:c>
      <x:c r="M30" s="66"/>
    </x:row>
    <x:row r="31" spans="1:7" customHeight="1">
      <x:c r="A31" s="276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120000</x:v>
      </x:c>
      <x:c r="G31" s="267"/>
    </x:row>
    <x:row r="32" spans="1:7" customHeight="1">
      <x:c r="A32" s="276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customHeight="1">
      <x:c r="A33" s="276"/>
      <x:c r="B33" s="54" t="s">
        <x:v>21</x:v>
      </x:c>
      <x:c r="C33" s="264">
        <x:f>13000*4</x:f>
        <x:v>52000</x:v>
      </x:c>
      <x:c r="D33" s="265"/>
    </x:row>
    <x:row r="34" spans="1:4" customHeight="1">
      <x:c r="A34" s="277"/>
      <x:c r="B34" s="54" t="s">
        <x:v>55</x:v>
      </x:c>
      <x:c r="C34" s="266"/>
      <x:c r="D34" s="267"/>
    </x:row>
  </x:sheetData>
  <x:mergeCells count="74">
    <x:mergeCell ref="A27:A34"/>
    <x:mergeCell ref="C32:D32"/>
    <x:mergeCell ref="C33:D33"/>
    <x:mergeCell ref="C34:D34"/>
    <x:mergeCell ref="A23:B23"/>
    <x:mergeCell ref="C31:D31"/>
    <x:mergeCell ref="C30:D30"/>
    <x:mergeCell ref="C27:D27"/>
    <x:mergeCell ref="C28:D28"/>
    <x:mergeCell ref="C29:D29"/>
    <x:mergeCell ref="N23:O23"/>
    <x:mergeCell ref="A26:B26"/>
    <x:mergeCell ref="C26:D26"/>
    <x:mergeCell ref="E26:G26"/>
    <x:mergeCell ref="A25:B25"/>
    <x:mergeCell ref="C25:D25"/>
    <x:mergeCell ref="A24:B24"/>
    <x:mergeCell ref="A22:B22"/>
    <x:mergeCell ref="C22:G22"/>
    <x:mergeCell ref="D20:E20"/>
    <x:mergeCell ref="F20:G20"/>
    <x:mergeCell ref="D21:E21"/>
    <x:mergeCell ref="F21:G21"/>
    <x:mergeCell ref="F18:G18"/>
    <x:mergeCell ref="F19:G1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A2:B3"/>
    <x:mergeCell ref="C2:D3"/>
    <x:mergeCell ref="E2:F3"/>
    <x:mergeCell ref="G2:G3"/>
    <x:mergeCell ref="H2:I2"/>
    <x:mergeCell ref="J2:K2"/>
    <x:mergeCell ref="F17:G17"/>
    <x:mergeCell ref="F12:G12"/>
    <x:mergeCell ref="F13:G13"/>
    <x:mergeCell ref="F14:G14"/>
    <x:mergeCell ref="F15:G15"/>
    <x:mergeCell ref="F16:G16"/>
    <x:mergeCell ref="F32:G32"/>
    <x:mergeCell ref="C8:D9"/>
    <x:mergeCell ref="E8:F9"/>
    <x:mergeCell ref="G8:G9"/>
    <x:mergeCell ref="E25:G25"/>
    <x:mergeCell ref="C24:D24"/>
    <x:mergeCell ref="E24:G24"/>
    <x:mergeCell ref="C23:G23"/>
    <x:mergeCell ref="F30:G30"/>
    <x:mergeCell ref="F31:G31"/>
    <x:mergeCell ref="F29:G29"/>
    <x:mergeCell ref="F27:G27"/>
    <x:mergeCell ref="F28:G28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O34"/>
  <x:sheetViews>
    <x:sheetView topLeftCell="A20" zoomScale="85" zoomScaleNormal="85" zoomScaleSheetLayoutView="75" workbookViewId="0">
      <x:selection activeCell="C34" activeCellId="0" sqref="C34:D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6</x:v>
      </x:c>
      <x:c r="G1" s="68" t="s">
        <x:v>48</x:v>
      </x:c>
      <x:c r="H1" s="52" t="s">
        <x:v>121</x:v>
      </x:c>
      <x:c r="I1" s="52">
        <x:f>F1-K1</x:f>
        <x:v>6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4090500</x:v>
      </x:c>
      <x:c r="D2" s="307"/>
      <x:c r="E2" s="309" t="s">
        <x:v>38</x:v>
      </x:c>
      <x:c r="F2" s="310"/>
      <x:c r="G2" s="299">
        <x:v>94800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3537000</x:v>
      </x:c>
      <x:c r="D4" s="268"/>
      <x:c r="E4" s="308" t="s">
        <x:v>144</x:v>
      </x:c>
      <x:c r="F4" s="308"/>
      <x:c r="G4" s="133">
        <x:f>INT(C4*0.0275)</x:f>
        <x:v>97267</x:v>
      </x:c>
      <x:c r="H4" s="54" t="s">
        <x:v>20</x:v>
      </x:c>
      <x:c r="I4" s="124">
        <x:f>285358+574424+56220+452000+249444+203301+221000+30650</x:f>
        <x:v>2072397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553500</x:v>
      </x:c>
      <x:c r="D5" s="268"/>
      <x:c r="E5" s="257" t="s">
        <x:v>68</x:v>
      </x:c>
      <x:c r="F5" s="257"/>
      <x:c r="G5" s="133">
        <x:f>INT(C5*0.01)</x:f>
        <x:v>5535</x:v>
      </x:c>
      <x:c r="H5" s="54" t="s">
        <x:v>6</x:v>
      </x:c>
      <x:c r="I5" s="124">
        <x:f>69000+53350+35040+30300</x:f>
        <x:v>187690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550000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98300</x:v>
      </x:c>
      <x:c r="D8" s="268"/>
      <x:c r="E8" s="253" t="s">
        <x:v>108</x:v>
      </x:c>
      <x:c r="F8" s="254"/>
      <x:c r="G8" s="287">
        <x:f>C5+G2-G6-C22</x:f>
        <x:v>98300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v>542000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 t="s">
        <x:v>166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4</x:v>
      </x:c>
      <x:c r="D12" s="253" t="s">
        <x:v>131</x:v>
      </x:c>
      <x:c r="E12" s="254"/>
      <x:c r="F12" s="280">
        <x:v>4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SUM('1:6'!$C$12)</x:f>
        <x:v>31</x:v>
      </x:c>
      <x:c r="D13" s="255"/>
      <x:c r="E13" s="256"/>
      <x:c r="F13" s="285">
        <x:f>SUM('1:6'!$F$12)</x:f>
        <x:v>28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23</x:v>
      </x:c>
      <x:c r="D14" s="253" t="s">
        <x:v>93</x:v>
      </x:c>
      <x:c r="E14" s="254"/>
      <x:c r="F14" s="280">
        <x:v>4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SUM('1:6'!$C$14)</x:f>
        <x:v>106</x:v>
      </x:c>
      <x:c r="D15" s="255"/>
      <x:c r="E15" s="256"/>
      <x:c r="F15" s="285">
        <x:f>SUM('1:6'!$F$14)</x:f>
        <x:v>42</x:v>
      </x:c>
      <x:c r="G15" s="286"/>
      <x:c r="H15" s="54" t="s">
        <x:v>104</x:v>
      </x:c>
      <x:c r="I15" s="58">
        <x:f>11800+54400+3500+10000+5500+8900</x:f>
        <x:v>94100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4</x:v>
      </x:c>
      <x:c r="D16" s="253" t="s">
        <x:v>115</x:v>
      </x:c>
      <x:c r="E16" s="254"/>
      <x:c r="F16" s="261">
        <x:v>7</x:v>
      </x:c>
      <x:c r="G16" s="261"/>
      <x:c r="H16" s="54"/>
      <x:c r="I16" s="58"/>
      <x:c r="J16" s="54" t="s">
        <x:v>95</x:v>
      </x:c>
      <x:c r="K16" s="58">
        <x:v>175770</x:v>
      </x:c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SUM('1:6'!$C$16)</x:f>
        <x:v>24</x:v>
      </x:c>
      <x:c r="D17" s="255"/>
      <x:c r="E17" s="256"/>
      <x:c r="F17" s="252">
        <x:f>SUM('1:6'!$F$16)</x:f>
        <x:v>49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21</x:v>
      </x:c>
      <x:c r="D18" s="253" t="s">
        <x:v>128</x:v>
      </x:c>
      <x:c r="E18" s="254"/>
      <x:c r="F18" s="289">
        <x:v>7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SUM('1:6'!$C$18)</x:f>
        <x:v>74</x:v>
      </x:c>
      <x:c r="D19" s="255"/>
      <x:c r="E19" s="256"/>
      <x:c r="F19" s="252">
        <x:f>SUM('1:6'!$F$18)</x:f>
        <x:v>27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73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SUM('1:6'!$F$20)</x:f>
        <x:v>381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2419187</x:v>
      </x:c>
      <x:c r="J23" s="61" t="s">
        <x:v>117</x:v>
      </x:c>
      <x:c r="K23" s="62">
        <x:f>SUM(K4:K22)</x:f>
        <x:v>175770</x:v>
      </x:c>
      <x:c r="M23" s="88" t="s">
        <x:v>91</x:v>
      </x:c>
      <x:c r="N23" s="282">
        <x:f>C5+C6</x:f>
        <x:v>553500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0.59141596381860406</x:v>
      </x:c>
      <x:c r="J24" s="61" t="s">
        <x:v>8</x:v>
      </x:c>
      <x:c r="K24" s="63">
        <x:f>K23/A25</x:f>
        <x:v>0.042970297029702964</x:v>
      </x:c>
    </x:row>
    <x:row r="25" spans="1:11" ht="34.149999999999999" customHeight="1">
      <x:c r="A25" s="278">
        <x:f>C2</x:f>
        <x:v>4090500</x:v>
      </x:c>
      <x:c r="B25" s="270"/>
      <x:c r="C25" s="270">
        <x:f>E25/I1</x:f>
        <x:v>4906833.333333333</x:v>
      </x:c>
      <x:c r="D25" s="270"/>
      <x:c r="E25" s="270">
        <x:f>SUM('1:6'!$A$25)</x:f>
        <x:v>29441000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SUM('1:6'!$K$23)</x:f>
        <x:v>506250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0.065385041268978636</x:v>
      </x:c>
      <x:c r="J26" s="64" t="s">
        <x:v>126</x:v>
      </x:c>
      <x:c r="K26" s="65">
        <x:f>K25/$E$25</x:f>
        <x:v>0.017195407764681907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/>
      <x:c r="G27" s="268"/>
      <x:c r="H27" s="111" t="s">
        <x:v>116</x:v>
      </x:c>
      <x:c r="I27" s="114">
        <x:f>SUM(C27:D34,F27:G32)</x:f>
        <x:v>633322.58064516133</x:v>
      </x:c>
      <x:c r="M27" s="66"/>
    </x:row>
    <x:row r="28" spans="1:13" ht="30.949999999999999" customHeight="1">
      <x:c r="A28" s="313"/>
      <x:c r="B28" s="54"/>
      <x:c r="C28" s="262"/>
      <x:c r="D28" s="263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0.15482766914684301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SUM('1:6'!$I$27)</x:f>
        <x:v>3715935.4838709678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5.8673661692049102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120000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>
        <x:v>71000</x:v>
      </x:c>
      <x:c r="G32" s="267"/>
    </x:row>
    <x:row r="33" spans="1:4" customHeight="1">
      <x:c r="A33" s="313"/>
      <x:c r="B33" s="54" t="s">
        <x:v>21</x:v>
      </x:c>
      <x:c r="C33" s="264">
        <x:f>13000*4</x:f>
        <x:v>52000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O34"/>
  <x:sheetViews>
    <x:sheetView topLeftCell="A1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7.7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7</x:v>
      </x:c>
      <x:c r="G1" s="68" t="s">
        <x:v>27</x:v>
      </x:c>
      <x:c r="H1" s="52" t="s">
        <x:v>121</x:v>
      </x:c>
      <x:c r="I1" s="52">
        <x:f>F1-K1</x:f>
        <x:v>7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5846000</x:v>
      </x:c>
      <x:c r="D2" s="307"/>
      <x:c r="E2" s="309" t="s">
        <x:v>38</x:v>
      </x:c>
      <x:c r="F2" s="310"/>
      <x:c r="G2" s="299">
        <x:v>98300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5059000</x:v>
      </x:c>
      <x:c r="D4" s="268"/>
      <x:c r="E4" s="308" t="s">
        <x:v>144</x:v>
      </x:c>
      <x:c r="F4" s="308"/>
      <x:c r="G4" s="133">
        <x:f>INT(C4*0.0275)</x:f>
        <x:v>139122</x:v>
      </x:c>
      <x:c r="H4" s="54" t="s">
        <x:v>20</x:v>
      </x:c>
      <x:c r="I4" s="124">
        <x:f>289646</x:f>
        <x:v>289646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787000</x:v>
      </x:c>
      <x:c r="D5" s="268"/>
      <x:c r="E5" s="257" t="s">
        <x:v>68</x:v>
      </x:c>
      <x:c r="F5" s="257"/>
      <x:c r="G5" s="133">
        <x:f>INT(C5*0.01)</x:f>
        <x:v>7870</x:v>
      </x:c>
      <x:c r="H5" s="54" t="s">
        <x:v>6</x:v>
      </x:c>
      <x:c r="I5" s="124">
        <x:f>29656+78760+50000+34500+3500+11940+3200+24720</x:f>
        <x:v>236276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802200</x:v>
      </x:c>
      <x:c r="H6" s="54"/>
      <x:c r="I6" s="124"/>
      <x:c r="J6" s="81" t="s">
        <x:v>125</x:v>
      </x:c>
      <x:c r="K6" s="58">
        <x:v>112000</x:v>
      </x:c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>
        <x:f>466600-24300</x:f>
        <x:v>442300</x:v>
      </x:c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83100</x:v>
      </x:c>
      <x:c r="D8" s="268"/>
      <x:c r="E8" s="253" t="s">
        <x:v>108</x:v>
      </x:c>
      <x:c r="F8" s="254"/>
      <x:c r="G8" s="287">
        <x:f>C5+G2-G6-C22</x:f>
        <x:v>83100</x:v>
      </x:c>
      <x:c r="H8" s="54" t="s">
        <x:v>43</x:v>
      </x:c>
      <x:c r="I8" s="124">
        <x:v>130000</x:v>
      </x:c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v>100000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 t="s">
        <x:v>157</x:v>
      </x:c>
      <x:c r="D11" s="279"/>
      <x:c r="E11" s="279"/>
      <x:c r="F11" s="279"/>
      <x:c r="G11" s="279"/>
      <x:c r="H11" s="54" t="s">
        <x:v>56</x:v>
      </x:c>
      <x:c r="I11" s="58">
        <x:v>100000</x:v>
      </x:c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5</x:v>
      </x:c>
      <x:c r="D12" s="253" t="s">
        <x:v>131</x:v>
      </x:c>
      <x:c r="E12" s="254"/>
      <x:c r="F12" s="280">
        <x:v>11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SUM('1:7'!$C$12)</x:f>
        <x:v>36</x:v>
      </x:c>
      <x:c r="D13" s="255"/>
      <x:c r="E13" s="256"/>
      <x:c r="F13" s="285">
        <x:f>SUM('1:7'!$F$12)</x:f>
        <x:v>39</x:v>
      </x:c>
      <x:c r="G13" s="286"/>
      <x:c r="H13" s="54" t="s">
        <x:v>124</x:v>
      </x:c>
      <x:c r="I13" s="58">
        <x:v>200000</x:v>
      </x:c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17</x:v>
      </x:c>
      <x:c r="D14" s="253" t="s">
        <x:v>93</x:v>
      </x:c>
      <x:c r="E14" s="254"/>
      <x:c r="F14" s="280">
        <x:v>5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SUM('1:7'!$C$14)</x:f>
        <x:v>123</x:v>
      </x:c>
      <x:c r="D15" s="255"/>
      <x:c r="E15" s="256"/>
      <x:c r="F15" s="285">
        <x:f>SUM('1:7'!$F$14)</x:f>
        <x:v>47</x:v>
      </x:c>
      <x:c r="G15" s="286"/>
      <x:c r="H15" s="54" t="s">
        <x:v>104</x:v>
      </x:c>
      <x:c r="I15" s="58">
        <x:f>11800+34000+3500+20000+5500+7500+4900+4200+28000+3500</x:f>
        <x:v>122900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6</x:v>
      </x:c>
      <x:c r="D16" s="253" t="s">
        <x:v>115</x:v>
      </x:c>
      <x:c r="E16" s="254"/>
      <x:c r="F16" s="261">
        <x:v>14</x:v>
      </x:c>
      <x:c r="G16" s="261"/>
      <x:c r="H16" s="54"/>
      <x:c r="I16" s="58"/>
      <x:c r="J16" s="54" t="s">
        <x:v>95</x:v>
      </x:c>
      <x:c r="K16" s="58">
        <x:f>443680+11900</x:f>
        <x:v>455580</x:v>
      </x:c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SUM('1:7'!$C$16)</x:f>
        <x:v>30</x:v>
      </x:c>
      <x:c r="D17" s="255"/>
      <x:c r="E17" s="256"/>
      <x:c r="F17" s="252">
        <x:f>SUM('1:7'!$F$16)</x:f>
        <x:v>63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18</x:v>
      </x:c>
      <x:c r="D18" s="253" t="s">
        <x:v>128</x:v>
      </x:c>
      <x:c r="E18" s="254"/>
      <x:c r="F18" s="289">
        <x:v>0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SUM('1:7'!$C$18)</x:f>
        <x:v>92</x:v>
      </x:c>
      <x:c r="D19" s="255"/>
      <x:c r="E19" s="256"/>
      <x:c r="F19" s="252">
        <x:f>SUM('1:7'!$F$18)</x:f>
        <x:v>27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77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SUM('1:7'!$F$20)</x:f>
        <x:v>458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1521122</x:v>
      </x:c>
      <x:c r="J23" s="61" t="s">
        <x:v>117</x:v>
      </x:c>
      <x:c r="K23" s="62">
        <x:f>SUM(K4:K22)</x:f>
        <x:v>567580</x:v>
      </x:c>
      <x:c r="M23" s="88" t="s">
        <x:v>91</x:v>
      </x:c>
      <x:c r="N23" s="282">
        <x:f>C5+C6</x:f>
        <x:v>787000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0.26019876838864181</x:v>
      </x:c>
      <x:c r="J24" s="61" t="s">
        <x:v>8</x:v>
      </x:c>
      <x:c r="K24" s="63">
        <x:f>K23/A25</x:f>
        <x:v>0.097088607594936704</x:v>
      </x:c>
    </x:row>
    <x:row r="25" spans="1:11" ht="34.149999999999999" customHeight="1">
      <x:c r="A25" s="278">
        <x:f>C2</x:f>
        <x:v>5846000</x:v>
      </x:c>
      <x:c r="B25" s="270"/>
      <x:c r="C25" s="270">
        <x:f>E25/I1</x:f>
        <x:v>5041000</x:v>
      </x:c>
      <x:c r="D25" s="270"/>
      <x:c r="E25" s="270">
        <x:f>SUM('1:7'!$A$25)</x:f>
        <x:v>35287000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SUM('1:7'!$K$23)</x:f>
        <x:v>1073830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0.054552696460452861</x:v>
      </x:c>
      <x:c r="J26" s="64" t="s">
        <x:v>126</x:v>
      </x:c>
      <x:c r="K26" s="65">
        <x:f>K25/$E$25</x:f>
        <x:v>0.03043132031626378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13000*5</x:f>
        <x:v>65000</x:v>
      </x:c>
      <x:c r="G27" s="268"/>
      <x:c r="H27" s="111" t="s">
        <x:v>116</x:v>
      </x:c>
      <x:c r="I27" s="112">
        <x:f>SUM(C27:D34,F27:G32)</x:f>
        <x:v>587322.58064516133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0.10046571683974706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SUM('1:7'!$I$27)</x:f>
        <x:v>4303258.064516129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7.3269072334816272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132000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customHeight="1">
      <x:c r="A33" s="313"/>
      <x:c r="B33" s="54" t="s">
        <x:v>21</x:v>
      </x:c>
      <x:c r="C33" s="264"/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O34"/>
  <x:sheetViews>
    <x:sheetView topLeftCell="A19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8</x:v>
      </x:c>
      <x:c r="G1" s="68" t="s">
        <x:v>18</x:v>
      </x:c>
      <x:c r="H1" s="52" t="s">
        <x:v>121</x:v>
      </x:c>
      <x:c r="I1" s="52">
        <x:f>F1-K1</x:f>
        <x:v>8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5819000</x:v>
      </x:c>
      <x:c r="D2" s="307"/>
      <x:c r="E2" s="309" t="s">
        <x:v>38</x:v>
      </x:c>
      <x:c r="F2" s="310"/>
      <x:c r="G2" s="299">
        <x:v>83100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5371500</x:v>
      </x:c>
      <x:c r="D4" s="268"/>
      <x:c r="E4" s="308" t="s">
        <x:v>144</x:v>
      </x:c>
      <x:c r="F4" s="308"/>
      <x:c r="G4" s="133">
        <x:f>INT(C4*0.0275)</x:f>
        <x:v>147716</x:v>
      </x:c>
      <x:c r="H4" s="54" t="s">
        <x:v>20</x:v>
      </x:c>
      <x:c r="I4" s="124">
        <x:f>290036+632840+452000+476580+400148</x:f>
        <x:v>2251604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447500</x:v>
      </x:c>
      <x:c r="D5" s="268"/>
      <x:c r="E5" s="257" t="s">
        <x:v>68</x:v>
      </x:c>
      <x:c r="F5" s="257"/>
      <x:c r="G5" s="133">
        <x:f>INT(C5*0.01)</x:f>
        <x:v>4475</x:v>
      </x:c>
      <x:c r="H5" s="54" t="s">
        <x:v>6</x:v>
      </x:c>
      <x:c r="I5" s="124">
        <x:f>45430+59312+39380+100000+69000+36000+16720+23880+35040+30300+19530</x:f>
        <x:v>474592</x:v>
      </x:c>
      <x:c r="J5" s="81"/>
      <x:c r="K5" s="58"/>
    </x:row>
    <x:row r="6" spans="1:13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450000</x:v>
      </x:c>
      <x:c r="H6" s="54"/>
      <x:c r="I6" s="124"/>
      <x:c r="J6" s="81" t="s">
        <x:v>125</x:v>
      </x:c>
      <x:c r="K6" s="58"/>
      <x:c r="M6" s="124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80600</x:v>
      </x:c>
      <x:c r="D8" s="268"/>
      <x:c r="E8" s="253" t="s">
        <x:v>108</x:v>
      </x:c>
      <x:c r="F8" s="254"/>
      <x:c r="G8" s="287">
        <x:f>C5+G2-G6-C22</x:f>
        <x:v>80600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v>60000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 t="s">
        <x:v>162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15</x:v>
      </x:c>
      <x:c r="D12" s="253" t="s">
        <x:v>131</x:v>
      </x:c>
      <x:c r="E12" s="254"/>
      <x:c r="F12" s="280">
        <x:v>15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SUM('1:8'!$C$12)</x:f>
        <x:v>51</x:v>
      </x:c>
      <x:c r="D13" s="255"/>
      <x:c r="E13" s="256"/>
      <x:c r="F13" s="285">
        <x:f>SUM('1:8'!$F$12)</x:f>
        <x:v>54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22</x:v>
      </x:c>
      <x:c r="D14" s="253" t="s">
        <x:v>93</x:v>
      </x:c>
      <x:c r="E14" s="254"/>
      <x:c r="F14" s="280">
        <x:v>15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SUM('1:8'!$C$14)</x:f>
        <x:v>145</x:v>
      </x:c>
      <x:c r="D15" s="255"/>
      <x:c r="E15" s="256"/>
      <x:c r="F15" s="285">
        <x:f>SUM('1:8'!$F$14)</x:f>
        <x:v>62</x:v>
      </x:c>
      <x:c r="G15" s="286"/>
      <x:c r="H15" s="54" t="s">
        <x:v>104</x:v>
      </x:c>
      <x:c r="I15" s="58">
        <x:f>30000+68000+11000+12500+9800+11000+3900+6200+10500</x:f>
        <x:v>162900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8</x:v>
      </x:c>
      <x:c r="D16" s="253" t="s">
        <x:v>115</x:v>
      </x:c>
      <x:c r="E16" s="254"/>
      <x:c r="F16" s="261">
        <x:v>10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SUM('1:8'!$C$16)</x:f>
        <x:v>38</x:v>
      </x:c>
      <x:c r="D17" s="255"/>
      <x:c r="E17" s="256"/>
      <x:c r="F17" s="252">
        <x:f>SUM('1:8'!$F$16)</x:f>
        <x:v>73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16</x:v>
      </x:c>
      <x:c r="D18" s="253" t="s">
        <x:v>128</x:v>
      </x:c>
      <x:c r="E18" s="254"/>
      <x:c r="F18" s="289">
        <x:v>5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SUM('1:8'!$C$18)</x:f>
        <x:v>108</x:v>
      </x:c>
      <x:c r="D19" s="255"/>
      <x:c r="E19" s="256"/>
      <x:c r="F19" s="252">
        <x:f>SUM('1:8'!$F$18)</x:f>
        <x:v>32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69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SUM('1:8'!$F$20)</x:f>
        <x:v>527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2889096</x:v>
      </x:c>
      <x:c r="J23" s="61" t="s">
        <x:v>117</x:v>
      </x:c>
      <x:c r="K23" s="62">
        <x:f>SUM(K4:K22)</x:f>
        <x:v>0</x:v>
      </x:c>
      <x:c r="M23" s="88" t="s">
        <x:v>91</x:v>
      </x:c>
      <x:c r="N23" s="282">
        <x:f>C5+C6</x:f>
        <x:v>447500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0.49649355559374464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78">
        <x:f>C2</x:f>
        <x:v>5819000</x:v>
      </x:c>
      <x:c r="B25" s="270"/>
      <x:c r="C25" s="270">
        <x:f>E25/I1</x:f>
        <x:v>5138250</x:v>
      </x:c>
      <x:c r="D25" s="270"/>
      <x:c r="E25" s="270">
        <x:f>SUM('1:8'!$A$25)</x:f>
        <x:v>41106000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SUM('1:8'!$K$23)</x:f>
        <x:v>1073830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0.046830170777988615</x:v>
      </x:c>
      <x:c r="J26" s="64" t="s">
        <x:v>126</x:v>
      </x:c>
      <x:c r="K26" s="65">
        <x:f>K25/$E$25</x:f>
        <x:v>0.026123436967839246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/>
      <x:c r="G27" s="268"/>
      <x:c r="H27" s="111" t="s">
        <x:v>116</x:v>
      </x:c>
      <x:c r="I27" s="112">
        <x:f>SUM(C27:D34,F27:G32)</x:f>
        <x:v>662322.58064516133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0.11382068751420542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SUM('1:8'!$I$27)</x:f>
        <x:v>4965580.6451612907</x:v>
      </x:c>
      <x:c r="M29" s="66" t="s">
        <x:v>61</x:v>
      </x:c>
    </x:row>
    <x:row r="30" spans="1:13" ht="30.949999999999999" customHeight="1">
      <x:c r="A30" s="313"/>
      <x:c r="B30" s="54"/>
      <x:c r="C30" s="319"/>
      <x:c r="D30" s="320"/>
      <x:c r="E30" s="55" t="s">
        <x:v>55</x:v>
      </x:c>
      <x:c r="F30" s="266"/>
      <x:c r="G30" s="267"/>
      <x:c r="H30" s="111" t="s">
        <x:v>126</x:v>
      </x:c>
      <x:c r="I30" s="113">
        <x:f>I29/$I$27</x:f>
        <x:v>7.4972238457042666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f>143000</x:f>
        <x:v>143000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>
        <x:v>77000</x:v>
      </x:c>
      <x:c r="G32" s="267"/>
    </x:row>
    <x:row r="33" spans="1:4" customHeight="1">
      <x:c r="A33" s="313"/>
      <x:c r="B33" s="54" t="s">
        <x:v>21</x:v>
      </x:c>
      <x:c r="C33" s="264">
        <x:f>13000*4</x:f>
        <x:v>52000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O34"/>
  <x:sheetViews>
    <x:sheetView topLeftCell="B22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9</x:v>
      </x:c>
      <x:c r="G1" s="68" t="s">
        <x:v>19</x:v>
      </x:c>
      <x:c r="H1" s="52" t="s">
        <x:v>121</x:v>
      </x:c>
      <x:c r="I1" s="52">
        <x:f>F1-K1</x:f>
        <x:v>9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5832000</x:v>
      </x:c>
      <x:c r="D2" s="307"/>
      <x:c r="E2" s="309" t="s">
        <x:v>38</x:v>
      </x:c>
      <x:c r="F2" s="310"/>
      <x:c r="G2" s="299">
        <x:v>80600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5106000</x:v>
      </x:c>
      <x:c r="D4" s="268"/>
      <x:c r="E4" s="308" t="s">
        <x:v>144</x:v>
      </x:c>
      <x:c r="F4" s="308"/>
      <x:c r="G4" s="133">
        <x:f>INT(C4*0.0275)</x:f>
        <x:v>140415</x:v>
      </x:c>
      <x:c r="H4" s="54" t="s">
        <x:v>20</x:v>
      </x:c>
      <x:c r="I4" s="124"/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726000</x:v>
      </x:c>
      <x:c r="D5" s="268"/>
      <x:c r="E5" s="257" t="s">
        <x:v>68</x:v>
      </x:c>
      <x:c r="F5" s="257"/>
      <x:c r="G5" s="133">
        <x:f>INT(C5*0.01)</x:f>
        <x:v>7260</x:v>
      </x:c>
      <x:c r="H5" s="54" t="s">
        <x:v>6</x:v>
      </x:c>
      <x:c r="I5" s="124"/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680000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126600</x:v>
      </x:c>
      <x:c r="D8" s="268"/>
      <x:c r="E8" s="253" t="s">
        <x:v>108</x:v>
      </x:c>
      <x:c r="F8" s="254"/>
      <x:c r="G8" s="287">
        <x:f>C5+G2-G6-C22</x:f>
        <x:v>126600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v>60000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 t="s">
        <x:v>162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12</x:v>
      </x:c>
      <x:c r="D12" s="253" t="s">
        <x:v>131</x:v>
      </x:c>
      <x:c r="E12" s="254"/>
      <x:c r="F12" s="280">
        <x:v>3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SUM('1:9'!$C$12)</x:f>
        <x:v>63</x:v>
      </x:c>
      <x:c r="D13" s="255"/>
      <x:c r="E13" s="256"/>
      <x:c r="F13" s="285">
        <x:f>SUM('1:9'!$F$12)</x:f>
        <x:v>57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49</x:v>
      </x:c>
      <x:c r="D14" s="253" t="s">
        <x:v>93</x:v>
      </x:c>
      <x:c r="E14" s="254"/>
      <x:c r="F14" s="280">
        <x:v>14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SUM('1:9'!$C$14)</x:f>
        <x:v>194</x:v>
      </x:c>
      <x:c r="D15" s="255"/>
      <x:c r="E15" s="256"/>
      <x:c r="F15" s="285">
        <x:f>SUM('1:9'!$F$14)</x:f>
        <x:v>76</x:v>
      </x:c>
      <x:c r="G15" s="286"/>
      <x:c r="H15" s="54" t="s">
        <x:v>104</x:v>
      </x:c>
      <x:c r="I15" s="58"/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7</x:v>
      </x:c>
      <x:c r="D16" s="253" t="s">
        <x:v>115</x:v>
      </x:c>
      <x:c r="E16" s="254"/>
      <x:c r="F16" s="261">
        <x:v>13</x:v>
      </x:c>
      <x:c r="G16" s="261"/>
      <x:c r="H16" s="54"/>
      <x:c r="I16" s="58"/>
      <x:c r="J16" s="54" t="s">
        <x:v>95</x:v>
      </x:c>
      <x:c r="K16" s="58">
        <x:v>181180</x:v>
      </x:c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SUM('1:9'!$C$16)</x:f>
        <x:v>45</x:v>
      </x:c>
      <x:c r="D17" s="255"/>
      <x:c r="E17" s="256"/>
      <x:c r="F17" s="252">
        <x:f>SUM('1:9'!$F$16)</x:f>
        <x:v>86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39</x:v>
      </x:c>
      <x:c r="D18" s="253" t="s">
        <x:v>128</x:v>
      </x:c>
      <x:c r="E18" s="254"/>
      <x:c r="F18" s="289">
        <x:v>3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SUM('1:9'!$C$18)</x:f>
        <x:v>147</x:v>
      </x:c>
      <x:c r="D19" s="255"/>
      <x:c r="E19" s="256"/>
      <x:c r="F19" s="252">
        <x:f>SUM('1:9'!$F$18)</x:f>
        <x:v>35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73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SUM('1:9'!$F$20)</x:f>
        <x:v>600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0</x:v>
      </x:c>
      <x:c r="J23" s="61" t="s">
        <x:v>117</x:v>
      </x:c>
      <x:c r="K23" s="62">
        <x:f>SUM(K4:K22)</x:f>
        <x:v>181180</x:v>
      </x:c>
      <x:c r="M23" s="88" t="s">
        <x:v>91</x:v>
      </x:c>
      <x:c r="N23" s="282">
        <x:f>C5+C6</x:f>
        <x:v>726000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0.031066529492455419</x:v>
      </x:c>
    </x:row>
    <x:row r="25" spans="1:11" ht="34.149999999999999" customHeight="1">
      <x:c r="A25" s="278">
        <x:f>C2</x:f>
        <x:v>5832000</x:v>
      </x:c>
      <x:c r="B25" s="270"/>
      <x:c r="C25" s="270">
        <x:f>E25/I1</x:f>
        <x:v>5215333.333333333</x:v>
      </x:c>
      <x:c r="D25" s="270"/>
      <x:c r="E25" s="270">
        <x:f>SUM('1:9'!$A$25)</x:f>
        <x:v>46938000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SUM('1:9'!$K$23)</x:f>
        <x:v>1255010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0.041011568452000512</x:v>
      </x:c>
      <x:c r="J26" s="64" t="s">
        <x:v>126</x:v>
      </x:c>
      <x:c r="K26" s="65">
        <x:f>K25/$E$25</x:f>
        <x:v>0.026737611317056542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/>
      <x:c r="G27" s="268"/>
      <x:c r="H27" s="111" t="s">
        <x:v>116</x:v>
      </x:c>
      <x:c r="I27" s="112">
        <x:f>SUM(C27:D34,F27:G32)</x:f>
        <x:v>649322.58064516133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0.11133789105712642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SUM('1:9'!$I$27)</x:f>
        <x:v>5614903.2258064523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8.6473247553281336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f>130000</x:f>
        <x:v>130000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>
        <x:v>77000</x:v>
      </x:c>
      <x:c r="G32" s="267"/>
    </x:row>
    <x:row r="33" spans="1:4" customHeight="1">
      <x:c r="A33" s="313"/>
      <x:c r="B33" s="54" t="s">
        <x:v>21</x:v>
      </x:c>
      <x:c r="C33" s="264">
        <x:f>13000*4</x:f>
        <x:v>52000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O34"/>
  <x:sheetViews>
    <x:sheetView topLeftCell="A1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9.375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10</x:v>
      </x:c>
      <x:c r="G1" s="68" t="s">
        <x:v>47</x:v>
      </x:c>
      <x:c r="H1" s="52" t="s">
        <x:v>121</x:v>
      </x:c>
      <x:c r="I1" s="52">
        <x:f>F1-K1</x:f>
        <x:v>10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4226000</x:v>
      </x:c>
      <x:c r="D2" s="307"/>
      <x:c r="E2" s="309" t="s">
        <x:v>38</x:v>
      </x:c>
      <x:c r="F2" s="310"/>
      <x:c r="G2" s="299">
        <x:v>126600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3485000</x:v>
      </x:c>
      <x:c r="D4" s="268"/>
      <x:c r="E4" s="308" t="s">
        <x:v>144</x:v>
      </x:c>
      <x:c r="F4" s="308"/>
      <x:c r="G4" s="133">
        <x:f>INT(C4*0.0275)</x:f>
        <x:v>95837</x:v>
      </x:c>
      <x:c r="H4" s="54" t="s">
        <x:v>20</x:v>
      </x:c>
      <x:c r="I4" s="124">
        <x:f>570716+275042+43500+904000+225108+212982+10</x:f>
        <x:v>2231358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741000</x:v>
      </x:c>
      <x:c r="D5" s="268"/>
      <x:c r="E5" s="257" t="s">
        <x:v>68</x:v>
      </x:c>
      <x:c r="F5" s="257"/>
      <x:c r="G5" s="133">
        <x:f>INT(C5*0.01)</x:f>
        <x:v>7410</x:v>
      </x:c>
      <x:c r="H5" s="54" t="s">
        <x:v>6</x:v>
      </x:c>
      <x:c r="I5" s="124">
        <x:f>45430+44000+59312+39380+100000+69000+36000</x:f>
        <x:v>393122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800000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67600</x:v>
      </x:c>
      <x:c r="D8" s="268"/>
      <x:c r="E8" s="253" t="s">
        <x:v>108</x:v>
      </x:c>
      <x:c r="F8" s="254"/>
      <x:c r="G8" s="287">
        <x:f>C5+G2-G6-C22</x:f>
        <x:v>67600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v>600000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>
        <x:v>14300</x:v>
      </x:c>
    </x:row>
    <x:row r="11" spans="1:11" ht="33" customHeight="1">
      <x:c r="A11" s="260" t="s">
        <x:v>101</x:v>
      </x:c>
      <x:c r="B11" s="257"/>
      <x:c r="C11" s="279" t="s">
        <x:v>162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10</x:v>
      </x:c>
      <x:c r="D12" s="253" t="s">
        <x:v>131</x:v>
      </x:c>
      <x:c r="E12" s="254"/>
      <x:c r="F12" s="280">
        <x:v>7</x:v>
      </x:c>
      <x:c r="G12" s="281"/>
      <x:c r="H12" s="54" t="s">
        <x:v>100</x:v>
      </x:c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SUM('1:10'!$C$12)</x:f>
        <x:v>73</x:v>
      </x:c>
      <x:c r="D13" s="255"/>
      <x:c r="E13" s="256"/>
      <x:c r="F13" s="285">
        <x:f>SUM('1:10'!$F$12)</x:f>
        <x:v>64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25</x:v>
      </x:c>
      <x:c r="D14" s="253" t="s">
        <x:v>93</x:v>
      </x:c>
      <x:c r="E14" s="254"/>
      <x:c r="F14" s="280">
        <x:v>12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SUM('1:10'!$C$14)</x:f>
        <x:v>219</x:v>
      </x:c>
      <x:c r="D15" s="255"/>
      <x:c r="E15" s="256"/>
      <x:c r="F15" s="285">
        <x:f>SUM('1:10'!$F$14)</x:f>
        <x:v>88</x:v>
      </x:c>
      <x:c r="G15" s="286"/>
      <x:c r="H15" s="54" t="s">
        <x:v>104</x:v>
      </x:c>
      <x:c r="I15" s="58">
        <x:f>20000+11000+9800+5500+4800+52000+7500+20400+11800+5000+5500+13000+28000+2450+13000</x:f>
        <x:v>209750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3</x:v>
      </x:c>
      <x:c r="D16" s="253" t="s">
        <x:v>115</x:v>
      </x:c>
      <x:c r="E16" s="254"/>
      <x:c r="F16" s="261">
        <x:v>7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SUM('1:10'!$C$16)</x:f>
        <x:v>48</x:v>
      </x:c>
      <x:c r="D17" s="255"/>
      <x:c r="E17" s="256"/>
      <x:c r="F17" s="252">
        <x:f>F19</x:f>
        <x:v>44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6</x:v>
      </x:c>
      <x:c r="D18" s="253" t="s">
        <x:v>128</x:v>
      </x:c>
      <x:c r="E18" s="254"/>
      <x:c r="F18" s="289">
        <x:v>9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SUM('1:10'!$C$18)</x:f>
        <x:v>153</x:v>
      </x:c>
      <x:c r="D19" s="255"/>
      <x:c r="E19" s="256"/>
      <x:c r="F19" s="252">
        <x:f>SUM('1:10'!$F$18)</x:f>
        <x:v>44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57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SUM('1:10'!$F$20)</x:f>
        <x:v>657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2899230</x:v>
      </x:c>
      <x:c r="J23" s="61" t="s">
        <x:v>117</x:v>
      </x:c>
      <x:c r="K23" s="62">
        <x:f>SUM(K4:K22)</x:f>
        <x:v>14300</x:v>
      </x:c>
      <x:c r="M23" s="88" t="s">
        <x:v>91</x:v>
      </x:c>
      <x:c r="N23" s="282">
        <x:f>C5+C6</x:f>
        <x:v>741000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0.68604590629436824</x:v>
      </x:c>
      <x:c r="J24" s="61" t="s">
        <x:v>8</x:v>
      </x:c>
      <x:c r="K24" s="63">
        <x:f>K23/A25</x:f>
        <x:v>0.0033838144817794607</x:v>
      </x:c>
    </x:row>
    <x:row r="25" spans="1:11" ht="34.149999999999999" customHeight="1">
      <x:c r="A25" s="278">
        <x:f>C2</x:f>
        <x:v>4226000</x:v>
      </x:c>
      <x:c r="B25" s="270"/>
      <x:c r="C25" s="270">
        <x:f>E25/I1</x:f>
        <x:v>5116400</x:v>
      </x:c>
      <x:c r="D25" s="270"/>
      <x:c r="E25" s="270">
        <x:f>SUM('1:10'!$A$25)</x:f>
        <x:v>51164000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SUM('1:10'!$K$21)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0.037624130247830505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13000*4.5</x:f>
        <x:v>58500</x:v>
      </x:c>
      <x:c r="G27" s="268"/>
      <x:c r="H27" s="111" t="s">
        <x:v>116</x:v>
      </x:c>
      <x:c r="I27" s="112">
        <x:f>SUM(C27:D34,F27:G32)</x:f>
        <x:v>531822.58064516133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0.12584538112758195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SUM('1:10'!$I$25)</x:f>
        <x:v>19250010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36.196300609589663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12000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>
        <x:v>71000</x:v>
      </x:c>
      <x:c r="G32" s="267"/>
    </x:row>
    <x:row r="33" spans="1:4" customHeight="1">
      <x:c r="A33" s="313"/>
      <x:c r="B33" s="54" t="s">
        <x:v>21</x:v>
      </x:c>
      <x:c r="C33" s="264"/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P34"/>
  <x:sheetViews>
    <x:sheetView topLeftCell="A1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11</x:v>
      </x:c>
      <x:c r="G1" s="68" t="s">
        <x:v>60</x:v>
      </x:c>
      <x:c r="H1" s="52" t="s">
        <x:v>121</x:v>
      </x:c>
      <x:c r="I1" s="52">
        <x:f>F1-K1</x:f>
        <x:v>11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3954500</x:v>
      </x:c>
      <x:c r="D2" s="307"/>
      <x:c r="E2" s="309" t="s">
        <x:v>38</x:v>
      </x:c>
      <x:c r="F2" s="310"/>
      <x:c r="G2" s="299">
        <x:v>67600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3672500</x:v>
      </x:c>
      <x:c r="D4" s="268"/>
      <x:c r="E4" s="308" t="s">
        <x:v>144</x:v>
      </x:c>
      <x:c r="F4" s="308"/>
      <x:c r="G4" s="133">
        <x:f>INT(C4*0.0275)</x:f>
        <x:v>100993</x:v>
      </x:c>
      <x:c r="H4" s="54" t="s">
        <x:v>20</x:v>
      </x:c>
      <x:c r="I4" s="124">
        <x:f>261968+250702+221000+267696+187166+452000</x:f>
        <x:v>1640532</x:v>
      </x:c>
      <x:c r="J4" s="80" t="s">
        <x:v>34</x:v>
      </x:c>
      <x:c r="K4" s="58">
        <x:v>294000</x:v>
      </x:c>
    </x:row>
    <x:row r="5" spans="1:11" ht="30.949999999999999" customHeight="1">
      <x:c r="A5" s="301" t="s">
        <x:v>59</x:v>
      </x:c>
      <x:c r="B5" s="302"/>
      <x:c r="C5" s="268">
        <x:v>282000</x:v>
      </x:c>
      <x:c r="D5" s="268"/>
      <x:c r="E5" s="257" t="s">
        <x:v>68</x:v>
      </x:c>
      <x:c r="F5" s="257"/>
      <x:c r="G5" s="133">
        <x:f>INT(C5*0.01)</x:f>
        <x:v>2820</x:v>
      </x:c>
      <x:c r="H5" s="54" t="s">
        <x:v>6</x:v>
      </x:c>
      <x:c r="I5" s="124">
        <x:f>50000+34500+36000+16720+3500+23880+17520+17560</x:f>
        <x:v>199680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200000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149600</x:v>
      </x:c>
      <x:c r="D8" s="268"/>
      <x:c r="E8" s="253" t="s">
        <x:v>108</x:v>
      </x:c>
      <x:c r="F8" s="254"/>
      <x:c r="G8" s="287">
        <x:f>C5+G2-G6-C22</x:f>
        <x:v>149600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v>247000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>
        <x:v>14300</x:v>
      </x:c>
    </x:row>
    <x:row r="11" spans="1:16" ht="33" customHeight="1">
      <x:c r="A11" s="260" t="s">
        <x:v>101</x:v>
      </x:c>
      <x:c r="B11" s="257"/>
      <x:c r="C11" s="279" t="s">
        <x:v>160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  <x:c r="M11" s="52"/>
      <x:c r="N11" s="52"/>
      <x:c r="O11" s="52"/>
      <x:c r="P11" s="52"/>
    </x:row>
    <x:row r="12" spans="1:12" ht="21.949999999999999" customHeight="1">
      <x:c r="A12" s="59" t="s">
        <x:v>46</x:v>
      </x:c>
      <x:c r="B12" s="258" t="s">
        <x:v>40</x:v>
      </x:c>
      <x:c r="C12" s="79">
        <x:v>5</x:v>
      </x:c>
      <x:c r="D12" s="253" t="s">
        <x:v>131</x:v>
      </x:c>
      <x:c r="E12" s="254"/>
      <x:c r="F12" s="280">
        <x:v>6</x:v>
      </x:c>
      <x:c r="G12" s="281"/>
      <x:c r="H12" s="54" t="s">
        <x:v>100</x:v>
      </x:c>
      <x:c r="I12" s="58"/>
      <x:c r="J12" s="54"/>
      <x:c r="K12" s="58"/>
      <x:c r="L12" s="60"/>
    </x:row>
    <x:row r="13" spans="1:12" ht="21.949999999999999" customHeight="1">
      <x:c r="A13" s="59" t="s">
        <x:v>94</x:v>
      </x:c>
      <x:c r="B13" s="259"/>
      <x:c r="C13" s="134">
        <x:f>SUM('1:11'!$C$12)</x:f>
        <x:v>78</x:v>
      </x:c>
      <x:c r="D13" s="255"/>
      <x:c r="E13" s="256"/>
      <x:c r="F13" s="285">
        <x:f>SUM('1:11'!$F$12)</x:f>
        <x:v>70</x:v>
      </x:c>
      <x:c r="G13" s="286"/>
      <x:c r="H13" s="54" t="s">
        <x:v>124</x:v>
      </x:c>
      <x:c r="I13" s="58"/>
      <x:c r="J13" s="54"/>
      <x:c r="K13" s="58"/>
      <x:c r="L13" s="60"/>
    </x:row>
    <x:row r="14" spans="1:13" ht="21.949999999999999" customHeight="1">
      <x:c r="A14" s="59" t="s">
        <x:v>46</x:v>
      </x:c>
      <x:c r="B14" s="258" t="s">
        <x:v>62</x:v>
      </x:c>
      <x:c r="C14" s="79">
        <x:v>6</x:v>
      </x:c>
      <x:c r="D14" s="253" t="s">
        <x:v>93</x:v>
      </x:c>
      <x:c r="E14" s="254"/>
      <x:c r="F14" s="280">
        <x:v>10</x:v>
      </x:c>
      <x:c r="G14" s="281"/>
      <x:c r="H14" s="54" t="s">
        <x:v>109</x:v>
      </x:c>
      <x:c r="I14" s="58"/>
      <x:c r="J14" s="54"/>
      <x:c r="K14" s="58"/>
      <x:c r="L14" s="60"/>
      <x:c r="M14" s="53" t="s">
        <x:v>147</x:v>
      </x:c>
    </x:row>
    <x:row r="15" spans="1:12" ht="21.949999999999999" customHeight="1">
      <x:c r="A15" s="59" t="s">
        <x:v>94</x:v>
      </x:c>
      <x:c r="B15" s="259"/>
      <x:c r="C15" s="134">
        <x:f>SUM('1:11'!$C$14)</x:f>
        <x:v>225</x:v>
      </x:c>
      <x:c r="D15" s="255"/>
      <x:c r="E15" s="256"/>
      <x:c r="F15" s="285">
        <x:f>SUM('1:11'!$F$14)</x:f>
        <x:v>98</x:v>
      </x:c>
      <x:c r="G15" s="286"/>
      <x:c r="H15" s="54" t="s">
        <x:v>104</x:v>
      </x:c>
      <x:c r="I15" s="58">
        <x:f>5500+4900+5500+4800+13600+11800+10500+3900+6200+13000</x:f>
        <x:v>79700</x:v>
      </x:c>
      <x:c r="J15" s="54" t="s">
        <x:v>72</x:v>
      </x:c>
      <x:c r="K15" s="58"/>
      <x:c r="L15" s="60"/>
    </x:row>
    <x:row r="16" spans="1:12" ht="21.949999999999999" customHeight="1">
      <x:c r="A16" s="59" t="s">
        <x:v>46</x:v>
      </x:c>
      <x:c r="B16" s="258" t="s">
        <x:v>49</x:v>
      </x:c>
      <x:c r="C16" s="79">
        <x:v>8</x:v>
      </x:c>
      <x:c r="D16" s="253" t="s">
        <x:v>115</x:v>
      </x:c>
      <x:c r="E16" s="254"/>
      <x:c r="F16" s="261">
        <x:v>5</x:v>
      </x:c>
      <x:c r="G16" s="261"/>
      <x:c r="H16" s="54"/>
      <x:c r="I16" s="58"/>
      <x:c r="J16" s="54" t="s">
        <x:v>95</x:v>
      </x:c>
      <x:c r="K16" s="58"/>
      <x:c r="L16" s="60"/>
    </x:row>
    <x:row r="17" spans="1:12" ht="21.949999999999999" customHeight="1">
      <x:c r="A17" s="59" t="s">
        <x:v>94</x:v>
      </x:c>
      <x:c r="B17" s="259"/>
      <x:c r="C17" s="134">
        <x:f>SUM('1:11'!$C$16)</x:f>
        <x:v>56</x:v>
      </x:c>
      <x:c r="D17" s="255"/>
      <x:c r="E17" s="256"/>
      <x:c r="F17" s="252">
        <x:f>SUM('1:11'!$F$16)</x:f>
        <x:v>98</x:v>
      </x:c>
      <x:c r="G17" s="252"/>
      <x:c r="H17" s="54" t="s">
        <x:v>7</x:v>
      </x:c>
      <x:c r="I17" s="58">
        <x:v>3200</x:v>
      </x:c>
      <x:c r="J17" s="54" t="s">
        <x:v>88</x:v>
      </x:c>
      <x:c r="K17" s="58"/>
      <x:c r="L17" s="60"/>
    </x:row>
    <x:row r="18" spans="1:12" ht="21.949999999999999" customHeight="1">
      <x:c r="A18" s="59" t="s">
        <x:v>46</x:v>
      </x:c>
      <x:c r="B18" s="258" t="s">
        <x:v>89</x:v>
      </x:c>
      <x:c r="C18" s="79">
        <x:v>9</x:v>
      </x:c>
      <x:c r="D18" s="253" t="s">
        <x:v>128</x:v>
      </x:c>
      <x:c r="E18" s="254"/>
      <x:c r="F18" s="289">
        <x:v>5</x:v>
      </x:c>
      <x:c r="G18" s="290"/>
      <x:c r="H18" s="54"/>
      <x:c r="I18" s="58"/>
      <x:c r="J18" s="54"/>
      <x:c r="K18" s="58"/>
      <x:c r="L18" s="60"/>
    </x:row>
    <x:row r="19" spans="1:12" ht="21.949999999999999" customHeight="1">
      <x:c r="A19" s="59" t="s">
        <x:v>94</x:v>
      </x:c>
      <x:c r="B19" s="259"/>
      <x:c r="C19" s="134">
        <x:f>SUM('1:11'!$C$18)</x:f>
        <x:v>162</x:v>
      </x:c>
      <x:c r="D19" s="255"/>
      <x:c r="E19" s="256"/>
      <x:c r="F19" s="252">
        <x:f>SUM('1:11'!$F$18)</x:f>
        <x:v>49</x:v>
      </x:c>
      <x:c r="G19" s="252"/>
      <x:c r="H19" s="58"/>
      <x:c r="I19" s="58"/>
      <x:c r="J19" s="54"/>
      <x:c r="K19" s="58"/>
      <x:c r="L19" s="60"/>
    </x:row>
    <x:row r="20" spans="4:12" ht="21.949999999999999" customHeight="1">
      <x:c r="D20" s="257" t="s">
        <x:v>111</x:v>
      </x:c>
      <x:c r="E20" s="257"/>
      <x:c r="F20" s="261">
        <x:v>55</x:v>
      </x:c>
      <x:c r="G20" s="261"/>
      <x:c r="H20" s="58"/>
      <x:c r="J20" s="54"/>
      <x:c r="K20" s="58"/>
      <x:c r="L20" s="60"/>
    </x:row>
    <x:row r="21" spans="4:12" ht="21.949999999999999" customHeight="1">
      <x:c r="D21" s="257" t="s">
        <x:v>112</x:v>
      </x:c>
      <x:c r="E21" s="257"/>
      <x:c r="F21" s="252">
        <x:f>SUM('1:11'!$F$20)</x:f>
        <x:v>712</x:v>
      </x:c>
      <x:c r="G21" s="252"/>
      <x:c r="H21" s="58"/>
      <x:c r="J21" s="54"/>
      <x:c r="K21" s="58"/>
      <x:c r="L21" s="60"/>
    </x:row>
    <x:row r="22" spans="1:12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1923112</x:v>
      </x:c>
      <x:c r="J23" s="61" t="s">
        <x:v>117</x:v>
      </x:c>
      <x:c r="K23" s="62">
        <x:f>SUM(K4:K22)</x:f>
        <x:v>308300</x:v>
      </x:c>
      <x:c r="M23" s="88" t="s">
        <x:v>91</x:v>
      </x:c>
      <x:c r="N23" s="282">
        <x:f>C5+C6</x:f>
        <x:v>282000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0.4863097736755595</x:v>
      </x:c>
      <x:c r="J24" s="61" t="s">
        <x:v>8</x:v>
      </x:c>
      <x:c r="K24" s="63">
        <x:f>K23/A25</x:f>
        <x:v>0.07796181565305349</x:v>
      </x:c>
    </x:row>
    <x:row r="25" spans="1:11" ht="34.149999999999999" customHeight="1">
      <x:c r="A25" s="278">
        <x:f>C2</x:f>
        <x:v>3954500</x:v>
      </x:c>
      <x:c r="B25" s="270"/>
      <x:c r="C25" s="270">
        <x:f>E25/I1</x:f>
        <x:v>5010772.7272727275</x:v>
      </x:c>
      <x:c r="D25" s="270"/>
      <x:c r="E25" s="270">
        <x:f>SUM('1:11'!$A$25)</x:f>
        <x:v>55118500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SUM('1:11'!$K$21)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0.034924771174832406</x:v>
      </x:c>
      <x:c r="J26" s="64" t="s">
        <x:v>126</x:v>
      </x:c>
      <x:c r="K26" s="65">
        <x:f>K25/$E$25</x:f>
        <x:v>0</x:v>
      </x:c>
    </x:row>
    <x:row r="27" spans="1:9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13000*5</x:f>
        <x:v>65000</x:v>
      </x:c>
      <x:c r="G27" s="268"/>
      <x:c r="H27" s="111" t="s">
        <x:v>116</x:v>
      </x:c>
      <x:c r="I27" s="112">
        <x:f>SUM(C27:D34,F27:G32)</x:f>
        <x:v>627322.58064516133</x:v>
      </x:c>
    </x:row>
    <x:row r="28" spans="1:9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0.15863511964727811</x:v>
      </x:c>
    </x:row>
    <x:row r="29" spans="1:9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SUM('1:11'!$I$25)</x:f>
        <x:v>21175011</x:v>
      </x:c>
    </x:row>
    <x:row r="30" spans="1:9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33.754581220753842</x:v>
      </x:c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f>120000</x:f>
        <x:v>120000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3" customHeight="1">
      <x:c r="A33" s="313"/>
      <x:c r="B33" s="54" t="s">
        <x:v>21</x:v>
      </x:c>
      <x:c r="C33" s="132">
        <x:f>13000*4</x:f>
        <x:v>52000</x:v>
      </x:c>
    </x:row>
    <x:row r="34" spans="1:4" customHeight="1">
      <x:c r="A34" s="314"/>
      <x:c r="B34" s="54" t="s">
        <x:v>55</x:v>
      </x:c>
      <x:c r="C34" s="264"/>
      <x:c r="D34" s="265"/>
    </x:row>
  </x:sheetData>
  <x:mergeCells count="73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O34"/>
  <x:sheetViews>
    <x:sheetView topLeftCell="A1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12</x:v>
      </x:c>
      <x:c r="G1" s="68" t="s">
        <x:v>26</x:v>
      </x:c>
      <x:c r="H1" s="52" t="s">
        <x:v>121</x:v>
      </x:c>
      <x:c r="I1" s="52">
        <x:f>F1-K1</x:f>
        <x:v>12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4430000</x:v>
      </x:c>
      <x:c r="D2" s="307"/>
      <x:c r="E2" s="309" t="s">
        <x:v>38</x:v>
      </x:c>
      <x:c r="F2" s="310"/>
      <x:c r="G2" s="299">
        <x:v>149600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3987000</x:v>
      </x:c>
      <x:c r="D4" s="268"/>
      <x:c r="E4" s="308" t="s">
        <x:v>144</x:v>
      </x:c>
      <x:c r="F4" s="308"/>
      <x:c r="G4" s="133">
        <x:f>INT(C4*0.0275)</x:f>
        <x:v>109642</x:v>
      </x:c>
      <x:c r="H4" s="54" t="s">
        <x:v>20</x:v>
      </x:c>
      <x:c r="I4" s="124">
        <x:f>277476+30650+221000+219024+209755</x:f>
        <x:v>957905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443000</x:v>
      </x:c>
      <x:c r="D5" s="268"/>
      <x:c r="E5" s="257" t="s">
        <x:v>68</x:v>
      </x:c>
      <x:c r="F5" s="257"/>
      <x:c r="G5" s="133">
        <x:f>INT(C5*0.01)</x:f>
        <x:v>4430</x:v>
      </x:c>
      <x:c r="H5" s="54" t="s">
        <x:v>6</x:v>
      </x:c>
      <x:c r="I5" s="124">
        <x:f>34500+11940+3200+26675+39490</x:f>
        <x:v>115805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500000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92600</x:v>
      </x:c>
      <x:c r="D8" s="268"/>
      <x:c r="E8" s="253" t="s">
        <x:v>108</x:v>
      </x:c>
      <x:c r="F8" s="254"/>
      <x:c r="G8" s="287">
        <x:f>C5+G2-G6-C22</x:f>
        <x:v>92600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f>49000+60000</x:f>
        <x:v>109000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354" t="s">
        <x:v>145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5</x:v>
      </x:c>
      <x:c r="D12" s="253" t="s">
        <x:v>131</x:v>
      </x:c>
      <x:c r="E12" s="254"/>
      <x:c r="F12" s="280">
        <x:v>4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SUM('1:12'!$C$12)</x:f>
        <x:v>83</x:v>
      </x:c>
      <x:c r="D13" s="255"/>
      <x:c r="E13" s="256"/>
      <x:c r="F13" s="285">
        <x:f>SUM('1:12'!$F$12)</x:f>
        <x:v>74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21</x:v>
      </x:c>
      <x:c r="D14" s="253" t="s">
        <x:v>93</x:v>
      </x:c>
      <x:c r="E14" s="254"/>
      <x:c r="F14" s="280">
        <x:v>10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SUM('1:12'!$C$14)</x:f>
        <x:v>246</x:v>
      </x:c>
      <x:c r="D15" s="255"/>
      <x:c r="E15" s="256"/>
      <x:c r="F15" s="285">
        <x:f>SUM('1:12'!$F$14)</x:f>
        <x:v>108</x:v>
      </x:c>
      <x:c r="G15" s="286"/>
      <x:c r="H15" s="54" t="s">
        <x:v>104</x:v>
      </x:c>
      <x:c r="I15" s="58">
        <x:f>3500+7500+10500+9600+40800+5900+4200+22000+20500</x:f>
        <x:v>124500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2</x:v>
      </x:c>
      <x:c r="D16" s="253" t="s">
        <x:v>115</x:v>
      </x:c>
      <x:c r="E16" s="254"/>
      <x:c r="F16" s="261">
        <x:v>7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SUM('1:12'!$C$16)</x:f>
        <x:v>58</x:v>
      </x:c>
      <x:c r="D17" s="255"/>
      <x:c r="E17" s="256"/>
      <x:c r="F17" s="252">
        <x:f>SUM('1:12'!$F$16)</x:f>
        <x:v>105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6</x:v>
      </x:c>
      <x:c r="D18" s="253" t="s">
        <x:v>128</x:v>
      </x:c>
      <x:c r="E18" s="254"/>
      <x:c r="F18" s="289">
        <x:v>1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SUM('1:12'!$C$18)</x:f>
        <x:v>168</x:v>
      </x:c>
      <x:c r="D19" s="255"/>
      <x:c r="E19" s="256"/>
      <x:c r="F19" s="252">
        <x:f>SUM('1:12'!$F$18)</x:f>
        <x:v>50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326">
        <x:v>58</x:v>
      </x:c>
      <x:c r="G20" s="327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SUM('1:12'!$F$20)</x:f>
        <x:v>770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5"/>
      <x:c r="E23" s="315"/>
      <x:c r="F23" s="315"/>
      <x:c r="G23" s="315"/>
      <x:c r="H23" s="107" t="s">
        <x:v>92</x:v>
      </x:c>
      <x:c r="I23" s="108">
        <x:f>SUM(I4:I22)</x:f>
        <x:v>1263210</x:v>
      </x:c>
      <x:c r="J23" s="61" t="s">
        <x:v>117</x:v>
      </x:c>
      <x:c r="K23" s="62">
        <x:f>SUM(K4:K22)</x:f>
        <x:v>0</x:v>
      </x:c>
      <x:c r="M23" s="88" t="s">
        <x:v>91</x:v>
      </x:c>
      <x:c r="N23" s="282">
        <x:f>C5+C6</x:f>
        <x:v>443000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0.28514898419864559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78">
        <x:f>C2</x:f>
        <x:v>4430000</x:v>
      </x:c>
      <x:c r="B25" s="270"/>
      <x:c r="C25" s="270">
        <x:f>E25/I1</x:f>
        <x:v>4962375</x:v>
      </x:c>
      <x:c r="D25" s="270"/>
      <x:c r="E25" s="270">
        <x:f>SUM('1:12'!$A$25)</x:f>
        <x:v>59548500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SUM('1:12'!$K$21)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0.032326607723116449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355">
        <x:f>13000*4.5</x:f>
        <x:v>58500</x:v>
      </x:c>
      <x:c r="G27" s="355"/>
      <x:c r="H27" s="111" t="s">
        <x:v>116</x:v>
      </x:c>
      <x:c r="I27" s="112">
        <x:f>SUM(C27:D34,F27:G32)</x:f>
        <x:v>620822.58064516133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353">
        <x:f>1500000/31</x:f>
        <x:v>48387.096774193546</x:v>
      </x:c>
      <x:c r="G28" s="353"/>
      <x:c r="H28" s="111" t="s">
        <x:v>8</x:v>
      </x:c>
      <x:c r="I28" s="113">
        <x:f>I27/$A$25</x:f>
        <x:v>0.14014053739168428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SUM('1:12'!$I$25)</x:f>
        <x:v>23100012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37.208717466420723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120000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customHeight="1">
      <x:c r="A33" s="313"/>
      <x:c r="B33" s="54" t="s">
        <x:v>21</x:v>
      </x:c>
      <x:c r="C33" s="264">
        <x:f>13000*4</x:f>
        <x:v>52000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C29:D29"/>
    <x:mergeCell ref="F29:G29"/>
    <x:mergeCell ref="C26:D26"/>
    <x:mergeCell ref="E26:G26"/>
    <x:mergeCell ref="J2:K2"/>
    <x:mergeCell ref="H2:I2"/>
    <x:mergeCell ref="G2:G3"/>
    <x:mergeCell ref="C6:D7"/>
    <x:mergeCell ref="E6:F7"/>
    <x:mergeCell ref="E8:F9"/>
    <x:mergeCell ref="F28:G28"/>
    <x:mergeCell ref="N23:O23"/>
    <x:mergeCell ref="G6:G7"/>
    <x:mergeCell ref="G8:G9"/>
    <x:mergeCell ref="C11:G11"/>
    <x:mergeCell ref="F18:G18"/>
    <x:mergeCell ref="F19:G19"/>
    <x:mergeCell ref="D21:E21"/>
    <x:mergeCell ref="F21:G21"/>
    <x:mergeCell ref="A10:B10"/>
    <x:mergeCell ref="C10:D10"/>
    <x:mergeCell ref="E10:F10"/>
    <x:mergeCell ref="A11:B11"/>
    <x:mergeCell ref="E2:F3"/>
    <x:mergeCell ref="A4:B4"/>
    <x:mergeCell ref="C4:D4"/>
    <x:mergeCell ref="E4:F4"/>
    <x:mergeCell ref="A2:B3"/>
    <x:mergeCell ref="C2:D3"/>
    <x:mergeCell ref="A5:B5"/>
    <x:mergeCell ref="C5:D5"/>
    <x:mergeCell ref="E5:F5"/>
    <x:mergeCell ref="A8:B9"/>
    <x:mergeCell ref="C8:D9"/>
    <x:mergeCell ref="A6:B7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A27:A34"/>
    <x:mergeCell ref="C32:D32"/>
    <x:mergeCell ref="C33:D33"/>
    <x:mergeCell ref="C34:D34"/>
    <x:mergeCell ref="F31:G31"/>
    <x:mergeCell ref="F30:G30"/>
    <x:mergeCell ref="C30:D30"/>
    <x:mergeCell ref="C31:D31"/>
    <x:mergeCell ref="C28:D28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O34"/>
  <x:sheetViews>
    <x:sheetView topLeftCell="A25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13</x:v>
      </x:c>
      <x:c r="G1" s="68" t="s">
        <x:v>48</x:v>
      </x:c>
      <x:c r="H1" s="52" t="s">
        <x:v>121</x:v>
      </x:c>
      <x:c r="I1" s="52">
        <x:f>F1-K1</x:f>
        <x:v>13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4797500</x:v>
      </x:c>
      <x:c r="D2" s="307"/>
      <x:c r="E2" s="309" t="s">
        <x:v>38</x:v>
      </x:c>
      <x:c r="F2" s="310"/>
      <x:c r="G2" s="299">
        <x:v>92600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4292000</x:v>
      </x:c>
      <x:c r="D4" s="268"/>
      <x:c r="E4" s="308" t="s">
        <x:v>144</x:v>
      </x:c>
      <x:c r="F4" s="308"/>
      <x:c r="G4" s="133">
        <x:f>INT(C4*0.0275)</x:f>
        <x:v>118030</x:v>
      </x:c>
      <x:c r="H4" s="54" t="s">
        <x:v>20</x:v>
      </x:c>
      <x:c r="I4" s="124"/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505500</x:v>
      </x:c>
      <x:c r="D5" s="268"/>
      <x:c r="E5" s="257" t="s">
        <x:v>68</x:v>
      </x:c>
      <x:c r="F5" s="257"/>
      <x:c r="G5" s="133">
        <x:f>INT(C5*0.01)</x:f>
        <x:v>5055</x:v>
      </x:c>
      <x:c r="H5" s="54" t="s">
        <x:v>6</x:v>
      </x:c>
      <x:c r="I5" s="124">
        <x:f>50000+34500+36000+16720+44000+78760</x:f>
        <x:v>259980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500000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>
        <x:v>391800</x:v>
      </x:c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98100</x:v>
      </x:c>
      <x:c r="D8" s="268"/>
      <x:c r="E8" s="253" t="s">
        <x:v>108</x:v>
      </x:c>
      <x:c r="F8" s="254"/>
      <x:c r="G8" s="287">
        <x:f>C5+G2-G6-C22</x:f>
        <x:v>98100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/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/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7</x:v>
      </x:c>
      <x:c r="D12" s="253" t="s">
        <x:v>131</x:v>
      </x:c>
      <x:c r="E12" s="254"/>
      <x:c r="F12" s="280">
        <x:v>6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SUM('1:13'!$C$12)</x:f>
        <x:v>90</x:v>
      </x:c>
      <x:c r="D13" s="255"/>
      <x:c r="E13" s="256"/>
      <x:c r="F13" s="285">
        <x:f>SUM('1:13'!$F$12)</x:f>
        <x:v>80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21</x:v>
      </x:c>
      <x:c r="D14" s="253" t="s">
        <x:v>93</x:v>
      </x:c>
      <x:c r="E14" s="254"/>
      <x:c r="F14" s="280">
        <x:v>10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SUM('1:13'!$C$14)</x:f>
        <x:v>267</x:v>
      </x:c>
      <x:c r="D15" s="255"/>
      <x:c r="E15" s="256"/>
      <x:c r="F15" s="285">
        <x:f>SUM('1:13'!$F$14)</x:f>
        <x:v>118</x:v>
      </x:c>
      <x:c r="G15" s="286"/>
      <x:c r="H15" s="54" t="s">
        <x:v>104</x:v>
      </x:c>
      <x:c r="I15" s="58">
        <x:f>27200+7500+4800+11800+5500+4900+10600</x:f>
        <x:v>72300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10</x:v>
      </x:c>
      <x:c r="D16" s="253" t="s">
        <x:v>115</x:v>
      </x:c>
      <x:c r="E16" s="254"/>
      <x:c r="F16" s="261">
        <x:v>8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SUM('1:13'!$C$16)</x:f>
        <x:v>68</x:v>
      </x:c>
      <x:c r="D17" s="255"/>
      <x:c r="E17" s="256"/>
      <x:c r="F17" s="252">
        <x:f>SUM('1:13'!$F$16)</x:f>
        <x:v>113</x:v>
      </x:c>
      <x:c r="G17" s="252"/>
      <x:c r="H17" s="54" t="s">
        <x:v>7</x:v>
      </x:c>
      <x:c r="I17" s="58">
        <x:v>3200</x:v>
      </x:c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6</x:v>
      </x:c>
      <x:c r="D18" s="253" t="s">
        <x:v>128</x:v>
      </x:c>
      <x:c r="E18" s="254"/>
      <x:c r="F18" s="289">
        <x:v>3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SUM('1:13'!$C$18)</x:f>
        <x:v>174</x:v>
      </x:c>
      <x:c r="D19" s="255"/>
      <x:c r="E19" s="256"/>
      <x:c r="F19" s="252">
        <x:f>SUM('1:13'!$F$18)</x:f>
        <x:v>53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57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SUM('1:13'!$F$20)</x:f>
        <x:v>827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792280</x:v>
      </x:c>
      <x:c r="J23" s="61" t="s">
        <x:v>117</x:v>
      </x:c>
      <x:c r="K23" s="62">
        <x:f>SUM(K4:K22)</x:f>
        <x:v>0</x:v>
      </x:c>
      <x:c r="M23" s="88" t="s">
        <x:v>91</x:v>
      </x:c>
      <x:c r="N23" s="282">
        <x:f>C5+C6</x:f>
        <x:v>505500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0.16514434601354872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78">
        <x:f>C2</x:f>
        <x:v>4797500</x:v>
      </x:c>
      <x:c r="B25" s="270"/>
      <x:c r="C25" s="270">
        <x:f>E25/I1</x:f>
        <x:v>4949692.307692308</x:v>
      </x:c>
      <x:c r="D25" s="270"/>
      <x:c r="E25" s="270">
        <x:f>SUM('1:13'!$A$25)</x:f>
        <x:v>64346000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SUM('1:13'!$K$21)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0.029916405060143599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13000*5</x:f>
        <x:v>65000</x:v>
      </x:c>
      <x:c r="G27" s="268"/>
      <x:c r="H27" s="111" t="s">
        <x:v>116</x:v>
      </x:c>
      <x:c r="I27" s="112">
        <x:f>SUM(C27:D34,F27:G32)</x:f>
        <x:v>685822.58064516133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0.14295415959252972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>
        <x:f>11700*5</x:f>
        <x:v>58500</x:v>
      </x:c>
      <x:c r="G29" s="268"/>
      <x:c r="H29" s="111" t="s">
        <x:v>31</x:v>
      </x:c>
      <x:c r="I29" s="112">
        <x:f>SUM('1:13'!$I$25)</x:f>
        <x:v>25025013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36.489047905740691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120000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customHeight="1">
      <x:c r="A33" s="313"/>
      <x:c r="B33" s="54" t="s">
        <x:v>21</x:v>
      </x:c>
      <x:c r="C33" s="264">
        <x:f>13000*4</x:f>
        <x:v>52000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O34"/>
  <x:sheetViews>
    <x:sheetView topLeftCell="A20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14</x:v>
      </x:c>
      <x:c r="G1" s="68" t="s">
        <x:v>27</x:v>
      </x:c>
      <x:c r="H1" s="52" t="s">
        <x:v>121</x:v>
      </x:c>
      <x:c r="I1" s="52">
        <x:f>F1-K1</x:f>
        <x:v>14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4628000</x:v>
      </x:c>
      <x:c r="D2" s="307"/>
      <x:c r="E2" s="309" t="s">
        <x:v>38</x:v>
      </x:c>
      <x:c r="F2" s="310"/>
      <x:c r="G2" s="299">
        <x:v>98100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4187000</x:v>
      </x:c>
      <x:c r="D4" s="268"/>
      <x:c r="E4" s="308" t="s">
        <x:v>144</x:v>
      </x:c>
      <x:c r="F4" s="308"/>
      <x:c r="G4" s="133">
        <x:f>INT(C4*0.0275)</x:f>
        <x:v>115142</x:v>
      </x:c>
      <x:c r="H4" s="54" t="s">
        <x:v>20</x:v>
      </x:c>
      <x:c r="I4" s="124">
        <x:f>904000+227136+56220</x:f>
        <x:v>1187356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441000</x:v>
      </x:c>
      <x:c r="D5" s="268"/>
      <x:c r="E5" s="257" t="s">
        <x:v>68</x:v>
      </x:c>
      <x:c r="F5" s="257"/>
      <x:c r="G5" s="133">
        <x:f>INT(C5*0.01)</x:f>
        <x:v>4410</x:v>
      </x:c>
      <x:c r="H5" s="54" t="s">
        <x:v>6</x:v>
      </x:c>
      <x:c r="I5" s="124">
        <x:f>3500+16000+30300+50000+34500+11940+17520</x:f>
        <x:v>163760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440000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>
        <x:f>276890-24300</x:f>
        <x:v>252590</x:v>
      </x:c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99100</x:v>
      </x:c>
      <x:c r="D8" s="268"/>
      <x:c r="E8" s="253" t="s">
        <x:v>108</x:v>
      </x:c>
      <x:c r="F8" s="254"/>
      <x:c r="G8" s="287">
        <x:f>C5+G2-G6-C22</x:f>
        <x:v>99100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f>59000+60000</x:f>
        <x:v>119000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 t="s">
        <x:v>162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10</x:v>
      </x:c>
      <x:c r="D12" s="253" t="s">
        <x:v>131</x:v>
      </x:c>
      <x:c r="E12" s="254"/>
      <x:c r="F12" s="280">
        <x:v>6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SUM('1:14'!$C$12)</x:f>
        <x:v>100</x:v>
      </x:c>
      <x:c r="D13" s="255"/>
      <x:c r="E13" s="256"/>
      <x:c r="F13" s="285">
        <x:f>SUM('1:14'!$F$12)</x:f>
        <x:v>86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29</x:v>
      </x:c>
      <x:c r="D14" s="253" t="s">
        <x:v>93</x:v>
      </x:c>
      <x:c r="E14" s="254"/>
      <x:c r="F14" s="280">
        <x:v>16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SUM('1:14'!$C$14)</x:f>
        <x:v>296</x:v>
      </x:c>
      <x:c r="D15" s="255"/>
      <x:c r="E15" s="256"/>
      <x:c r="F15" s="285">
        <x:f>SUM('1:14'!$F$14)</x:f>
        <x:v>134</x:v>
      </x:c>
      <x:c r="G15" s="286"/>
      <x:c r="H15" s="54" t="s">
        <x:v>104</x:v>
      </x:c>
      <x:c r="I15" s="58">
        <x:f>4800+34000+11800+3900+7200</x:f>
        <x:v>61700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4</x:v>
      </x:c>
      <x:c r="D16" s="253" t="s">
        <x:v>115</x:v>
      </x:c>
      <x:c r="E16" s="254"/>
      <x:c r="F16" s="261">
        <x:v>9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SUM('1:14'!$C$16)</x:f>
        <x:v>72</x:v>
      </x:c>
      <x:c r="D17" s="255"/>
      <x:c r="E17" s="256"/>
      <x:c r="F17" s="252">
        <x:f>SUM('1:14'!$F$16)</x:f>
        <x:v>122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8</x:v>
      </x:c>
      <x:c r="D18" s="253" t="s">
        <x:v>128</x:v>
      </x:c>
      <x:c r="E18" s="254"/>
      <x:c r="F18" s="289">
        <x:v>1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SUM('1:14'!$C$18)</x:f>
        <x:v>182</x:v>
      </x:c>
      <x:c r="D19" s="255"/>
      <x:c r="E19" s="256"/>
      <x:c r="F19" s="252">
        <x:f>SUM('1:14'!$F$18)</x:f>
        <x:v>54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72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SUM('1:14'!$F$20)</x:f>
        <x:v>899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1665406</x:v>
      </x:c>
      <x:c r="J23" s="61" t="s">
        <x:v>117</x:v>
      </x:c>
      <x:c r="K23" s="62">
        <x:f>SUM(K4:K22)</x:f>
        <x:v>0</x:v>
      </x:c>
      <x:c r="M23" s="88" t="s">
        <x:v>91</x:v>
      </x:c>
      <x:c r="N23" s="282">
        <x:f>C5+C6</x:f>
        <x:v>441000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0.35985436473638721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78">
        <x:f>C2</x:f>
        <x:v>4628000</x:v>
      </x:c>
      <x:c r="B25" s="270"/>
      <x:c r="C25" s="270">
        <x:f>E25/I1</x:f>
        <x:v>4926714.2857142854</x:v>
      </x:c>
      <x:c r="D25" s="270"/>
      <x:c r="E25" s="270">
        <x:f>SUM('1:14'!$A$25)</x:f>
        <x:v>68974000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SUM('1:14'!$K$21)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0.027909081682952996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13000*5</x:f>
        <x:v>65000</x:v>
      </x:c>
      <x:c r="G27" s="268"/>
      <x:c r="H27" s="111" t="s">
        <x:v>116</x:v>
      </x:c>
      <x:c r="I27" s="112">
        <x:f>SUM(C27:D34,F27:G32)</x:f>
        <x:v>616272.58064516133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0.13316175035547997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>
        <x:f>11700*3.5</x:f>
        <x:v>40950</x:v>
      </x:c>
      <x:c r="G29" s="268"/>
      <x:c r="H29" s="111" t="s">
        <x:v>31</x:v>
      </x:c>
      <x:c r="I29" s="112">
        <x:f>SUM('1:14'!$I$25)</x:f>
        <x:v>26950014</x:v>
      </x:c>
      <x:c r="M29" s="66" t="s">
        <x:v>61</x:v>
      </x:c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43.730671859174166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120000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customHeight="1">
      <x:c r="A33" s="313"/>
      <x:c r="B33" s="54" t="s">
        <x:v>21</x:v>
      </x:c>
      <x:c r="C33" s="264"/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O34"/>
  <x:sheetViews>
    <x:sheetView topLeftCell="A13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4" width="8.625" style="53" bestFit="1" customWidth="1"/>
    <x:col min="15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15</x:v>
      </x:c>
      <x:c r="G1" s="68" t="s">
        <x:v>18</x:v>
      </x:c>
      <x:c r="H1" s="52" t="s">
        <x:v>121</x:v>
      </x:c>
      <x:c r="I1" s="52">
        <x:f>F1-K1</x:f>
        <x:v>15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6282300</x:v>
      </x:c>
      <x:c r="D2" s="307"/>
      <x:c r="E2" s="309" t="s">
        <x:v>38</x:v>
      </x:c>
      <x:c r="F2" s="310"/>
      <x:c r="G2" s="299">
        <x:v>99100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5205300</x:v>
      </x:c>
      <x:c r="D4" s="268"/>
      <x:c r="E4" s="308" t="s">
        <x:v>144</x:v>
      </x:c>
      <x:c r="F4" s="308"/>
      <x:c r="G4" s="133"/>
      <x:c r="H4" s="54" t="s">
        <x:v>20</x:v>
      </x:c>
      <x:c r="I4" s="124">
        <x:f>285358+439200+229117+10+452000</x:f>
        <x:v>1405685</x:v>
      </x:c>
      <x:c r="J4" s="80" t="s">
        <x:v>34</x:v>
      </x:c>
      <x:c r="K4" s="58"/>
    </x:row>
    <x:row r="5" spans="1:13" ht="30.949999999999999" customHeight="1">
      <x:c r="A5" s="301" t="s">
        <x:v>59</x:v>
      </x:c>
      <x:c r="B5" s="302"/>
      <x:c r="C5" s="268">
        <x:v>1077000</x:v>
      </x:c>
      <x:c r="D5" s="268"/>
      <x:c r="E5" s="257" t="s">
        <x:v>68</x:v>
      </x:c>
      <x:c r="F5" s="257"/>
      <x:c r="G5" s="133">
        <x:f>INT(C5*0.01)</x:f>
        <x:v>10770</x:v>
      </x:c>
      <x:c r="H5" s="54" t="s">
        <x:v>6</x:v>
      </x:c>
      <x:c r="I5" s="124"/>
      <x:c r="J5" s="81"/>
      <x:c r="K5" s="58"/>
      <x:c r="M5" s="136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1100000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76100</x:v>
      </x:c>
      <x:c r="D8" s="268"/>
      <x:c r="E8" s="253" t="s">
        <x:v>108</x:v>
      </x:c>
      <x:c r="F8" s="254"/>
      <x:c r="G8" s="287">
        <x:f>C5+G2-G6-C22</x:f>
        <x:v>76100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v>77700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 t="s">
        <x:v>162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8</x:v>
      </x:c>
      <x:c r="D12" s="253" t="s">
        <x:v>131</x:v>
      </x:c>
      <x:c r="E12" s="254"/>
      <x:c r="F12" s="280">
        <x:v>16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SUM('1:15'!$C$12)</x:f>
        <x:v>108</x:v>
      </x:c>
      <x:c r="D13" s="255"/>
      <x:c r="E13" s="256"/>
      <x:c r="F13" s="285">
        <x:f>SUM('1:15'!$F$12)</x:f>
        <x:v>102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32</x:v>
      </x:c>
      <x:c r="D14" s="253" t="s">
        <x:v>93</x:v>
      </x:c>
      <x:c r="E14" s="254"/>
      <x:c r="F14" s="280">
        <x:v>36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SUM('1:15'!$C$14)</x:f>
        <x:v>328</x:v>
      </x:c>
      <x:c r="D15" s="255"/>
      <x:c r="E15" s="256"/>
      <x:c r="F15" s="285">
        <x:f>SUM('1:15'!$F$14)</x:f>
        <x:v>170</x:v>
      </x:c>
      <x:c r="G15" s="286"/>
      <x:c r="H15" s="54" t="s">
        <x:v>104</x:v>
      </x:c>
      <x:c r="I15" s="58">
        <x:f>6200+3500+5500+9800+12500+2450+28800+44000+3900+234000+28000+10500+54400+7500+5500+30000</x:f>
        <x:v>486550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11</x:v>
      </x:c>
      <x:c r="D16" s="253" t="s">
        <x:v>115</x:v>
      </x:c>
      <x:c r="E16" s="254"/>
      <x:c r="F16" s="261">
        <x:v>14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SUM('1:15'!$C$16)</x:f>
        <x:v>83</x:v>
      </x:c>
      <x:c r="D17" s="255"/>
      <x:c r="E17" s="256"/>
      <x:c r="F17" s="252">
        <x:f>SUM('1:15'!$F$16)</x:f>
        <x:v>136</x:v>
      </x:c>
      <x:c r="G17" s="252"/>
      <x:c r="H17" s="54" t="s">
        <x:v>7</x:v>
      </x:c>
      <x:c r="I17" s="58">
        <x:v>1600</x:v>
      </x:c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15</x:v>
      </x:c>
      <x:c r="D18" s="253" t="s">
        <x:v>128</x:v>
      </x:c>
      <x:c r="E18" s="254"/>
      <x:c r="F18" s="289">
        <x:v>3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SUM('1:15'!$C$18)</x:f>
        <x:v>197</x:v>
      </x:c>
      <x:c r="D19" s="255"/>
      <x:c r="E19" s="256"/>
      <x:c r="F19" s="252">
        <x:f>SUM('1:15'!$F$18)</x:f>
        <x:v>57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88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SUM('1:15'!$F$20)</x:f>
        <x:v>987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1893835</x:v>
      </x:c>
      <x:c r="J23" s="61" t="s">
        <x:v>117</x:v>
      </x:c>
      <x:c r="K23" s="62">
        <x:f>SUM(K4:K22)</x:f>
        <x:v>0</x:v>
      </x:c>
      <x:c r="M23" s="88" t="s">
        <x:v>91</x:v>
      </x:c>
      <x:c r="N23" s="282">
        <x:f>C5+C6</x:f>
        <x:v>1077000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0.301455677060949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78">
        <x:f>C2</x:f>
        <x:v>6282300</x:v>
      </x:c>
      <x:c r="B25" s="270"/>
      <x:c r="C25" s="270">
        <x:f>E25/I1</x:f>
        <x:v>5017086.666666667</x:v>
      </x:c>
      <x:c r="D25" s="270"/>
      <x:c r="E25" s="270">
        <x:f>SUM('1:15'!$A$25)</x:f>
        <x:v>75256300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SUM('1:15'!$K$21)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0.025579267117835985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/>
      <x:c r="G27" s="268"/>
      <x:c r="H27" s="111" t="s">
        <x:v>116</x:v>
      </x:c>
      <x:c r="I27" s="112">
        <x:f>SUM(C27:D34,F27:G32)</x:f>
        <x:v>799822.58064516133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0.12731365592938276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>
        <x:f>11700*5</x:f>
        <x:v>58500</x:v>
      </x:c>
      <x:c r="G29" s="268"/>
      <x:c r="H29" s="111" t="s">
        <x:v>31</x:v>
      </x:c>
      <x:c r="I29" s="112">
        <x:f>SUM('1:15'!$I$25)</x:f>
        <x:v>28875015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36.10177519207889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132000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>
        <x:f>77000+77000</x:f>
        <x:v>154000</x:v>
      </x:c>
      <x:c r="G32" s="267"/>
    </x:row>
    <x:row r="33" spans="1:4" customHeight="1">
      <x:c r="A33" s="313"/>
      <x:c r="B33" s="54" t="s">
        <x:v>21</x:v>
      </x:c>
      <x:c r="C33" s="264">
        <x:f>13000*5</x:f>
        <x:v>65000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O34"/>
  <x:sheetViews>
    <x:sheetView topLeftCell="A19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2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16</x:v>
      </x:c>
      <x:c r="G1" s="68" t="s">
        <x:v>19</x:v>
      </x:c>
      <x:c r="H1" s="52" t="s">
        <x:v>121</x:v>
      </x:c>
      <x:c r="I1" s="52">
        <x:f>F1-K1</x:f>
        <x:v>16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4497000</x:v>
      </x:c>
      <x:c r="D2" s="307"/>
      <x:c r="E2" s="309" t="s">
        <x:v>38</x:v>
      </x:c>
      <x:c r="F2" s="310"/>
      <x:c r="G2" s="299">
        <x:v>76100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2" ht="30.949999999999999" customHeight="1">
      <x:c r="A4" s="301" t="s">
        <x:v>22</x:v>
      </x:c>
      <x:c r="B4" s="302"/>
      <x:c r="C4" s="268">
        <x:v>3866000</x:v>
      </x:c>
      <x:c r="D4" s="268"/>
      <x:c r="E4" s="308" t="s">
        <x:v>144</x:v>
      </x:c>
      <x:c r="F4" s="308"/>
      <x:c r="G4" s="133">
        <x:f>INT(C4*0.0275)</x:f>
        <x:v>106315</x:v>
      </x:c>
      <x:c r="H4" s="54" t="s">
        <x:v>20</x:v>
      </x:c>
      <x:c r="I4" s="124"/>
      <x:c r="J4" s="80" t="s">
        <x:v>34</x:v>
      </x:c>
      <x:c r="K4" s="58"/>
      <x:c r="L4" s="97"/>
    </x:row>
    <x:row r="5" spans="1:11" ht="30.949999999999999" customHeight="1">
      <x:c r="A5" s="301" t="s">
        <x:v>59</x:v>
      </x:c>
      <x:c r="B5" s="302"/>
      <x:c r="C5" s="268">
        <x:v>631000</x:v>
      </x:c>
      <x:c r="D5" s="268"/>
      <x:c r="E5" s="257" t="s">
        <x:v>68</x:v>
      </x:c>
      <x:c r="F5" s="257"/>
      <x:c r="G5" s="133">
        <x:f>INT(C5*0.01)</x:f>
        <x:v>6310</x:v>
      </x:c>
      <x:c r="H5" s="54" t="s">
        <x:v>6</x:v>
      </x:c>
      <x:c r="I5" s="124"/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630000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77100</x:v>
      </x:c>
      <x:c r="D8" s="268"/>
      <x:c r="E8" s="253" t="s">
        <x:v>108</x:v>
      </x:c>
      <x:c r="F8" s="254"/>
      <x:c r="G8" s="287">
        <x:f>C5+G2-G6-C22</x:f>
        <x:v>77100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/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/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9</x:v>
      </x:c>
      <x:c r="D12" s="253" t="s">
        <x:v>131</x:v>
      </x:c>
      <x:c r="E12" s="254"/>
      <x:c r="F12" s="280">
        <x:v>10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SUM('1:16'!$C$12)</x:f>
        <x:v>117</x:v>
      </x:c>
      <x:c r="D13" s="255"/>
      <x:c r="E13" s="256"/>
      <x:c r="F13" s="285">
        <x:f>SUM('1:16'!$F$12)</x:f>
        <x:v>112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36</x:v>
      </x:c>
      <x:c r="D14" s="253" t="s">
        <x:v>93</x:v>
      </x:c>
      <x:c r="E14" s="254"/>
      <x:c r="F14" s="280">
        <x:v>9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SUM('1:16'!$C$14)</x:f>
        <x:v>364</x:v>
      </x:c>
      <x:c r="D15" s="255"/>
      <x:c r="E15" s="256"/>
      <x:c r="F15" s="285">
        <x:f>SUM('1:16'!$F$14)</x:f>
        <x:v>179</x:v>
      </x:c>
      <x:c r="G15" s="286"/>
      <x:c r="H15" s="54" t="s">
        <x:v>104</x:v>
      </x:c>
      <x:c r="I15" s="58"/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2</x:v>
      </x:c>
      <x:c r="D16" s="253" t="s">
        <x:v>115</x:v>
      </x:c>
      <x:c r="E16" s="254"/>
      <x:c r="F16" s="261">
        <x:v>1</x:v>
      </x:c>
      <x:c r="G16" s="261"/>
      <x:c r="H16" s="54"/>
      <x:c r="I16" s="58"/>
      <x:c r="J16" s="54" t="s">
        <x:v>95</x:v>
      </x:c>
      <x:c r="K16" s="58">
        <x:v>526240</x:v>
      </x:c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SUM('1:16'!$C$16)</x:f>
        <x:v>85</x:v>
      </x:c>
      <x:c r="D17" s="255"/>
      <x:c r="E17" s="256"/>
      <x:c r="F17" s="252">
        <x:f>SUM('1:16'!$F$16)</x:f>
        <x:v>137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23</x:v>
      </x:c>
      <x:c r="D18" s="253" t="s">
        <x:v>128</x:v>
      </x:c>
      <x:c r="E18" s="254"/>
      <x:c r="F18" s="289">
        <x:v>6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SUM('1:16'!$C$18)</x:f>
        <x:v>220</x:v>
      </x:c>
      <x:c r="D19" s="255"/>
      <x:c r="E19" s="256"/>
      <x:c r="F19" s="252">
        <x:f>SUM('1:16'!$F$18)</x:f>
        <x:v>63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63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SUM('1:16'!$F$20)</x:f>
        <x:v>1050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0</x:v>
      </x:c>
      <x:c r="J23" s="61" t="s">
        <x:v>117</x:v>
      </x:c>
      <x:c r="K23" s="62">
        <x:f>SUM(K4:K22)</x:f>
        <x:v>526240</x:v>
      </x:c>
      <x:c r="M23" s="88" t="s">
        <x:v>91</x:v>
      </x:c>
      <x:c r="N23" s="282">
        <x:f>C5+C6</x:f>
        <x:v>631000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0.11702023571269736</x:v>
      </x:c>
    </x:row>
    <x:row r="25" spans="1:11" ht="34.149999999999999" customHeight="1">
      <x:c r="A25" s="278">
        <x:f>C2</x:f>
        <x:v>4497000</x:v>
      </x:c>
      <x:c r="B25" s="270"/>
      <x:c r="C25" s="270">
        <x:f>E25/I1</x:f>
        <x:v>4984581.25</x:v>
      </x:c>
      <x:c r="D25" s="270"/>
      <x:c r="E25" s="270">
        <x:f>SUM('1:16'!$A$25)</x:f>
        <x:v>79753300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SUM('1:16'!$K$21)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0.02413694480353791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/>
      <x:c r="G27" s="268"/>
      <x:c r="H27" s="111" t="s">
        <x:v>116</x:v>
      </x:c>
      <x:c r="I27" s="112">
        <x:f>SUM(C27:D34,F27:G32)</x:f>
        <x:v>702322.58064516133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0.15617580178900631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>
        <x:f>11700*5</x:f>
        <x:v>58500</x:v>
      </x:c>
      <x:c r="G29" s="268"/>
      <x:c r="H29" s="111" t="s">
        <x:v>31</x:v>
      </x:c>
      <x:c r="I29" s="112">
        <x:f>SUM('1:16'!$I$25)</x:f>
        <x:v>30800016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43.854514789638067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130000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customHeight="1">
      <x:c r="A33" s="313"/>
      <x:c r="B33" s="54" t="s">
        <x:v>21</x:v>
      </x:c>
      <x:c r="C33" s="264">
        <x:f>13000*9.5</x:f>
        <x:v>123500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O34"/>
  <x:sheetViews>
    <x:sheetView topLeftCell="A23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17</x:v>
      </x:c>
      <x:c r="G1" s="68" t="s">
        <x:v>47</x:v>
      </x:c>
      <x:c r="H1" s="52" t="s">
        <x:v>121</x:v>
      </x:c>
      <x:c r="I1" s="52">
        <x:f>F1-K1</x:f>
        <x:v>17</x:v>
      </x:c>
      <x:c r="J1" s="52" t="s">
        <x:v>96</x:v>
      </x:c>
      <x:c r="K1" s="52"/>
    </x:row>
    <x:row r="2" spans="1:11" ht="20.100000000000001" customHeight="1">
      <x:c r="A2" s="337" t="s">
        <x:v>9</x:v>
      </x:c>
      <x:c r="B2" s="338"/>
      <x:c r="C2" s="341">
        <x:f>SUM(C4:D7)</x:f>
        <x:v>4924000</x:v>
      </x:c>
      <x:c r="D2" s="342"/>
      <x:c r="E2" s="309" t="s">
        <x:v>38</x:v>
      </x:c>
      <x:c r="F2" s="310"/>
      <x:c r="G2" s="299">
        <x:v>77100</x:v>
      </x:c>
      <x:c r="H2" s="345" t="s">
        <x:v>6</x:v>
      </x:c>
      <x:c r="I2" s="346"/>
      <x:c r="J2" s="295" t="s">
        <x:v>72</x:v>
      </x:c>
      <x:c r="K2" s="347"/>
    </x:row>
    <x:row r="3" spans="1:11" ht="20.100000000000001" customHeight="1">
      <x:c r="A3" s="339"/>
      <x:c r="B3" s="340"/>
      <x:c r="C3" s="343"/>
      <x:c r="D3" s="344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28" t="s">
        <x:v>22</x:v>
      </x:c>
      <x:c r="B4" s="329"/>
      <x:c r="C4" s="266">
        <x:v>4402000</x:v>
      </x:c>
      <x:c r="D4" s="267"/>
      <x:c r="E4" s="330" t="s">
        <x:v>144</x:v>
      </x:c>
      <x:c r="F4" s="331"/>
      <x:c r="G4" s="133">
        <x:f>INT(C4*0.0275)</x:f>
        <x:v>121055</x:v>
      </x:c>
      <x:c r="H4" s="54" t="s">
        <x:v>20</x:v>
      </x:c>
      <x:c r="I4" s="124"/>
      <x:c r="J4" s="80" t="s">
        <x:v>34</x:v>
      </x:c>
      <x:c r="K4" s="58"/>
    </x:row>
    <x:row r="5" spans="1:11" ht="30.949999999999999" customHeight="1">
      <x:c r="A5" s="328" t="s">
        <x:v>59</x:v>
      </x:c>
      <x:c r="B5" s="329"/>
      <x:c r="C5" s="266">
        <x:v>522000</x:v>
      </x:c>
      <x:c r="D5" s="267"/>
      <x:c r="E5" s="280" t="s">
        <x:v>68</x:v>
      </x:c>
      <x:c r="F5" s="281"/>
      <x:c r="G5" s="133">
        <x:f>INT(C5*0.01)</x:f>
        <x:v>5220</x:v>
      </x:c>
      <x:c r="H5" s="54" t="s">
        <x:v>6</x:v>
      </x:c>
      <x:c r="I5" s="124">
        <x:f>150000+69000+72000+16720+29656+39380+4170+12920+17760+6490+3200</x:f>
        <x:v>421296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520000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>
        <x:f>260300-43600</x:f>
        <x:v>216700</x:v>
      </x:c>
      <x:c r="J7" s="81" t="s">
        <x:v>114</x:v>
      </x:c>
      <x:c r="K7" s="58"/>
    </x:row>
    <x:row r="8" spans="1:11" ht="21.949999999999999" customHeight="1">
      <x:c r="A8" s="335" t="s">
        <x:v>132</x:v>
      </x:c>
      <x:c r="B8" s="254"/>
      <x:c r="C8" s="271">
        <x:v>79100</x:v>
      </x:c>
      <x:c r="D8" s="272"/>
      <x:c r="E8" s="253" t="s">
        <x:v>108</x:v>
      </x:c>
      <x:c r="F8" s="254"/>
      <x:c r="G8" s="287">
        <x:f>C5+G2-G6-C22</x:f>
        <x:v>79100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336"/>
      <x:c r="B9" s="256"/>
      <x:c r="C9" s="273"/>
      <x:c r="D9" s="274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318" t="s">
        <x:v>141</x:v>
      </x:c>
      <x:c r="B10" s="281"/>
      <x:c r="C10" s="266">
        <x:v>80000</x:v>
      </x:c>
      <x:c r="D10" s="267"/>
      <x:c r="E10" s="280" t="s">
        <x:v>85</x:v>
      </x:c>
      <x:c r="F10" s="281"/>
      <x:c r="G10" s="55"/>
      <x:c r="H10" s="54"/>
      <x:c r="I10" s="124"/>
      <x:c r="J10" s="54" t="s">
        <x:v>51</x:v>
      </x:c>
      <x:c r="K10" s="58">
        <x:v>14300</x:v>
      </x:c>
    </x:row>
    <x:row r="11" spans="1:11" ht="33" customHeight="1">
      <x:c r="A11" s="318" t="s">
        <x:v>101</x:v>
      </x:c>
      <x:c r="B11" s="281"/>
      <x:c r="C11" s="332"/>
      <x:c r="D11" s="333"/>
      <x:c r="E11" s="333"/>
      <x:c r="F11" s="333"/>
      <x:c r="G11" s="334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2</x:v>
      </x:c>
      <x:c r="D12" s="253" t="s">
        <x:v>131</x:v>
      </x:c>
      <x:c r="E12" s="254"/>
      <x:c r="F12" s="280">
        <x:v>11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SUM('1:17'!$C$12)</x:f>
        <x:v>119</x:v>
      </x:c>
      <x:c r="D13" s="255"/>
      <x:c r="E13" s="256"/>
      <x:c r="F13" s="285">
        <x:f>SUM('1:17'!$F$12)</x:f>
        <x:v>123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18</x:v>
      </x:c>
      <x:c r="D14" s="253" t="s">
        <x:v>93</x:v>
      </x:c>
      <x:c r="E14" s="254"/>
      <x:c r="F14" s="280">
        <x:v>5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SUM('1:17'!$C$14)</x:f>
        <x:v>382</x:v>
      </x:c>
      <x:c r="D15" s="255"/>
      <x:c r="E15" s="256"/>
      <x:c r="F15" s="285">
        <x:f>SUM('1:17'!$F$14)</x:f>
        <x:v>184</x:v>
      </x:c>
      <x:c r="G15" s="286"/>
      <x:c r="H15" s="54" t="s">
        <x:v>104</x:v>
      </x:c>
      <x:c r="I15" s="58">
        <x:f>5500+5500+9800+11800+3500+13000+20400+5000+5500+20500+4800</x:f>
        <x:v>105300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6</x:v>
      </x:c>
      <x:c r="D16" s="253" t="s">
        <x:v>115</x:v>
      </x:c>
      <x:c r="E16" s="254"/>
      <x:c r="F16" s="326">
        <x:v>2</x:v>
      </x:c>
      <x:c r="G16" s="327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SUM('1:17'!$C$16)</x:f>
        <x:v>91</x:v>
      </x:c>
      <x:c r="D17" s="255"/>
      <x:c r="E17" s="256"/>
      <x:c r="F17" s="285">
        <x:f>SUM('1:17'!$F$16)</x:f>
        <x:v>139</x:v>
      </x:c>
      <x:c r="G17" s="286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8</x:v>
      </x:c>
      <x:c r="D18" s="253" t="s">
        <x:v>128</x:v>
      </x:c>
      <x:c r="E18" s="254"/>
      <x:c r="F18" s="326">
        <x:v>15</x:v>
      </x:c>
      <x:c r="G18" s="327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SUM('1:17'!$C$18)</x:f>
        <x:v>228</x:v>
      </x:c>
      <x:c r="D19" s="255"/>
      <x:c r="E19" s="256"/>
      <x:c r="F19" s="285">
        <x:f>SUM('1:17'!$F$18)</x:f>
        <x:v>78</x:v>
      </x:c>
      <x:c r="G19" s="286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80" t="s">
        <x:v>111</x:v>
      </x:c>
      <x:c r="E20" s="281"/>
      <x:c r="F20" s="326">
        <x:v>61</x:v>
      </x:c>
      <x:c r="G20" s="327"/>
      <x:c r="H20" s="58"/>
      <x:c r="J20" s="54"/>
      <x:c r="K20" s="58"/>
      <x:c r="L20" s="60"/>
      <x:c r="M20" s="11"/>
    </x:row>
    <x:row r="21" spans="4:13" ht="21.949999999999999" customHeight="1">
      <x:c r="D21" s="280" t="s">
        <x:v>112</x:v>
      </x:c>
      <x:c r="E21" s="281"/>
      <x:c r="F21" s="285">
        <x:f>SUM('1:17'!$F$20)</x:f>
        <x:v>1111</x:v>
      </x:c>
      <x:c r="G21" s="286"/>
      <x:c r="H21" s="58"/>
      <x:c r="J21" s="54"/>
      <x:c r="K21" s="58"/>
      <x:c r="L21" s="60"/>
      <x:c r="M21" s="11"/>
    </x:row>
    <x:row r="22" spans="1:13" ht="32.100000000000001" customHeight="1">
      <x:c r="A22" s="318" t="s">
        <x:v>81</x:v>
      </x:c>
      <x:c r="B22" s="281"/>
      <x:c r="C22" s="356"/>
      <x:c r="D22" s="357"/>
      <x:c r="E22" s="357"/>
      <x:c r="F22" s="357"/>
      <x:c r="G22" s="358"/>
      <x:c r="H22" s="54"/>
      <x:c r="J22" s="54"/>
      <x:c r="K22" s="58"/>
      <x:c r="L22" s="60"/>
      <x:c r="M22" s="11"/>
    </x:row>
    <x:row r="23" spans="1:15" ht="34.149999999999999" customHeight="1">
      <x:c r="A23" s="318" t="s">
        <x:v>122</x:v>
      </x:c>
      <x:c r="B23" s="281"/>
      <x:c r="C23" s="350"/>
      <x:c r="D23" s="351"/>
      <x:c r="E23" s="351"/>
      <x:c r="F23" s="351"/>
      <x:c r="G23" s="352"/>
      <x:c r="H23" s="107" t="s">
        <x:v>92</x:v>
      </x:c>
      <x:c r="I23" s="108">
        <x:f>SUM(I4:I22)</x:f>
        <x:v>808296</x:v>
      </x:c>
      <x:c r="J23" s="61" t="s">
        <x:v>117</x:v>
      </x:c>
      <x:c r="K23" s="62">
        <x:f>SUM(K4:K22)</x:f>
        <x:v>14300</x:v>
      </x:c>
      <x:c r="M23" s="88" t="s">
        <x:v>91</x:v>
      </x:c>
      <x:c r="N23" s="282">
        <x:f>C5+C6</x:f>
        <x:v>522000</x:v>
      </x:c>
      <x:c r="O23" s="283"/>
    </x:row>
    <x:row r="24" spans="1:11" ht="34.149999999999999" customHeight="1">
      <x:c r="A24" s="318" t="s">
        <x:v>8</x:v>
      </x:c>
      <x:c r="B24" s="281"/>
      <x:c r="C24" s="280" t="s">
        <x:v>84</x:v>
      </x:c>
      <x:c r="D24" s="281"/>
      <x:c r="E24" s="280" t="s">
        <x:v>99</x:v>
      </x:c>
      <x:c r="F24" s="349"/>
      <x:c r="G24" s="281"/>
      <x:c r="H24" s="107" t="s">
        <x:v>8</x:v>
      </x:c>
      <x:c r="I24" s="109">
        <x:f>I23/A25</x:f>
        <x:v>0.16415434606011373</x:v>
      </x:c>
      <x:c r="J24" s="61" t="s">
        <x:v>8</x:v>
      </x:c>
      <x:c r="K24" s="63">
        <x:f>K23/A25</x:f>
        <x:v>0.0029041429731925263</x:v>
      </x:c>
    </x:row>
    <x:row r="25" spans="1:11" ht="34.149999999999999" customHeight="1">
      <x:c r="A25" s="322">
        <x:f>C2</x:f>
        <x:v>4924000</x:v>
      </x:c>
      <x:c r="B25" s="263"/>
      <x:c r="C25" s="262">
        <x:f>E25/I1</x:f>
        <x:v>4981017.6470588231</x:v>
      </x:c>
      <x:c r="D25" s="263"/>
      <x:c r="E25" s="262">
        <x:f>SUM('1:17'!$A$25)</x:f>
        <x:v>84677300</x:v>
      </x:c>
      <x:c r="F25" s="348"/>
      <x:c r="G25" s="263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SUM('1:17'!$K$21)</x:f>
        <x:v>0</x:v>
      </x:c>
    </x:row>
    <x:row r="26" spans="1:11" ht="34.149999999999999" customHeight="1">
      <x:c r="A26" s="318" t="s">
        <x:v>140</x:v>
      </x:c>
      <x:c r="B26" s="281"/>
      <x:c r="C26" s="280"/>
      <x:c r="D26" s="281"/>
      <x:c r="E26" s="266"/>
      <x:c r="F26" s="321"/>
      <x:c r="G26" s="267"/>
      <x:c r="H26" s="107" t="s">
        <x:v>126</x:v>
      </x:c>
      <x:c r="I26" s="110">
        <x:f>I25/$E$25</x:f>
        <x:v>0.022733377186093556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275" t="s">
        <x:v>139</x:v>
      </x:c>
      <x:c r="B27" s="54" t="s">
        <x:v>42</x:v>
      </x:c>
      <x:c r="C27" s="262">
        <x:f>3300000/31</x:f>
        <x:v>106451.6129032258</x:v>
      </x:c>
      <x:c r="D27" s="263"/>
      <x:c r="E27" s="55" t="s">
        <x:v>146</x:v>
      </x:c>
      <x:c r="F27" s="266">
        <x:f>13000*5</x:f>
        <x:v>65000</x:v>
      </x:c>
      <x:c r="G27" s="267"/>
      <x:c r="H27" s="111" t="s">
        <x:v>116</x:v>
      </x:c>
      <x:c r="I27" s="112">
        <x:f>SUM(C27:D34,F27:G32)</x:f>
        <x:v>575322.58064516133</x:v>
      </x:c>
      <x:c r="M27" s="66"/>
    </x:row>
    <x:row r="28" spans="1:13" ht="30.949999999999999" customHeight="1">
      <x:c r="A28" s="276"/>
      <x:c r="B28" s="54"/>
      <x:c r="C28" s="262"/>
      <x:c r="D28" s="263"/>
      <x:c r="E28" s="55" t="s">
        <x:v>148</x:v>
      </x:c>
      <x:c r="F28" s="262">
        <x:f>1500000/31</x:f>
        <x:v>48387.096774193546</x:v>
      </x:c>
      <x:c r="G28" s="263"/>
      <x:c r="H28" s="111" t="s">
        <x:v>8</x:v>
      </x:c>
      <x:c r="I28" s="113">
        <x:f>I27/$A$25</x:f>
        <x:v>0.11684049160137314</x:v>
      </x:c>
      <x:c r="M28" s="66"/>
    </x:row>
    <x:row r="29" spans="1:13" ht="30.949999999999999" customHeight="1">
      <x:c r="A29" s="276"/>
      <x:c r="B29" s="54" t="s">
        <x:v>45</x:v>
      </x:c>
      <x:c r="C29" s="262">
        <x:f>3300000/31</x:f>
        <x:v>106451.6129032258</x:v>
      </x:c>
      <x:c r="D29" s="263"/>
      <x:c r="E29" s="55" t="s">
        <x:v>55</x:v>
      </x:c>
      <x:c r="F29" s="266"/>
      <x:c r="G29" s="267"/>
      <x:c r="H29" s="111" t="s">
        <x:v>31</x:v>
      </x:c>
      <x:c r="I29" s="112">
        <x:f>SUM('1:17'!$I$25)</x:f>
        <x:v>32725017</x:v>
      </x:c>
      <x:c r="M29" s="66"/>
    </x:row>
    <x:row r="30" spans="1:13" ht="30.949999999999999" customHeight="1">
      <x:c r="A30" s="276"/>
      <x:c r="B30" s="54"/>
      <x:c r="C30" s="319"/>
      <x:c r="D30" s="320"/>
      <x:c r="E30" s="55" t="s">
        <x:v>55</x:v>
      </x:c>
      <x:c r="F30" s="266"/>
      <x:c r="G30" s="267"/>
      <x:c r="H30" s="111" t="s">
        <x:v>126</x:v>
      </x:c>
      <x:c r="I30" s="113">
        <x:f>I29/$I$27</x:f>
        <x:v>56.881162153069802</x:v>
      </x:c>
      <x:c r="M30" s="66"/>
    </x:row>
    <x:row r="31" spans="1:7" customHeight="1">
      <x:c r="A31" s="276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120000</x:v>
      </x:c>
      <x:c r="G31" s="267"/>
    </x:row>
    <x:row r="32" spans="1:7" customHeight="1">
      <x:c r="A32" s="276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customHeight="1">
      <x:c r="A33" s="276"/>
      <x:c r="B33" s="54" t="s">
        <x:v>21</x:v>
      </x:c>
      <x:c r="C33" s="264"/>
      <x:c r="D33" s="265"/>
    </x:row>
    <x:row r="34" spans="1:4" customHeight="1">
      <x:c r="A34" s="277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51" firstPageNumber="1" fitToWidth="1" fitToHeight="1" orientation="portrait" usePrinterDefaults="1" blackAndWhite="0" draft="0" useFirstPageNumber="0" horizontalDpi="600" verticalDpi="60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O35"/>
  <x:sheetViews>
    <x:sheetView topLeftCell="A1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18</x:v>
      </x:c>
      <x:c r="G1" s="68" t="s">
        <x:v>60</x:v>
      </x:c>
      <x:c r="H1" s="52" t="s">
        <x:v>121</x:v>
      </x:c>
      <x:c r="I1" s="52">
        <x:f>F1-K1</x:f>
        <x:v>18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3827500</x:v>
      </x:c>
      <x:c r="D2" s="307"/>
      <x:c r="E2" s="309" t="s">
        <x:v>38</x:v>
      </x:c>
      <x:c r="F2" s="310"/>
      <x:c r="G2" s="299">
        <x:v>79100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3280000</x:v>
      </x:c>
      <x:c r="D4" s="268"/>
      <x:c r="E4" s="308" t="s">
        <x:v>144</x:v>
      </x:c>
      <x:c r="F4" s="308"/>
      <x:c r="G4" s="133">
        <x:f>INT(C4*0.0275)</x:f>
        <x:v>90200</x:v>
      </x:c>
      <x:c r="H4" s="54" t="s">
        <x:v>20</x:v>
      </x:c>
      <x:c r="I4" s="124">
        <x:f>254951+277476+43500+452000+221000+225108+248479+10</x:f>
        <x:v>1722524</x:v>
      </x:c>
      <x:c r="J4" s="80" t="s">
        <x:v>34</x:v>
      </x:c>
      <x:c r="K4" s="58">
        <x:f>63000+57000</x:f>
        <x:v>120000</x:v>
      </x:c>
    </x:row>
    <x:row r="5" spans="1:11" ht="30.949999999999999" customHeight="1">
      <x:c r="A5" s="301" t="s">
        <x:v>59</x:v>
      </x:c>
      <x:c r="B5" s="302"/>
      <x:c r="C5" s="268">
        <x:v>547500</x:v>
      </x:c>
      <x:c r="D5" s="268"/>
      <x:c r="E5" s="257" t="s">
        <x:v>68</x:v>
      </x:c>
      <x:c r="F5" s="257"/>
      <x:c r="G5" s="133">
        <x:f>INT(C5*0.01)</x:f>
        <x:v>5475</x:v>
      </x:c>
      <x:c r="H5" s="54" t="s">
        <x:v>6</x:v>
      </x:c>
      <x:c r="I5" s="124">
        <x:f>50000+69000+36000+12920+17760+10390+26675+59312</x:f>
        <x:v>282057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470000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>
        <x:f>226900-19300</x:f>
        <x:v>207600</x:v>
      </x:c>
      <x:c r="J7" s="81" t="s">
        <x:v>114</x:v>
      </x:c>
      <x:c r="K7" s="58">
        <x:v>12500</x:v>
      </x:c>
    </x:row>
    <x:row r="8" spans="1:11" ht="21.949999999999999" customHeight="1">
      <x:c r="A8" s="260" t="s">
        <x:v>132</x:v>
      </x:c>
      <x:c r="B8" s="257"/>
      <x:c r="C8" s="268">
        <x:v>156600</x:v>
      </x:c>
      <x:c r="D8" s="268"/>
      <x:c r="E8" s="253" t="s">
        <x:v>108</x:v>
      </x:c>
      <x:c r="F8" s="254"/>
      <x:c r="G8" s="287">
        <x:f>C5+G2-G6-C22</x:f>
        <x:v>156600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/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/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7</x:v>
      </x:c>
      <x:c r="D12" s="253" t="s">
        <x:v>131</x:v>
      </x:c>
      <x:c r="E12" s="254"/>
      <x:c r="F12" s="280">
        <x:v>2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SUM('1:18'!$C$12)</x:f>
        <x:v>126</x:v>
      </x:c>
      <x:c r="D13" s="255"/>
      <x:c r="E13" s="256"/>
      <x:c r="F13" s="285">
        <x:f>SUM('1:18'!$F$12)</x:f>
        <x:v>125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18</x:v>
      </x:c>
      <x:c r="D14" s="253" t="s">
        <x:v>93</x:v>
      </x:c>
      <x:c r="E14" s="254"/>
      <x:c r="F14" s="280">
        <x:v>13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SUM('1:18'!$C$14)</x:f>
        <x:v>400</x:v>
      </x:c>
      <x:c r="D15" s="255"/>
      <x:c r="E15" s="256"/>
      <x:c r="F15" s="285">
        <x:f>SUM('1:18'!$F$14)</x:f>
        <x:v>197</x:v>
      </x:c>
      <x:c r="G15" s="286"/>
      <x:c r="H15" s="54" t="s">
        <x:v>104</x:v>
      </x:c>
      <x:c r="I15" s="58">
        <x:f>7500+34000+20000+19200+5500+7800+6200+21000+7200+11800</x:f>
        <x:v>140200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3</x:v>
      </x:c>
      <x:c r="D16" s="253" t="s">
        <x:v>115</x:v>
      </x:c>
      <x:c r="E16" s="254"/>
      <x:c r="F16" s="261">
        <x:v>7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SUM('1:18'!$C$16)</x:f>
        <x:v>94</x:v>
      </x:c>
      <x:c r="D17" s="255"/>
      <x:c r="E17" s="256"/>
      <x:c r="F17" s="252">
        <x:f>SUM('1:18'!$F$16)</x:f>
        <x:v>146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10</x:v>
      </x:c>
      <x:c r="D18" s="253" t="s">
        <x:v>128</x:v>
      </x:c>
      <x:c r="E18" s="254"/>
      <x:c r="F18" s="289">
        <x:v>6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SUM('1:18'!$C$18)</x:f>
        <x:v>238</x:v>
      </x:c>
      <x:c r="D19" s="255"/>
      <x:c r="E19" s="256"/>
      <x:c r="F19" s="252">
        <x:f>SUM('1:18'!$F$18)</x:f>
        <x:v>84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53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SUM('1:18'!$F$20)</x:f>
        <x:v>1164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2352381</x:v>
      </x:c>
      <x:c r="J23" s="61" t="s">
        <x:v>117</x:v>
      </x:c>
      <x:c r="K23" s="62">
        <x:f>SUM(K4:K22)</x:f>
        <x:v>132500</x:v>
      </x:c>
      <x:c r="M23" s="88" t="s">
        <x:v>91</x:v>
      </x:c>
      <x:c r="N23" s="282">
        <x:f>C5+C6</x:f>
        <x:v>547500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0.61459986936642719</x:v>
      </x:c>
      <x:c r="J24" s="61" t="s">
        <x:v>8</x:v>
      </x:c>
      <x:c r="K24" s="63">
        <x:f>K23/A25</x:f>
        <x:v>0.034617896799477466</x:v>
      </x:c>
    </x:row>
    <x:row r="25" spans="1:11" ht="34.149999999999999" customHeight="1">
      <x:c r="A25" s="278">
        <x:f>C2</x:f>
        <x:v>3827500</x:v>
      </x:c>
      <x:c r="B25" s="270"/>
      <x:c r="C25" s="270">
        <x:f>E25/I1</x:f>
        <x:v>4916933.333333333</x:v>
      </x:c>
      <x:c r="D25" s="270"/>
      <x:c r="E25" s="270">
        <x:f>SUM('1:18'!$A$25)</x:f>
        <x:v>88504800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SUM('1:18'!$K$21)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0.021750244054559751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13000*4.5</x:f>
        <x:v>58500</x:v>
      </x:c>
      <x:c r="G27" s="268"/>
      <x:c r="H27" s="111" t="s">
        <x:v>116</x:v>
      </x:c>
      <x:c r="I27" s="112">
        <x:f>SUM(C27:D34,F27:G32)</x:f>
        <x:v>614322.58064516133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0.16050230715745561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SUM('1:18'!$I$25)</x:f>
        <x:v>34650018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56.403620982986766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120000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customHeight="1">
      <x:c r="A33" s="313"/>
      <x:c r="B33" s="54" t="s">
        <x:v>21</x:v>
      </x:c>
      <x:c r="C33" s="264">
        <x:f>13000*3.5</x:f>
        <x:v>45500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  <x:row r="35" spans="2:4" customHeight="1">
      <x:c r="B35" s="54"/>
      <x:c r="C35" s="266"/>
      <x:c r="D35" s="267"/>
    </x:row>
  </x:sheetData>
  <x:mergeCells count="75"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C35:D35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A1:O36"/>
  <x:sheetViews>
    <x:sheetView topLeftCell="A25" zoomScale="85" zoomScaleNormal="85" zoomScaleSheetLayoutView="75" workbookViewId="0">
      <x:selection activeCell="B34" activeCellId="0" sqref="B34:B34"/>
    </x:sheetView>
  </x:sheetViews>
  <x:sheetFormatPr defaultColWidth="8.625" defaultRowHeight="13.5"/>
  <x:cols>
    <x:col min="1" max="1" width="8.625" style="53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ht="30" customHeight="1">
      <x:c r="A1" s="51"/>
      <x:c r="B1" s="51"/>
      <x:c r="C1" s="68" t="s">
        <x:v>123</x:v>
      </x:c>
      <x:c r="D1" s="68"/>
      <x:c r="E1" s="68" t="s">
        <x:v>158</x:v>
      </x:c>
      <x:c r="F1" s="68">
        <x:v>19</x:v>
      </x:c>
      <x:c r="G1" s="68" t="s">
        <x:v>26</x:v>
      </x:c>
      <x:c r="H1" s="52" t="s">
        <x:v>121</x:v>
      </x:c>
      <x:c r="I1" s="52">
        <x:f>F1-K1</x:f>
        <x:v>19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4270000</x:v>
      </x:c>
      <x:c r="D2" s="307"/>
      <x:c r="E2" s="309" t="s">
        <x:v>38</x:v>
      </x:c>
      <x:c r="F2" s="310"/>
      <x:c r="G2" s="299">
        <x:v>156600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3446000</x:v>
      </x:c>
      <x:c r="D4" s="268"/>
      <x:c r="E4" s="308" t="s">
        <x:v>144</x:v>
      </x:c>
      <x:c r="F4" s="308"/>
      <x:c r="G4" s="133">
        <x:f>INT(C4*0.0275)</x:f>
        <x:v>94765</x:v>
      </x:c>
      <x:c r="H4" s="54" t="s">
        <x:v>20</x:v>
      </x:c>
      <x:c r="I4" s="124">
        <x:f>554343+545216+452000+221000+458328</x:f>
        <x:v>2230887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824000</x:v>
      </x:c>
      <x:c r="D5" s="268"/>
      <x:c r="E5" s="257" t="s">
        <x:v>68</x:v>
      </x:c>
      <x:c r="F5" s="257"/>
      <x:c r="G5" s="133">
        <x:f>INT(C5*0.01)</x:f>
        <x:v>8240</x:v>
      </x:c>
      <x:c r="H5" s="54" t="s">
        <x:v>6</x:v>
      </x:c>
      <x:c r="I5" s="124">
        <x:f>50000+69000+36000+60500+3100+25840+30160+17760+26675+39490+59312+44000</x:f>
        <x:v>461837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900000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80600</x:v>
      </x:c>
      <x:c r="D8" s="268"/>
      <x:c r="E8" s="253" t="s">
        <x:v>108</x:v>
      </x:c>
      <x:c r="F8" s="254"/>
      <x:c r="G8" s="287">
        <x:f>C5+G2-G6-C22</x:f>
        <x:v>80600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f>54000+60000</x:f>
        <x:v>114000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 t="s">
        <x:v>162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4</x:v>
      </x:c>
      <x:c r="D12" s="253" t="s">
        <x:v>131</x:v>
      </x:c>
      <x:c r="E12" s="254"/>
      <x:c r="F12" s="280">
        <x:v>4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SUM('1:19'!$C$12)</x:f>
        <x:v>130</x:v>
      </x:c>
      <x:c r="D13" s="255"/>
      <x:c r="E13" s="256"/>
      <x:c r="F13" s="285">
        <x:f>SUM('1:19'!$F$12)</x:f>
        <x:v>129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16</x:v>
      </x:c>
      <x:c r="D14" s="253" t="s">
        <x:v>93</x:v>
      </x:c>
      <x:c r="E14" s="254"/>
      <x:c r="F14" s="280">
        <x:v>10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SUM('1:19'!$C$14)</x:f>
        <x:v>416</x:v>
      </x:c>
      <x:c r="D15" s="255"/>
      <x:c r="E15" s="256"/>
      <x:c r="F15" s="285">
        <x:f>SUM('1:19'!$F$14)</x:f>
        <x:v>207</x:v>
      </x:c>
      <x:c r="G15" s="286"/>
      <x:c r="H15" s="54" t="s">
        <x:v>104</x:v>
      </x:c>
      <x:c r="I15" s="58">
        <x:f>13600+5500+5900+52000+3500+4600</x:f>
        <x:v>85100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3</x:v>
      </x:c>
      <x:c r="D16" s="253" t="s">
        <x:v>115</x:v>
      </x:c>
      <x:c r="E16" s="254"/>
      <x:c r="F16" s="261">
        <x:v>10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SUM('1:19'!$C$16)</x:f>
        <x:v>97</x:v>
      </x:c>
      <x:c r="D17" s="255"/>
      <x:c r="E17" s="256"/>
      <x:c r="F17" s="252">
        <x:f>SUM('1:19'!$F$16)</x:f>
        <x:v>156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26</x:v>
      </x:c>
      <x:c r="D18" s="253" t="s">
        <x:v>128</x:v>
      </x:c>
      <x:c r="E18" s="254"/>
      <x:c r="F18" s="289">
        <x:v>4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SUM('1:19'!$C$18)</x:f>
        <x:v>264</x:v>
      </x:c>
      <x:c r="D19" s="255"/>
      <x:c r="E19" s="256"/>
      <x:c r="F19" s="252">
        <x:f>SUM('1:19'!$F$18)</x:f>
        <x:v>88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60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SUM('1:19'!$F$20)</x:f>
        <x:v>1224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2842824</x:v>
      </x:c>
      <x:c r="J23" s="61" t="s">
        <x:v>117</x:v>
      </x:c>
      <x:c r="K23" s="62">
        <x:f>SUM(K4:K22)</x:f>
        <x:v>0</x:v>
      </x:c>
      <x:c r="M23" s="88" t="s">
        <x:v>91</x:v>
      </x:c>
      <x:c r="N23" s="282">
        <x:f>C5+C6</x:f>
        <x:v>824000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0.66576674473067921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78">
        <x:f>C2</x:f>
        <x:v>4270000</x:v>
      </x:c>
      <x:c r="B25" s="270"/>
      <x:c r="C25" s="270">
        <x:f>E25/I1</x:f>
        <x:v>4882884.2105263155</x:v>
      </x:c>
      <x:c r="D25" s="270"/>
      <x:c r="E25" s="270">
        <x:f>SUM('1:19'!$A$25)</x:f>
        <x:v>92774800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SUM('1:18'!$K$21)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0.020749179734151947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13000*5</x:f>
        <x:v>65000</x:v>
      </x:c>
      <x:c r="G27" s="268"/>
      <x:c r="H27" s="111" t="s">
        <x:v>116</x:v>
      </x:c>
      <x:c r="I27" s="112">
        <x:f>SUM(C27:D34,F27:G32)</x:f>
        <x:v>627322.58064516133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0.14691395331268414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SUM('1:18'!$I$25)</x:f>
        <x:v>34650018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55.23476927032447</x:v>
      </x:c>
      <x:c r="M30" s="66"/>
    </x:row>
    <x:row r="31" spans="1:7" ht="30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120000</x:v>
      </x:c>
      <x:c r="G31" s="267"/>
    </x:row>
    <x:row r="32" spans="1:7" ht="30" customHeight="1">
      <x:c r="A32" s="313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ht="30" customHeight="1">
      <x:c r="A33" s="313"/>
      <x:c r="B33" s="54" t="s">
        <x:v>21</x:v>
      </x:c>
      <x:c r="C33" s="264">
        <x:f>13000*4</x:f>
        <x:v>52000</x:v>
      </x:c>
      <x:c r="D33" s="265"/>
    </x:row>
    <x:row r="34" spans="1:4" ht="30" customHeight="1">
      <x:c r="A34" s="314"/>
      <x:c r="B34" s="54" t="s">
        <x:v>55</x:v>
      </x:c>
      <x:c r="C34" s="266"/>
      <x:c r="D34" s="267"/>
    </x:row>
    <x:row r="35" spans="2:4">
      <x:c r="B35" s="258"/>
      <x:c r="C35" s="271"/>
      <x:c r="D35" s="272"/>
    </x:row>
    <x:row r="36" spans="2:4">
      <x:c r="B36" s="259"/>
      <x:c r="C36" s="273"/>
      <x:c r="D36" s="274"/>
    </x:row>
  </x:sheetData>
  <x:mergeCells count="76">
    <x:mergeCell ref="B35:B36"/>
    <x:mergeCell ref="C35:D3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F16:G16"/>
    <x:mergeCell ref="F17:G17"/>
    <x:mergeCell ref="F18:G18"/>
    <x:mergeCell ref="F19:G19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O34"/>
  <x:sheetViews>
    <x:sheetView topLeftCell="A16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20</x:v>
      </x:c>
      <x:c r="G1" s="68" t="s">
        <x:v>48</x:v>
      </x:c>
      <x:c r="H1" s="52" t="s">
        <x:v>121</x:v>
      </x:c>
      <x:c r="I1" s="52">
        <x:f>F1-K1</x:f>
        <x:v>20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5755500</x:v>
      </x:c>
      <x:c r="D2" s="307"/>
      <x:c r="E2" s="309" t="s">
        <x:v>38</x:v>
      </x:c>
      <x:c r="F2" s="310"/>
      <x:c r="G2" s="299">
        <x:v>80600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5083500</x:v>
      </x:c>
      <x:c r="D4" s="268"/>
      <x:c r="E4" s="308" t="s">
        <x:v>144</x:v>
      </x:c>
      <x:c r="F4" s="308"/>
      <x:c r="G4" s="133">
        <x:f>INT(C4*0.0275)</x:f>
        <x:v>139796</x:v>
      </x:c>
      <x:c r="H4" s="54" t="s">
        <x:v>20</x:v>
      </x:c>
      <x:c r="I4" s="124">
        <x:f>290036+313986+56220+439200+452000+221000+486720+183939+10</x:f>
        <x:v>2443111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672000</x:v>
      </x:c>
      <x:c r="D5" s="268"/>
      <x:c r="E5" s="257" t="s">
        <x:v>68</x:v>
      </x:c>
      <x:c r="F5" s="257"/>
      <x:c r="G5" s="133">
        <x:f>INT(C5*0.01)</x:f>
        <x:v>6720</x:v>
      </x:c>
      <x:c r="H5" s="54" t="s">
        <x:v>6</x:v>
      </x:c>
      <x:c r="I5" s="124">
        <x:f>50000+34500+36000+33440+6460+25840+39380</x:f>
        <x:v>225620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600000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152600</x:v>
      </x:c>
      <x:c r="D8" s="268"/>
      <x:c r="E8" s="253" t="s">
        <x:v>108</x:v>
      </x:c>
      <x:c r="F8" s="254"/>
      <x:c r="G8" s="287">
        <x:f>C5+G2-G6-C22</x:f>
        <x:v>152600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/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/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4</x:v>
      </x:c>
      <x:c r="D12" s="253" t="s">
        <x:v>131</x:v>
      </x:c>
      <x:c r="E12" s="254"/>
      <x:c r="F12" s="280">
        <x:v>2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SUM('1:20'!$C$12)</x:f>
        <x:v>134</x:v>
      </x:c>
      <x:c r="D13" s="255"/>
      <x:c r="E13" s="256"/>
      <x:c r="F13" s="285">
        <x:f>SUM('1:20'!$F$12)</x:f>
        <x:v>131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7</x:v>
      </x:c>
      <x:c r="D14" s="253" t="s">
        <x:v>93</x:v>
      </x:c>
      <x:c r="E14" s="254"/>
      <x:c r="F14" s="280">
        <x:v>17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SUM('1:20'!$C$14)</x:f>
        <x:v>423</x:v>
      </x:c>
      <x:c r="D15" s="255"/>
      <x:c r="E15" s="256"/>
      <x:c r="F15" s="285">
        <x:f>SUM('1:20'!$F$14)</x:f>
        <x:v>224</x:v>
      </x:c>
      <x:c r="G15" s="286"/>
      <x:c r="H15" s="54" t="s">
        <x:v>104</x:v>
      </x:c>
      <x:c r="I15" s="58">
        <x:f>27200+11800+6200+4500+3500+4200+5500+7500+14500+3360+17600</x:f>
        <x:v>105860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5</x:v>
      </x:c>
      <x:c r="D16" s="253" t="s">
        <x:v>115</x:v>
      </x:c>
      <x:c r="E16" s="254"/>
      <x:c r="F16" s="261">
        <x:v>14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SUM('1:20'!$C$16)</x:f>
        <x:v>102</x:v>
      </x:c>
      <x:c r="D17" s="255"/>
      <x:c r="E17" s="256"/>
      <x:c r="F17" s="252">
        <x:f>SUM('1:20'!$F$16)</x:f>
        <x:v>170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19</x:v>
      </x:c>
      <x:c r="D18" s="253" t="s">
        <x:v>128</x:v>
      </x:c>
      <x:c r="E18" s="254"/>
      <x:c r="F18" s="289">
        <x:v>5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SUM('1:20'!$C$18)</x:f>
        <x:v>283</x:v>
      </x:c>
      <x:c r="D19" s="255"/>
      <x:c r="E19" s="256"/>
      <x:c r="F19" s="252">
        <x:f>SUM('1:20'!$F$18)</x:f>
        <x:v>93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58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SUM('1:20'!$F$20)</x:f>
        <x:v>1282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2774591</x:v>
      </x:c>
      <x:c r="J23" s="61" t="s">
        <x:v>117</x:v>
      </x:c>
      <x:c r="K23" s="62">
        <x:f>SUM(K4:K22)</x:f>
        <x:v>0</x:v>
      </x:c>
      <x:c r="M23" s="88" t="s">
        <x:v>91</x:v>
      </x:c>
      <x:c r="N23" s="282">
        <x:f>C5+C6</x:f>
        <x:v>672000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0.48207644861436888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78">
        <x:f>C2</x:f>
        <x:v>5755500</x:v>
      </x:c>
      <x:c r="B25" s="270"/>
      <x:c r="C25" s="270">
        <x:f>E25/I1</x:f>
        <x:v>4926515</x:v>
      </x:c>
      <x:c r="D25" s="270"/>
      <x:c r="E25" s="270">
        <x:f>SUM('1:20'!$A$25)</x:f>
        <x:v>98530300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SUM('1:20'!$K$21)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0.01953714745616323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13000*5</x:f>
        <x:v>65000</x:v>
      </x:c>
      <x:c r="G27" s="268"/>
      <x:c r="H27" s="111" t="s">
        <x:v>116</x:v>
      </x:c>
      <x:c r="I27" s="112">
        <x:f>SUM(C27:D34,F27:G32)</x:f>
        <x:v>627322.58064516133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0.10899532284687018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SUM('1:20'!$I$25)</x:f>
        <x:v>38500020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61.371965855916073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120000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customHeight="1">
      <x:c r="A33" s="313"/>
      <x:c r="B33" s="54" t="s">
        <x:v>21</x:v>
      </x:c>
      <x:c r="C33" s="264">
        <x:f>13000*4</x:f>
        <x:v>52000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1:O34"/>
  <x:sheetViews>
    <x:sheetView topLeftCell="A15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21</x:v>
      </x:c>
      <x:c r="G1" s="68" t="s">
        <x:v>27</x:v>
      </x:c>
      <x:c r="H1" s="52" t="s">
        <x:v>121</x:v>
      </x:c>
      <x:c r="I1" s="52">
        <x:f>F1-K1</x:f>
        <x:v>21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5110500</x:v>
      </x:c>
      <x:c r="D2" s="307"/>
      <x:c r="E2" s="309" t="s">
        <x:v>38</x:v>
      </x:c>
      <x:c r="F2" s="310"/>
      <x:c r="G2" s="299">
        <x:v>152600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4538500</x:v>
      </x:c>
      <x:c r="D4" s="268"/>
      <x:c r="E4" s="308" t="s">
        <x:v>144</x:v>
      </x:c>
      <x:c r="F4" s="308"/>
      <x:c r="G4" s="133">
        <x:f>INT(C4*0.0275)</x:f>
        <x:v>124808</x:v>
      </x:c>
      <x:c r="H4" s="54" t="s">
        <x:v>20</x:v>
      </x:c>
      <x:c r="I4" s="124">
        <x:f>237276+221000+180712</x:f>
        <x:v>638988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572000</x:v>
      </x:c>
      <x:c r="D5" s="268"/>
      <x:c r="E5" s="257" t="s">
        <x:v>68</x:v>
      </x:c>
      <x:c r="F5" s="257"/>
      <x:c r="G5" s="133">
        <x:f>INT(C5*0.01)</x:f>
        <x:v>5720</x:v>
      </x:c>
      <x:c r="H5" s="54" t="s">
        <x:v>6</x:v>
      </x:c>
      <x:c r="I5" s="124">
        <x:f>50000+69000+36000+39380</x:f>
        <x:v>194380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650000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74600</x:v>
      </x:c>
      <x:c r="D8" s="268"/>
      <x:c r="E8" s="253" t="s">
        <x:v>108</x:v>
      </x:c>
      <x:c r="F8" s="254"/>
      <x:c r="G8" s="287">
        <x:f>C5+G2-G6-C22</x:f>
        <x:v>74600</x:v>
      </x:c>
      <x:c r="H8" s="54" t="s">
        <x:v>43</x:v>
      </x:c>
      <x:c r="I8" s="124">
        <x:v>130000</x:v>
      </x:c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/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/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14</x:v>
      </x:c>
      <x:c r="D12" s="253" t="s">
        <x:v>131</x:v>
      </x:c>
      <x:c r="E12" s="254"/>
      <x:c r="F12" s="280">
        <x:v>4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SUM('1:21'!$C$12)</x:f>
        <x:v>148</x:v>
      </x:c>
      <x:c r="D13" s="255"/>
      <x:c r="E13" s="256"/>
      <x:c r="F13" s="285">
        <x:f>SUM('1:21'!$F$12)</x:f>
        <x:v>135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40</x:v>
      </x:c>
      <x:c r="D14" s="253" t="s">
        <x:v>93</x:v>
      </x:c>
      <x:c r="E14" s="254"/>
      <x:c r="F14" s="280">
        <x:v>12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SUM('1:21'!$C$14)</x:f>
        <x:v>463</x:v>
      </x:c>
      <x:c r="D15" s="255"/>
      <x:c r="E15" s="256"/>
      <x:c r="F15" s="285">
        <x:f>SUM('1:21'!$F$14)</x:f>
        <x:v>236</x:v>
      </x:c>
      <x:c r="G15" s="286"/>
      <x:c r="H15" s="54" t="s">
        <x:v>104</x:v>
      </x:c>
      <x:c r="I15" s="58">
        <x:f>9800+54400+11800+9600+5500+8700+10500</x:f>
        <x:v>110300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4</x:v>
      </x:c>
      <x:c r="D16" s="253" t="s">
        <x:v>115</x:v>
      </x:c>
      <x:c r="E16" s="254"/>
      <x:c r="F16" s="261">
        <x:v>2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SUM('1:21'!$C$16)</x:f>
        <x:v>106</x:v>
      </x:c>
      <x:c r="D17" s="255"/>
      <x:c r="E17" s="256"/>
      <x:c r="F17" s="252">
        <x:f>SUM('1:21'!$F$16)</x:f>
        <x:v>172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11</x:v>
      </x:c>
      <x:c r="D18" s="253" t="s">
        <x:v>128</x:v>
      </x:c>
      <x:c r="E18" s="254"/>
      <x:c r="F18" s="289">
        <x:v>5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SUM('1:21'!$C$18)</x:f>
        <x:v>294</x:v>
      </x:c>
      <x:c r="D19" s="255"/>
      <x:c r="E19" s="256"/>
      <x:c r="F19" s="252">
        <x:f>SUM('1:21'!$F$18)</x:f>
        <x:v>98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72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SUM('1:21'!$F$20)</x:f>
        <x:v>1354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1073668</x:v>
      </x:c>
      <x:c r="J23" s="61" t="s">
        <x:v>117</x:v>
      </x:c>
      <x:c r="K23" s="62">
        <x:f>SUM(K4:K22)</x:f>
        <x:v>0</x:v>
      </x:c>
      <x:c r="M23" s="88" t="s">
        <x:v>91</x:v>
      </x:c>
      <x:c r="N23" s="282">
        <x:f>C5+C6</x:f>
        <x:v>572000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0.21009059778886607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78">
        <x:f>C2</x:f>
        <x:v>5110500</x:v>
      </x:c>
      <x:c r="B25" s="270"/>
      <x:c r="C25" s="270">
        <x:f>E25/I1</x:f>
        <x:v>4935276.1904761903</x:v>
      </x:c>
      <x:c r="D25" s="270"/>
      <x:c r="E25" s="270">
        <x:f>SUM('1:21'!$A$25)</x:f>
        <x:v>103640800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SUM('1:21'!$K$21)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0.018573775964678005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13000*5</x:f>
        <x:v>65000</x:v>
      </x:c>
      <x:c r="G27" s="268"/>
      <x:c r="H27" s="111" t="s">
        <x:v>116</x:v>
      </x:c>
      <x:c r="I27" s="112">
        <x:f>SUM(C27:D34,F27:G32)</x:f>
        <x:v>640322.58064516133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0.1252954858908446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SUM('1:21'!$I$25)</x:f>
        <x:v>40425021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>
        <x:f>13000*5</x:f>
        <x:v>65000</x:v>
      </x:c>
      <x:c r="G30" s="267"/>
      <x:c r="H30" s="111" t="s">
        <x:v>126</x:v>
      </x:c>
      <x:c r="I30" s="113">
        <x:f>I29/$I$27</x:f>
        <x:v>63.132274609571787</x:v>
      </x:c>
      <x:c r="M30" s="66"/>
    </x:row>
    <x:row r="31" spans="1:7" customHeight="1">
      <x:c r="A31" s="313"/>
      <x:c r="B31" s="54" t="s">
        <x:v>39</x:v>
      </x:c>
      <x:c r="C31" s="270">
        <x:f>4000000/31</x:f>
        <x:v>129032.25806451614</x:v>
      </x:c>
      <x:c r="D31" s="270"/>
      <x:c r="E31" s="55" t="s">
        <x:v>4</x:v>
      </x:c>
      <x:c r="F31" s="266">
        <x:v>120000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customHeight="1">
      <x:c r="A33" s="313"/>
      <x:c r="B33" s="54" t="s">
        <x:v>21</x:v>
      </x:c>
      <x:c r="C33" s="264"/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G8:G9"/>
    <x:mergeCell ref="A4:B4"/>
    <x:mergeCell ref="C4:D4"/>
    <x:mergeCell ref="E4:F4"/>
    <x:mergeCell ref="A2:B3"/>
    <x:mergeCell ref="C2:D3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F32:G32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C33:D3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A1:O34"/>
  <x:sheetViews>
    <x:sheetView topLeftCell="B21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22</x:v>
      </x:c>
      <x:c r="G1" s="68" t="s">
        <x:v>18</x:v>
      </x:c>
      <x:c r="H1" s="52" t="s">
        <x:v>121</x:v>
      </x:c>
      <x:c r="I1" s="52">
        <x:f>F1-K1</x:f>
        <x:v>22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4437000</x:v>
      </x:c>
      <x:c r="D2" s="307"/>
      <x:c r="E2" s="309" t="s">
        <x:v>38</x:v>
      </x:c>
      <x:c r="F2" s="310"/>
      <x:c r="G2" s="299">
        <x:v>74600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3967000</x:v>
      </x:c>
      <x:c r="D4" s="268"/>
      <x:c r="E4" s="308" t="s">
        <x:v>144</x:v>
      </x:c>
      <x:c r="F4" s="308"/>
      <x:c r="G4" s="133">
        <x:f>INT(C4*0.0275)</x:f>
        <x:v>109092</x:v>
      </x:c>
      <x:c r="H4" s="54" t="s">
        <x:v>20</x:v>
      </x:c>
      <x:c r="I4" s="124">
        <x:f>287212+452000+229164+221000+177485</x:f>
        <x:v>1366861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470000</x:v>
      </x:c>
      <x:c r="D5" s="268"/>
      <x:c r="E5" s="257" t="s">
        <x:v>68</x:v>
      </x:c>
      <x:c r="F5" s="257"/>
      <x:c r="G5" s="133">
        <x:f>INT(C5*0.01)</x:f>
        <x:v>4700</x:v>
      </x:c>
      <x:c r="H5" s="54" t="s">
        <x:v>6</x:v>
      </x:c>
      <x:c r="I5" s="124"/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450000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94600</x:v>
      </x:c>
      <x:c r="D8" s="268"/>
      <x:c r="E8" s="253" t="s">
        <x:v>108</x:v>
      </x:c>
      <x:c r="F8" s="254"/>
      <x:c r="G8" s="287">
        <x:f>C5+G2-G6-C22</x:f>
        <x:v>94600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v>58000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 t="s">
        <x:v>161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7</x:v>
      </x:c>
      <x:c r="D12" s="253" t="s">
        <x:v>131</x:v>
      </x:c>
      <x:c r="E12" s="254"/>
      <x:c r="F12" s="280">
        <x:v>6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SUM('1:22'!$C$12)</x:f>
        <x:v>155</x:v>
      </x:c>
      <x:c r="D13" s="255"/>
      <x:c r="E13" s="256"/>
      <x:c r="F13" s="285">
        <x:f>SUM('1:22'!$F$12)</x:f>
        <x:v>141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28</x:v>
      </x:c>
      <x:c r="D14" s="253" t="s">
        <x:v>93</x:v>
      </x:c>
      <x:c r="E14" s="254"/>
      <x:c r="F14" s="280">
        <x:v>6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SUM('1:22'!$C$14)</x:f>
        <x:v>491</x:v>
      </x:c>
      <x:c r="D15" s="255"/>
      <x:c r="E15" s="256"/>
      <x:c r="F15" s="285">
        <x:f>SUM('1:22'!$F$14)</x:f>
        <x:v>242</x:v>
      </x:c>
      <x:c r="G15" s="286"/>
      <x:c r="H15" s="54" t="s">
        <x:v>104</x:v>
      </x:c>
      <x:c r="I15" s="58">
        <x:f>44000+14700+54400+7200+11000+15500+5500+26400+27000+28000</x:f>
        <x:v>233700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9</x:v>
      </x:c>
      <x:c r="D16" s="253" t="s">
        <x:v>115</x:v>
      </x:c>
      <x:c r="E16" s="254"/>
      <x:c r="F16" s="261">
        <x:v>8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SUM('1:22'!$C$16)</x:f>
        <x:v>115</x:v>
      </x:c>
      <x:c r="D17" s="255"/>
      <x:c r="E17" s="256"/>
      <x:c r="F17" s="252">
        <x:f>SUM('1:22'!$F$16)</x:f>
        <x:v>180</x:v>
      </x:c>
      <x:c r="G17" s="252"/>
      <x:c r="H17" s="54" t="s">
        <x:v>7</x:v>
      </x:c>
      <x:c r="I17" s="58"/>
      <x:c r="J17" s="54" t="s">
        <x:v>88</x:v>
      </x:c>
      <x:c r="K17" s="58">
        <x:v>2800</x:v>
      </x:c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19</x:v>
      </x:c>
      <x:c r="D18" s="253" t="s">
        <x:v>128</x:v>
      </x:c>
      <x:c r="E18" s="254"/>
      <x:c r="F18" s="289">
        <x:v>7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SUM('1:22'!$C$18)</x:f>
        <x:v>313</x:v>
      </x:c>
      <x:c r="D19" s="255"/>
      <x:c r="E19" s="256"/>
      <x:c r="F19" s="252">
        <x:f>SUM('1:22'!$F$18)</x:f>
        <x:v>105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52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SUM('1:22'!$F$20)</x:f>
        <x:v>1406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1600561</x:v>
      </x:c>
      <x:c r="J23" s="61" t="s">
        <x:v>117</x:v>
      </x:c>
      <x:c r="K23" s="62">
        <x:f>SUM(K4:K22)</x:f>
        <x:v>2800</x:v>
      </x:c>
      <x:c r="M23" s="88" t="s">
        <x:v>91</x:v>
      </x:c>
      <x:c r="N23" s="282">
        <x:f>C5+C6</x:f>
        <x:v>470000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0.36073044850123959</x:v>
      </x:c>
      <x:c r="J24" s="61" t="s">
        <x:v>8</x:v>
      </x:c>
      <x:c r="K24" s="63">
        <x:f>K23/A25</x:f>
        <x:v>0.00063105702050935319</x:v>
      </x:c>
    </x:row>
    <x:row r="25" spans="1:11" ht="34.149999999999999" customHeight="1">
      <x:c r="A25" s="278">
        <x:f>C2</x:f>
        <x:v>4437000</x:v>
      </x:c>
      <x:c r="B25" s="270"/>
      <x:c r="C25" s="270">
        <x:f>E25/I1</x:f>
        <x:v>4912627.2727272725</x:v>
      </x:c>
      <x:c r="D25" s="270"/>
      <x:c r="E25" s="270">
        <x:f>SUM('1:22'!$A$25)</x:f>
        <x:v>108077800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SUM('1:22'!$K$21)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0.017811252634676131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/>
      <x:c r="G27" s="268"/>
      <x:c r="H27" s="111" t="s">
        <x:v>116</x:v>
      </x:c>
      <x:c r="I27" s="112">
        <x:f>SUM(C27:D34,F27:G32)</x:f>
        <x:v>797522.58064516133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0.17974365126102351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SUM('1:22'!$I$25)</x:f>
        <x:v>42350022</x:v>
      </x:c>
      <x:c r="M29" s="66"/>
    </x:row>
    <x:row r="30" spans="1:13" ht="30.949999999999999" customHeight="1">
      <x:c r="A30" s="313"/>
      <x:c r="B30" s="55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53.101972317499353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130000</x:v>
      </x:c>
      <x:c r="G31" s="267"/>
    </x:row>
    <x:row r="32" spans="1:7" customHeight="1">
      <x:c r="A32" s="313"/>
      <x:c r="B32" s="54" t="s">
        <x:v>55</x:v>
      </x:c>
      <x:c r="C32" s="264">
        <x:f>11700*6</x:f>
        <x:v>70200</x:v>
      </x:c>
      <x:c r="D32" s="265"/>
      <x:c r="E32" s="55" t="s">
        <x:v>136</x:v>
      </x:c>
      <x:c r="F32" s="266">
        <x:v>77000</x:v>
      </x:c>
      <x:c r="G32" s="267"/>
    </x:row>
    <x:row r="33" spans="1:4" customHeight="1">
      <x:c r="A33" s="313"/>
      <x:c r="B33" s="54" t="s">
        <x:v>21</x:v>
      </x:c>
      <x:c r="C33" s="264">
        <x:f>13000*10</x:f>
        <x:v>130000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J2:K2"/>
    <x:mergeCell ref="H2:I2"/>
    <x:mergeCell ref="A27:A34"/>
    <x:mergeCell ref="C32:D32"/>
    <x:mergeCell ref="C33:D33"/>
    <x:mergeCell ref="C34:D34"/>
    <x:mergeCell ref="C31:D31"/>
    <x:mergeCell ref="F31:G31"/>
    <x:mergeCell ref="D20:E20"/>
    <x:mergeCell ref="F20:G20"/>
    <x:mergeCell ref="D21:E21"/>
    <x:mergeCell ref="F21:G21"/>
    <x:mergeCell ref="C28:D28"/>
    <x:mergeCell ref="F28:G28"/>
    <x:mergeCell ref="F30:G30"/>
    <x:mergeCell ref="N23:O23"/>
    <x:mergeCell ref="G6:G7"/>
    <x:mergeCell ref="G8:G9"/>
    <x:mergeCell ref="C26:D26"/>
    <x:mergeCell ref="E26:G26"/>
    <x:mergeCell ref="F13:G13"/>
    <x:mergeCell ref="F18:G18"/>
    <x:mergeCell ref="F19:G19"/>
    <x:mergeCell ref="A5:B5"/>
    <x:mergeCell ref="C5:D5"/>
    <x:mergeCell ref="E5:F5"/>
    <x:mergeCell ref="E2:F3"/>
    <x:mergeCell ref="G2:G3"/>
    <x:mergeCell ref="A4:B4"/>
    <x:mergeCell ref="C4:D4"/>
    <x:mergeCell ref="E4:F4"/>
    <x:mergeCell ref="A2:B3"/>
    <x:mergeCell ref="C2:D3"/>
    <x:mergeCell ref="A6:B7"/>
    <x:mergeCell ref="A11:B11"/>
    <x:mergeCell ref="C11:G11"/>
    <x:mergeCell ref="F12:G12"/>
    <x:mergeCell ref="A10:B10"/>
    <x:mergeCell ref="C10:D10"/>
    <x:mergeCell ref="E10:F10"/>
    <x:mergeCell ref="A8:B9"/>
    <x:mergeCell ref="C8:D9"/>
    <x:mergeCell ref="F14:G14"/>
    <x:mergeCell ref="C6:D7"/>
    <x:mergeCell ref="E6:F7"/>
    <x:mergeCell ref="E8:F9"/>
    <x:mergeCell ref="F15:G15"/>
    <x:mergeCell ref="A23:B23"/>
    <x:mergeCell ref="C23:G23"/>
    <x:mergeCell ref="F16:G16"/>
    <x:mergeCell ref="F17:G17"/>
    <x:mergeCell ref="A24:B24"/>
    <x:mergeCell ref="C24:D24"/>
    <x:mergeCell ref="E24:G24"/>
    <x:mergeCell ref="A22:B22"/>
    <x:mergeCell ref="C22:G22"/>
    <x:mergeCell ref="F32:G32"/>
    <x:mergeCell ref="A25:B25"/>
    <x:mergeCell ref="C25:D25"/>
    <x:mergeCell ref="E25:G25"/>
    <x:mergeCell ref="A26:B26"/>
    <x:mergeCell ref="F27:G27"/>
    <x:mergeCell ref="C27:D27"/>
    <x:mergeCell ref="C29:D29"/>
    <x:mergeCell ref="F29:G29"/>
    <x:mergeCell ref="C30:D30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5"/>
  <x:dimension ref="A1:O34"/>
  <x:sheetViews>
    <x:sheetView topLeftCell="A16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" width="8.625" style="53"/>
    <x:col min="17" max="17" width="8.625" style="53" bestFit="1" customWidth="1"/>
    <x:col min="18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23</x:v>
      </x:c>
      <x:c r="G1" s="68" t="s">
        <x:v>19</x:v>
      </x:c>
      <x:c r="H1" s="52" t="s">
        <x:v>121</x:v>
      </x:c>
      <x:c r="I1" s="52">
        <x:f>F1-K1</x:f>
        <x:v>23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6148000</x:v>
      </x:c>
      <x:c r="D2" s="307"/>
      <x:c r="E2" s="309" t="s">
        <x:v>38</x:v>
      </x:c>
      <x:c r="F2" s="310"/>
      <x:c r="G2" s="299">
        <x:v>94600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5340000</x:v>
      </x:c>
      <x:c r="D4" s="268"/>
      <x:c r="E4" s="308" t="s">
        <x:v>144</x:v>
      </x:c>
      <x:c r="F4" s="308"/>
      <x:c r="G4" s="133">
        <x:f>INT(C4*0.0275)</x:f>
        <x:v>146850</x:v>
      </x:c>
      <x:c r="H4" s="54" t="s">
        <x:v>20</x:v>
      </x:c>
      <x:c r="I4" s="124"/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808000</x:v>
      </x:c>
      <x:c r="D5" s="268"/>
      <x:c r="E5" s="257" t="s">
        <x:v>68</x:v>
      </x:c>
      <x:c r="F5" s="257"/>
      <x:c r="G5" s="133">
        <x:v>0</x:v>
      </x:c>
      <x:c r="H5" s="54" t="s">
        <x:v>6</x:v>
      </x:c>
      <x:c r="I5" s="124"/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800000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102600</x:v>
      </x:c>
      <x:c r="D8" s="268"/>
      <x:c r="E8" s="253" t="s">
        <x:v>108</x:v>
      </x:c>
      <x:c r="F8" s="254"/>
      <x:c r="G8" s="287">
        <x:f>C5+G2-G6-C22</x:f>
        <x:v>102600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v>60000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 t="s">
        <x:v>168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18</x:v>
      </x:c>
      <x:c r="D12" s="253" t="s">
        <x:v>131</x:v>
      </x:c>
      <x:c r="E12" s="254"/>
      <x:c r="F12" s="280">
        <x:v>3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SUM('1:23'!$C$12)</x:f>
        <x:v>173</x:v>
      </x:c>
      <x:c r="D13" s="255"/>
      <x:c r="E13" s="256"/>
      <x:c r="F13" s="285">
        <x:f>SUM('1:23'!$F$12)</x:f>
        <x:v>144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33</x:v>
      </x:c>
      <x:c r="D14" s="253" t="s">
        <x:v>93</x:v>
      </x:c>
      <x:c r="E14" s="254"/>
      <x:c r="F14" s="280">
        <x:v>31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SUM('1:23'!$C$14)</x:f>
        <x:v>524</x:v>
      </x:c>
      <x:c r="D15" s="255"/>
      <x:c r="E15" s="256"/>
      <x:c r="F15" s="285">
        <x:f>SUM('1:23'!$F$14)</x:f>
        <x:v>273</x:v>
      </x:c>
      <x:c r="G15" s="286"/>
      <x:c r="H15" s="54" t="s">
        <x:v>104</x:v>
      </x:c>
      <x:c r="I15" s="58"/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5</x:v>
      </x:c>
      <x:c r="D16" s="253" t="s">
        <x:v>115</x:v>
      </x:c>
      <x:c r="E16" s="254"/>
      <x:c r="F16" s="261">
        <x:v>9</x:v>
      </x:c>
      <x:c r="G16" s="261"/>
      <x:c r="H16" s="54"/>
      <x:c r="I16" s="58"/>
      <x:c r="J16" s="54" t="s">
        <x:v>95</x:v>
      </x:c>
      <x:c r="K16" s="58">
        <x:v>93090</x:v>
      </x:c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SUM('1:23'!$C$16)</x:f>
        <x:v>120</x:v>
      </x:c>
      <x:c r="D17" s="255"/>
      <x:c r="E17" s="256"/>
      <x:c r="F17" s="252">
        <x:f>SUM('1:23'!$F$16)</x:f>
        <x:v>189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11</x:v>
      </x:c>
      <x:c r="D18" s="253" t="s">
        <x:v>128</x:v>
      </x:c>
      <x:c r="E18" s="254"/>
      <x:c r="F18" s="289">
        <x:v>3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SUM('1:23'!$C$18)</x:f>
        <x:v>324</x:v>
      </x:c>
      <x:c r="D19" s="255"/>
      <x:c r="E19" s="256"/>
      <x:c r="F19" s="252">
        <x:f>SUM('1:23'!$F$18)</x:f>
        <x:v>108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73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SUM('1:23'!$F$20)</x:f>
        <x:v>1479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0</x:v>
      </x:c>
      <x:c r="J23" s="61" t="s">
        <x:v>117</x:v>
      </x:c>
      <x:c r="K23" s="62">
        <x:f>SUM(K4:K22)</x:f>
        <x:v>93090</x:v>
      </x:c>
      <x:c r="M23" s="88" t="s">
        <x:v>91</x:v>
      </x:c>
      <x:c r="N23" s="282">
        <x:f>C5+C6</x:f>
        <x:v>808000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0.015141509433962265</x:v>
      </x:c>
    </x:row>
    <x:row r="25" spans="1:11" ht="34.149999999999999" customHeight="1">
      <x:c r="A25" s="278">
        <x:f>C2</x:f>
        <x:v>6148000</x:v>
      </x:c>
      <x:c r="B25" s="270"/>
      <x:c r="C25" s="270">
        <x:f>E25/I1</x:f>
        <x:v>4966339.1304347822</x:v>
      </x:c>
      <x:c r="D25" s="270"/>
      <x:c r="E25" s="270">
        <x:f>SUM('1:23'!$A$25)</x:f>
        <x:v>114225800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SUM('1:23'!$K$21)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0.016852593722258894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/>
      <x:c r="G27" s="268"/>
      <x:c r="H27" s="111" t="s">
        <x:v>116</x:v>
      </x:c>
      <x:c r="I27" s="112">
        <x:f>SUM(C27:D34,F27:G32)</x:f>
        <x:v>888822.58064516133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0.14457101181606397</x:v>
      </x:c>
      <x:c r="M28" s="66" t="s">
        <x:v>61</x:v>
      </x:c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>
        <x:f>13000*12</x:f>
        <x:v>156000</x:v>
      </x:c>
      <x:c r="G29" s="268"/>
      <x:c r="H29" s="111" t="s">
        <x:v>31</x:v>
      </x:c>
      <x:c r="I29" s="112">
        <x:f>SUM('1:23'!$I$25)</x:f>
        <x:v>44275023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49.813116772823776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77000</x:v>
      </x:c>
      <x:c r="G31" s="267"/>
    </x:row>
    <x:row r="32" spans="1:7" customHeight="1">
      <x:c r="A32" s="313"/>
      <x:c r="B32" s="54" t="s">
        <x:v>55</x:v>
      </x:c>
      <x:c r="C32" s="264">
        <x:f>11700*5</x:f>
        <x:v>58500</x:v>
      </x:c>
      <x:c r="D32" s="265"/>
      <x:c r="E32" s="55" t="s">
        <x:v>136</x:v>
      </x:c>
      <x:c r="F32" s="266">
        <x:v>77000</x:v>
      </x:c>
      <x:c r="G32" s="267"/>
    </x:row>
    <x:row r="33" spans="1:4" customHeight="1">
      <x:c r="A33" s="313"/>
      <x:c r="B33" s="54" t="s">
        <x:v>21</x:v>
      </x:c>
      <x:c r="C33" s="264">
        <x:f>13000*10</x:f>
        <x:v>130000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23:B23"/>
    <x:mergeCell ref="C23:G23"/>
    <x:mergeCell ref="A24:B24"/>
    <x:mergeCell ref="C24:D24"/>
    <x:mergeCell ref="E24:G24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A1:O34"/>
  <x:sheetViews>
    <x:sheetView topLeftCell="A16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24</x:v>
      </x:c>
      <x:c r="G1" s="68" t="s">
        <x:v>47</x:v>
      </x:c>
      <x:c r="H1" s="52" t="s">
        <x:v>121</x:v>
      </x:c>
      <x:c r="I1" s="52">
        <x:f>F1-K1</x:f>
        <x:v>24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3022500</x:v>
      </x:c>
      <x:c r="D2" s="307"/>
      <x:c r="E2" s="309" t="s">
        <x:v>38</x:v>
      </x:c>
      <x:c r="F2" s="310"/>
      <x:c r="G2" s="299">
        <x:v>102600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59" t="s">
        <x:v>22</x:v>
      </x:c>
      <x:c r="B4" s="302"/>
      <x:c r="C4" s="268">
        <x:v>2536500</x:v>
      </x:c>
      <x:c r="D4" s="268"/>
      <x:c r="E4" s="308" t="s">
        <x:v>144</x:v>
      </x:c>
      <x:c r="F4" s="308"/>
      <x:c r="G4" s="133">
        <x:f>INT(C4*0.0275)</x:f>
        <x:v>69753</x:v>
      </x:c>
      <x:c r="H4" s="54" t="s">
        <x:v>20</x:v>
      </x:c>
      <x:c r="I4" s="124">
        <x:v>452000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486000</x:v>
      </x:c>
      <x:c r="D5" s="268"/>
      <x:c r="E5" s="257" t="s">
        <x:v>68</x:v>
      </x:c>
      <x:c r="F5" s="257"/>
      <x:c r="G5" s="133">
        <x:f>INT(C5*0.01)</x:f>
        <x:v>4860</x:v>
      </x:c>
      <x:c r="H5" s="54" t="s">
        <x:v>6</x:v>
      </x:c>
      <x:c r="I5" s="124">
        <x:f>100000+72000+69000+60500+59312+78760+44000+17760+17060+7680+25840</x:f>
        <x:v>551912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500000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>
        <x:v>450600</x:v>
      </x:c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88600</x:v>
      </x:c>
      <x:c r="D8" s="268"/>
      <x:c r="E8" s="253" t="s">
        <x:v>108</x:v>
      </x:c>
      <x:c r="F8" s="254"/>
      <x:c r="G8" s="287">
        <x:f>C5+G2-G6-C22</x:f>
        <x:v>88600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f>56000+801000</x:f>
        <x:v>857000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>
        <x:v>57200</x:v>
      </x:c>
    </x:row>
    <x:row r="11" spans="1:11" ht="33" customHeight="1">
      <x:c r="A11" s="260" t="s">
        <x:v>101</x:v>
      </x:c>
      <x:c r="B11" s="257"/>
      <x:c r="C11" s="279" t="s">
        <x:v>164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9</x:v>
      </x:c>
      <x:c r="D12" s="253" t="s">
        <x:v>131</x:v>
      </x:c>
      <x:c r="E12" s="254"/>
      <x:c r="F12" s="280">
        <x:v>7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SUM('1:24'!$C$12)</x:f>
        <x:v>182</x:v>
      </x:c>
      <x:c r="D13" s="255"/>
      <x:c r="E13" s="256"/>
      <x:c r="F13" s="285">
        <x:f>SUM('1:24'!$F$12)</x:f>
        <x:v>151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19</x:v>
      </x:c>
      <x:c r="D14" s="253" t="s">
        <x:v>93</x:v>
      </x:c>
      <x:c r="E14" s="254"/>
      <x:c r="F14" s="280">
        <x:v>10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SUM('1:24'!$C$14)</x:f>
        <x:v>543</x:v>
      </x:c>
      <x:c r="D15" s="255"/>
      <x:c r="E15" s="256"/>
      <x:c r="F15" s="285">
        <x:f>SUM('1:24'!$F$14)</x:f>
        <x:v>283</x:v>
      </x:c>
      <x:c r="G15" s="286"/>
      <x:c r="H15" s="54" t="s">
        <x:v>104</x:v>
      </x:c>
      <x:c r="I15" s="58">
        <x:f>8800+4900+6800+7200+5500+3500+5500+5000+2450+11800+9300</x:f>
        <x:v>70750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6</x:v>
      </x:c>
      <x:c r="D16" s="253" t="s">
        <x:v>115</x:v>
      </x:c>
      <x:c r="E16" s="254"/>
      <x:c r="F16" s="261">
        <x:v>12</x:v>
      </x:c>
      <x:c r="G16" s="261"/>
      <x:c r="H16" s="54"/>
      <x:c r="I16" s="58"/>
      <x:c r="J16" s="54" t="s">
        <x:v>95</x:v>
      </x:c>
      <x:c r="K16" s="58">
        <x:v>92620</x:v>
      </x:c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SUM('1:24'!$C$16)</x:f>
        <x:v>126</x:v>
      </x:c>
      <x:c r="D17" s="255"/>
      <x:c r="E17" s="256"/>
      <x:c r="F17" s="252">
        <x:f>SUM('1:24'!$F$16)</x:f>
        <x:v>201</x:v>
      </x:c>
      <x:c r="G17" s="252"/>
      <x:c r="H17" s="54" t="s">
        <x:v>7</x:v>
      </x:c>
      <x:c r="I17" s="58">
        <x:v>2000</x:v>
      </x:c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11</x:v>
      </x:c>
      <x:c r="D18" s="253" t="s">
        <x:v>128</x:v>
      </x:c>
      <x:c r="E18" s="254"/>
      <x:c r="F18" s="289">
        <x:v>1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SUM('1:24'!$C$18)</x:f>
        <x:v>335</x:v>
      </x:c>
      <x:c r="D19" s="255"/>
      <x:c r="E19" s="256"/>
      <x:c r="F19" s="252">
        <x:f>SUM('1:24'!$F$18)</x:f>
        <x:v>109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51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SUM('1:24'!$F$20)</x:f>
        <x:v>1530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1527262</x:v>
      </x:c>
      <x:c r="J23" s="61" t="s">
        <x:v>117</x:v>
      </x:c>
      <x:c r="K23" s="62">
        <x:f>SUM(K4:K22)</x:f>
        <x:v>149820</x:v>
      </x:c>
      <x:c r="M23" s="88" t="s">
        <x:v>91</x:v>
      </x:c>
      <x:c r="N23" s="282">
        <x:f>C5+C6</x:f>
        <x:v>486000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0.50529760132340773</x:v>
      </x:c>
      <x:c r="J24" s="61" t="s">
        <x:v>8</x:v>
      </x:c>
      <x:c r="K24" s="63">
        <x:f>K23/A25</x:f>
        <x:v>0.049568238213399507</x:v>
      </x:c>
    </x:row>
    <x:row r="25" spans="1:11" ht="34.149999999999999" customHeight="1">
      <x:c r="A25" s="278">
        <x:f>C2</x:f>
        <x:v>3022500</x:v>
      </x:c>
      <x:c r="B25" s="270"/>
      <x:c r="C25" s="270">
        <x:f>E25/I1</x:f>
        <x:v>4885345.833333333</x:v>
      </x:c>
      <x:c r="D25" s="270"/>
      <x:c r="E25" s="270">
        <x:f>SUM('1:24'!$A$25)</x:f>
        <x:v>117248300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SUM('1:24'!$K$21)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0.016418157022319302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13000*5</x:f>
        <x:v>65000</x:v>
      </x:c>
      <x:c r="G27" s="268"/>
      <x:c r="H27" s="111" t="s">
        <x:v>116</x:v>
      </x:c>
      <x:c r="I27" s="112">
        <x:f>SUM(C27:D34,F27:G32)</x:f>
        <x:v>719322.58064516133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0.23798927399343633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SUM('1:24'!$I$25)</x:f>
        <x:v>46200024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64.227128750168163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132000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>
        <x:v>132000</x:v>
      </x:c>
      <x:c r="G32" s="267"/>
    </x:row>
    <x:row r="33" spans="1:4" customHeight="1">
      <x:c r="A33" s="313"/>
      <x:c r="B33" s="54" t="s">
        <x:v>21</x:v>
      </x:c>
      <x:c r="C33" s="264"/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1:G31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2:G3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O34"/>
  <x:sheetViews>
    <x:sheetView topLeftCell="A20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25</x:v>
      </x:c>
      <x:c r="G1" s="68" t="s">
        <x:v>60</x:v>
      </x:c>
      <x:c r="H1" s="52" t="s">
        <x:v>121</x:v>
      </x:c>
      <x:c r="I1" s="52">
        <x:f>F1-K1</x:f>
        <x:v>25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4560500</x:v>
      </x:c>
      <x:c r="D2" s="307"/>
      <x:c r="E2" s="309" t="s">
        <x:v>38</x:v>
      </x:c>
      <x:c r="F2" s="310"/>
      <x:c r="G2" s="299">
        <x:v>88600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4038500</x:v>
      </x:c>
      <x:c r="D4" s="268"/>
      <x:c r="E4" s="308" t="s">
        <x:v>144</x:v>
      </x:c>
      <x:c r="F4" s="308"/>
      <x:c r="G4" s="133">
        <x:f>INT(C4*0.0275)</x:f>
        <x:v>111058</x:v>
      </x:c>
      <x:c r="H4" s="54" t="s">
        <x:v>20</x:v>
      </x:c>
      <x:c r="I4" s="124">
        <x:f>289646+43500+245388+452000+221000</x:f>
        <x:v>1251534</x:v>
      </x:c>
      <x:c r="J4" s="80" t="s">
        <x:v>34</x:v>
      </x:c>
      <x:c r="K4" s="58">
        <x:f>21000*9+19000*5</x:f>
        <x:v>284000</x:v>
      </x:c>
    </x:row>
    <x:row r="5" spans="1:11" ht="30.949999999999999" customHeight="1">
      <x:c r="A5" s="301" t="s">
        <x:v>59</x:v>
      </x:c>
      <x:c r="B5" s="302"/>
      <x:c r="C5" s="268">
        <x:v>522000</x:v>
      </x:c>
      <x:c r="D5" s="268"/>
      <x:c r="E5" s="257" t="s">
        <x:v>68</x:v>
      </x:c>
      <x:c r="F5" s="257"/>
      <x:c r="G5" s="133">
        <x:f>INT(C5*0.01)</x:f>
        <x:v>5220</x:v>
      </x:c>
      <x:c r="H5" s="54" t="s">
        <x:v>6</x:v>
      </x:c>
      <x:c r="I5" s="124"/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500000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111600</x:v>
      </x:c>
      <x:c r="D8" s="268"/>
      <x:c r="E8" s="253" t="s">
        <x:v>108</x:v>
      </x:c>
      <x:c r="F8" s="254"/>
      <x:c r="G8" s="287">
        <x:f>C5+G2-G6-C22</x:f>
        <x:v>110600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/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/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10</x:v>
      </x:c>
      <x:c r="D12" s="253" t="s">
        <x:v>131</x:v>
      </x:c>
      <x:c r="E12" s="254"/>
      <x:c r="F12" s="280">
        <x:v>6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SUM('1:25'!$C$12)</x:f>
        <x:v>192</x:v>
      </x:c>
      <x:c r="D13" s="255"/>
      <x:c r="E13" s="256"/>
      <x:c r="F13" s="285">
        <x:f>SUM('1:25'!$F$12)</x:f>
        <x:v>157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21</x:v>
      </x:c>
      <x:c r="D14" s="253" t="s">
        <x:v>93</x:v>
      </x:c>
      <x:c r="E14" s="254"/>
      <x:c r="F14" s="280">
        <x:v>13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SUM('1:25'!$C$14)</x:f>
        <x:v>564</x:v>
      </x:c>
      <x:c r="D15" s="255"/>
      <x:c r="E15" s="256"/>
      <x:c r="F15" s="285">
        <x:f>SUM('1:25'!$F$14)</x:f>
        <x:v>296</x:v>
      </x:c>
      <x:c r="G15" s="286"/>
      <x:c r="H15" s="54" t="s">
        <x:v>104</x:v>
      </x:c>
      <x:c r="I15" s="58">
        <x:v>137850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4</x:v>
      </x:c>
      <x:c r="D16" s="253" t="s">
        <x:v>115</x:v>
      </x:c>
      <x:c r="E16" s="254"/>
      <x:c r="F16" s="261"/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SUM('1:25'!$C$16)</x:f>
        <x:v>130</x:v>
      </x:c>
      <x:c r="D17" s="255"/>
      <x:c r="E17" s="256"/>
      <x:c r="F17" s="252">
        <x:f>SUM('1:25'!$F$16)</x:f>
        <x:v>201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</x:v>
      </x:c>
      <x:c r="D18" s="253" t="s">
        <x:v>128</x:v>
      </x:c>
      <x:c r="E18" s="254"/>
      <x:c r="F18" s="289">
        <x:v>6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SUM('1:25'!$C$18)</x:f>
        <x:v>336</x:v>
      </x:c>
      <x:c r="D19" s="255"/>
      <x:c r="E19" s="256"/>
      <x:c r="F19" s="252">
        <x:f>SUM('1:25'!$F$18)</x:f>
        <x:v>115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62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SUM('1:25'!$F$20)</x:f>
        <x:v>1592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1454384</x:v>
      </x:c>
      <x:c r="J23" s="61" t="s">
        <x:v>117</x:v>
      </x:c>
      <x:c r="K23" s="62">
        <x:f>SUM(K4:K22)</x:f>
        <x:v>284000</x:v>
      </x:c>
      <x:c r="M23" s="88" t="s">
        <x:v>91</x:v>
      </x:c>
      <x:c r="N23" s="282">
        <x:f>C5+C6</x:f>
        <x:v>522000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0.31890889156890689</x:v>
      </x:c>
      <x:c r="J24" s="61" t="s">
        <x:v>8</x:v>
      </x:c>
      <x:c r="K24" s="63">
        <x:f>K23/A25</x:f>
        <x:v>0.06227387347878522</x:v>
      </x:c>
    </x:row>
    <x:row r="25" spans="1:11" ht="34.149999999999999" customHeight="1">
      <x:c r="A25" s="278">
        <x:f>C2</x:f>
        <x:v>4560500</x:v>
      </x:c>
      <x:c r="B25" s="270"/>
      <x:c r="C25" s="270">
        <x:f>E25/I1</x:f>
        <x:v>4872352</x:v>
      </x:c>
      <x:c r="D25" s="270"/>
      <x:c r="E25" s="270">
        <x:f>SUM('1:25'!$A$25)</x:f>
        <x:v>121808800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SUM('1:25'!$K$21)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0.015803464117535024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13000*4</x:f>
        <x:v>52000</x:v>
      </x:c>
      <x:c r="G27" s="268"/>
      <x:c r="H27" s="111" t="s">
        <x:v>116</x:v>
      </x:c>
      <x:c r="I27" s="112">
        <x:f>SUM(C27:D34,F27:G32)</x:f>
        <x:v>685322.58064516133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0.15027356225088506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SUM('1:25'!$I$25)</x:f>
        <x:v>48125025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70.222441751000233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120000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>
        <x:v>71000</x:v>
      </x:c>
      <x:c r="G32" s="267"/>
    </x:row>
    <x:row r="33" spans="1:4" customHeight="1">
      <x:c r="A33" s="313"/>
      <x:c r="B33" s="54" t="s">
        <x:v>21</x:v>
      </x:c>
      <x:c r="C33" s="264">
        <x:f>13000*4</x:f>
        <x:v>52000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A1:O34"/>
  <x:sheetViews>
    <x:sheetView topLeftCell="A26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1.75" style="53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26</x:v>
      </x:c>
      <x:c r="G1" s="68" t="s">
        <x:v>26</x:v>
      </x:c>
      <x:c r="H1" s="52" t="s">
        <x:v>121</x:v>
      </x:c>
      <x:c r="I1" s="52">
        <x:f>F1-K1</x:f>
        <x:v>26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7563500</x:v>
      </x:c>
      <x:c r="D2" s="307"/>
      <x:c r="E2" s="309" t="s">
        <x:v>38</x:v>
      </x:c>
      <x:c r="F2" s="310"/>
      <x:c r="G2" s="299">
        <x:v>111600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6922000</x:v>
      </x:c>
      <x:c r="D4" s="268"/>
      <x:c r="E4" s="308" t="s">
        <x:v>144</x:v>
      </x:c>
      <x:c r="F4" s="308"/>
      <x:c r="G4" s="133">
        <x:f>INT(C4*0.0275)</x:f>
        <x:v>190355</x:v>
      </x:c>
      <x:c r="H4" s="54" t="s">
        <x:v>20</x:v>
      </x:c>
      <x:c r="I4" s="124">
        <x:f>576858+439200+452000</x:f>
        <x:v>1468058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641500</x:v>
      </x:c>
      <x:c r="D5" s="268"/>
      <x:c r="E5" s="257" t="s">
        <x:v>68</x:v>
      </x:c>
      <x:c r="F5" s="257"/>
      <x:c r="G5" s="133">
        <x:f>INT(C5*0.01)</x:f>
        <x:v>6415</x:v>
      </x:c>
      <x:c r="H5" s="54" t="s">
        <x:v>6</x:v>
      </x:c>
      <x:c r="I5" s="124">
        <x:f>50000+69000+17760</x:f>
        <x:v>136760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650000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>
        <x:f>307100-24300</x:f>
        <x:v>282800</x:v>
      </x:c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103100</x:v>
      </x:c>
      <x:c r="D8" s="268"/>
      <x:c r="E8" s="253" t="s">
        <x:v>108</x:v>
      </x:c>
      <x:c r="F8" s="254"/>
      <x:c r="G8" s="287">
        <x:f>C5+G2-G6-C22</x:f>
        <x:v>103100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v>369000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 t="s">
        <x:v>157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20</x:v>
      </x:c>
      <x:c r="D12" s="253" t="s">
        <x:v>131</x:v>
      </x:c>
      <x:c r="E12" s="254"/>
      <x:c r="F12" s="280">
        <x:v>8</x:v>
      </x:c>
      <x:c r="G12" s="281"/>
      <x:c r="H12" s="54" t="s">
        <x:v>100</x:v>
      </x:c>
      <x:c r="I12" s="58">
        <x:v>53400</x:v>
      </x:c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SUM('1:26'!$C$12)</x:f>
        <x:v>212</x:v>
      </x:c>
      <x:c r="D13" s="255"/>
      <x:c r="E13" s="256"/>
      <x:c r="F13" s="285">
        <x:f>SUM('1:26'!$F$12)</x:f>
        <x:v>165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47</x:v>
      </x:c>
      <x:c r="D14" s="253" t="s">
        <x:v>93</x:v>
      </x:c>
      <x:c r="E14" s="254"/>
      <x:c r="F14" s="280">
        <x:v>4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SUM('1:26'!$C$14)</x:f>
        <x:v>611</x:v>
      </x:c>
      <x:c r="D15" s="255"/>
      <x:c r="E15" s="256"/>
      <x:c r="F15" s="285">
        <x:f>SUM('1:26'!$F$14)</x:f>
        <x:v>300</x:v>
      </x:c>
      <x:c r="G15" s="286"/>
      <x:c r="H15" s="54" t="s">
        <x:v>104</x:v>
      </x:c>
      <x:c r="I15" s="58">
        <x:f>20400+5900+19200+3500+9800+52000+9500+5500+3900</x:f>
        <x:v>129700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11</x:v>
      </x:c>
      <x:c r="D16" s="253" t="s">
        <x:v>115</x:v>
      </x:c>
      <x:c r="E16" s="254"/>
      <x:c r="F16" s="261">
        <x:v>13</x:v>
      </x:c>
      <x:c r="G16" s="261"/>
      <x:c r="H16" s="54"/>
      <x:c r="I16" s="58"/>
      <x:c r="J16" s="54" t="s">
        <x:v>95</x:v>
      </x:c>
      <x:c r="K16" s="58">
        <x:v>66330</x:v>
      </x:c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SUM('1:26'!$C$16)</x:f>
        <x:v>141</x:v>
      </x:c>
      <x:c r="D17" s="255"/>
      <x:c r="E17" s="256"/>
      <x:c r="F17" s="252">
        <x:f>SUM('1:26'!$F$16)</x:f>
        <x:v>214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4</x:v>
      </x:c>
      <x:c r="D18" s="253" t="s">
        <x:v>128</x:v>
      </x:c>
      <x:c r="E18" s="254"/>
      <x:c r="F18" s="289">
        <x:v>3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SUM('1:26'!$C$18)</x:f>
        <x:v>340</x:v>
      </x:c>
      <x:c r="D19" s="255"/>
      <x:c r="E19" s="256"/>
      <x:c r="F19" s="252">
        <x:f>SUM('1:26'!$F$18)</x:f>
        <x:v>118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56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SUM('1:26'!$F$20)</x:f>
        <x:v>1648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2070718</x:v>
      </x:c>
      <x:c r="J23" s="61" t="s">
        <x:v>117</x:v>
      </x:c>
      <x:c r="K23" s="62">
        <x:f>SUM(K4:K22)</x:f>
        <x:v>66330</x:v>
      </x:c>
      <x:c r="M23" s="88" t="s">
        <x:v>91</x:v>
      </x:c>
      <x:c r="N23" s="282">
        <x:f>C5+C6</x:f>
        <x:v>641500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0.27377774839690622</x:v>
      </x:c>
      <x:c r="J24" s="61" t="s">
        <x:v>8</x:v>
      </x:c>
      <x:c r="K24" s="63">
        <x:f>K23/A25</x:f>
        <x:v>0.0087697494546175713</x:v>
      </x:c>
    </x:row>
    <x:row r="25" spans="1:11" ht="34.149999999999999" customHeight="1">
      <x:c r="A25" s="278">
        <x:f>C2</x:f>
        <x:v>7563500</x:v>
      </x:c>
      <x:c r="B25" s="270"/>
      <x:c r="C25" s="360">
        <x:f>E25/I1</x:f>
        <x:v>4975857.692307692</x:v>
      </x:c>
      <x:c r="D25" s="270"/>
      <x:c r="E25" s="270">
        <x:f>SUM('1:26'!$A$25)</x:f>
        <x:v>129372300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SUM('1:26'!$K$21)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0.014879545312249995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13000*5</x:f>
        <x:v>65000</x:v>
      </x:c>
      <x:c r="G27" s="268"/>
      <x:c r="H27" s="111" t="s">
        <x:v>116</x:v>
      </x:c>
      <x:c r="I27" s="112">
        <x:f>SUM(C27:D34,F27:G32)</x:f>
        <x:v>627322.58064516133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0.082940778825300626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SUM('1:26'!$I$25)</x:f>
        <x:v>50050026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79.783555612690904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120000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/>
      <x:c r="G32" s="267"/>
    </x:row>
    <x:row r="33" spans="1:4" customHeight="1">
      <x:c r="A33" s="313"/>
      <x:c r="B33" s="54" t="s">
        <x:v>21</x:v>
      </x:c>
      <x:c r="C33" s="264">
        <x:f>13000*4</x:f>
        <x:v>52000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O34"/>
  <x:sheetViews>
    <x:sheetView topLeftCell="A24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27</x:v>
      </x:c>
      <x:c r="G1" s="68" t="s">
        <x:v>48</x:v>
      </x:c>
      <x:c r="H1" s="52" t="s">
        <x:v>121</x:v>
      </x:c>
      <x:c r="I1" s="52">
        <x:f>F1-K1</x:f>
        <x:v>27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5036000</x:v>
      </x:c>
      <x:c r="D2" s="307"/>
      <x:c r="E2" s="309" t="s">
        <x:v>38</x:v>
      </x:c>
      <x:c r="F2" s="310"/>
      <x:c r="G2" s="299">
        <x:v>103100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4627500</x:v>
      </x:c>
      <x:c r="D4" s="268"/>
      <x:c r="E4" s="308" t="s">
        <x:v>144</x:v>
      </x:c>
      <x:c r="F4" s="308"/>
      <x:c r="G4" s="133">
        <x:f>INT(C4*0.0275)</x:f>
        <x:v>127256</x:v>
      </x:c>
      <x:c r="H4" s="54" t="s">
        <x:v>20</x:v>
      </x:c>
      <x:c r="I4" s="124">
        <x:f>56220+219024+452000+283019+171031</x:f>
        <x:v>1181294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408500</x:v>
      </x:c>
      <x:c r="D5" s="268"/>
      <x:c r="E5" s="257" t="s">
        <x:v>68</x:v>
      </x:c>
      <x:c r="F5" s="257"/>
      <x:c r="G5" s="133">
        <x:f>INT(C5*0.01)</x:f>
        <x:v>4085</x:v>
      </x:c>
      <x:c r="H5" s="54" t="s">
        <x:v>6</x:v>
      </x:c>
      <x:c r="I5" s="124">
        <x:f>50000+34500+36000+49500+26675+39490+29656+78760+17760</x:f>
        <x:v>362341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420000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91600</x:v>
      </x:c>
      <x:c r="D8" s="268"/>
      <x:c r="E8" s="253" t="s">
        <x:v>108</x:v>
      </x:c>
      <x:c r="F8" s="254"/>
      <x:c r="G8" s="287">
        <x:f>C5+G2-G6-C22</x:f>
        <x:v>91600</x:v>
      </x:c>
      <x:c r="H8" s="54" t="s">
        <x:v>43</x:v>
      </x:c>
      <x:c r="I8" s="124">
        <x:v>65000</x:v>
      </x:c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v>53000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 t="s">
        <x:v>167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9</x:v>
      </x:c>
      <x:c r="D12" s="253" t="s">
        <x:v>131</x:v>
      </x:c>
      <x:c r="E12" s="254"/>
      <x:c r="F12" s="280">
        <x:v>2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SUM('1:27'!$C$12)</x:f>
        <x:v>221</x:v>
      </x:c>
      <x:c r="D13" s="255"/>
      <x:c r="E13" s="256"/>
      <x:c r="F13" s="285">
        <x:f>SUM('1:27'!$F$12)</x:f>
        <x:v>167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25</x:v>
      </x:c>
      <x:c r="D14" s="253" t="s">
        <x:v>93</x:v>
      </x:c>
      <x:c r="E14" s="254"/>
      <x:c r="F14" s="280">
        <x:v>10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SUM('1:27'!$C$14)</x:f>
        <x:v>636</x:v>
      </x:c>
      <x:c r="D15" s="255"/>
      <x:c r="E15" s="256"/>
      <x:c r="F15" s="285">
        <x:f>SUM('1:27'!$F$14)</x:f>
        <x:v>310</x:v>
      </x:c>
      <x:c r="G15" s="286"/>
      <x:c r="H15" s="54" t="s">
        <x:v>104</x:v>
      </x:c>
      <x:c r="I15" s="58">
        <x:f>34000+11800+4900+9500+9300+5500</x:f>
        <x:v>75000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4</x:v>
      </x:c>
      <x:c r="D16" s="253" t="s">
        <x:v>115</x:v>
      </x:c>
      <x:c r="E16" s="254"/>
      <x:c r="F16" s="261">
        <x:v>11</x:v>
      </x:c>
      <x:c r="G16" s="261"/>
      <x:c r="H16" s="54"/>
      <x:c r="I16" s="58"/>
      <x:c r="J16" s="54" t="s">
        <x:v>95</x:v>
      </x:c>
      <x:c r="K16" s="58">
        <x:v>175270</x:v>
      </x:c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SUM('1:27'!$C$16)</x:f>
        <x:v>145</x:v>
      </x:c>
      <x:c r="D17" s="255"/>
      <x:c r="E17" s="256"/>
      <x:c r="F17" s="252">
        <x:f>SUM('1:27'!$F$16)</x:f>
        <x:v>225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12</x:v>
      </x:c>
      <x:c r="D18" s="253" t="s">
        <x:v>128</x:v>
      </x:c>
      <x:c r="E18" s="254"/>
      <x:c r="F18" s="289">
        <x:v>5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SUM('1:27'!$C$18)</x:f>
        <x:v>352</x:v>
      </x:c>
      <x:c r="D19" s="255"/>
      <x:c r="E19" s="256"/>
      <x:c r="F19" s="252">
        <x:f>SUM('1:27'!$F$18)</x:f>
        <x:v>123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63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SUM('1:27'!$F$20)</x:f>
        <x:v>1711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1683635</x:v>
      </x:c>
      <x:c r="J23" s="61" t="s">
        <x:v>117</x:v>
      </x:c>
      <x:c r="K23" s="62">
        <x:f>SUM(K4:K22)</x:f>
        <x:v>175270</x:v>
      </x:c>
      <x:c r="M23" s="88" t="s">
        <x:v>91</x:v>
      </x:c>
      <x:c r="N23" s="282">
        <x:f>C5+C6</x:f>
        <x:v>408500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0.3343198967434472</x:v>
      </x:c>
      <x:c r="J24" s="61" t="s">
        <x:v>8</x:v>
      </x:c>
      <x:c r="K24" s="63">
        <x:f>K23/A25</x:f>
        <x:v>0.034803415409054808</x:v>
      </x:c>
    </x:row>
    <x:row r="25" spans="1:11" ht="34.149999999999999" customHeight="1">
      <x:c r="A25" s="278">
        <x:f>C2</x:f>
        <x:v>5036000</x:v>
      </x:c>
      <x:c r="B25" s="270"/>
      <x:c r="C25" s="270">
        <x:f>E25/I1</x:f>
        <x:v>4978085.1851851856</x:v>
      </x:c>
      <x:c r="D25" s="270"/>
      <x:c r="E25" s="270">
        <x:f>SUM('1:27'!$A$25)</x:f>
        <x:v>134408300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SUM('1:27'!$K$21)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0.014322039635945102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13000*5</x:f>
        <x:v>65000</x:v>
      </x:c>
      <x:c r="G27" s="268"/>
      <x:c r="H27" s="111" t="s">
        <x:v>116</x:v>
      </x:c>
      <x:c r="I27" s="112">
        <x:f>SUM(C27:D34,F27:G32)</x:f>
        <x:v>707322.58064516133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0.14045325270952369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SUM('1:27'!$I$25)</x:f>
        <x:v>51975027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73.481362566698593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120000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>
        <x:v>132000</x:v>
      </x:c>
      <x:c r="G32" s="267"/>
    </x:row>
    <x:row r="33" spans="1:4" customHeight="1">
      <x:c r="A33" s="313"/>
      <x:c r="B33" s="54" t="s">
        <x:v>21</x:v>
      </x:c>
      <x:c r="C33" s="264"/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A1:O34"/>
  <x:sheetViews>
    <x:sheetView topLeftCell="A25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28</x:v>
      </x:c>
      <x:c r="G1" s="68" t="s">
        <x:v>27</x:v>
      </x:c>
      <x:c r="H1" s="52" t="s">
        <x:v>121</x:v>
      </x:c>
      <x:c r="I1" s="52">
        <x:f>F1-K1</x:f>
        <x:v>28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3785500</x:v>
      </x:c>
      <x:c r="D2" s="307"/>
      <x:c r="E2" s="309" t="s">
        <x:v>38</x:v>
      </x:c>
      <x:c r="F2" s="310"/>
      <x:c r="G2" s="299">
        <x:v>91600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3053000</x:v>
      </x:c>
      <x:c r="D4" s="268"/>
      <x:c r="E4" s="308" t="s">
        <x:v>144</x:v>
      </x:c>
      <x:c r="F4" s="308"/>
      <x:c r="G4" s="133">
        <x:f>INT(C4*0.0275)</x:f>
        <x:v>83957</x:v>
      </x:c>
      <x:c r="H4" s="54" t="s">
        <x:v>20</x:v>
      </x:c>
      <x:c r="I4" s="124"/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732500</x:v>
      </x:c>
      <x:c r="D5" s="268"/>
      <x:c r="E5" s="257" t="s">
        <x:v>68</x:v>
      </x:c>
      <x:c r="F5" s="257"/>
      <x:c r="G5" s="133">
        <x:f>INT(C5*0.01)</x:f>
        <x:v>7325</x:v>
      </x:c>
      <x:c r="H5" s="54" t="s">
        <x:v>6</x:v>
      </x:c>
      <x:c r="I5" s="124"/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720000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>
        <x:f>536700-39000</x:f>
        <x:v>497700</x:v>
      </x:c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104100</x:v>
      </x:c>
      <x:c r="D8" s="268"/>
      <x:c r="E8" s="253" t="s">
        <x:v>108</x:v>
      </x:c>
      <x:c r="F8" s="254"/>
      <x:c r="G8" s="287">
        <x:f>C5+G2-G6-C22</x:f>
        <x:v>104100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v>54000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 t="s">
        <x:v>162</x:v>
      </x:c>
      <x:c r="D11" s="279"/>
      <x:c r="E11" s="279"/>
      <x:c r="F11" s="279"/>
      <x:c r="G11" s="279"/>
      <x:c r="H11" s="54" t="s">
        <x:v>56</x:v>
      </x:c>
      <x:c r="I11" s="58">
        <x:v>100000</x:v>
      </x:c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10</x:v>
      </x:c>
      <x:c r="D12" s="253" t="s">
        <x:v>131</x:v>
      </x:c>
      <x:c r="E12" s="254"/>
      <x:c r="F12" s="280">
        <x:v>5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SUM('1:28'!$C$12)</x:f>
        <x:v>231</x:v>
      </x:c>
      <x:c r="D13" s="255"/>
      <x:c r="E13" s="256"/>
      <x:c r="F13" s="285">
        <x:f>SUM('1:28'!$F$12)</x:f>
        <x:v>172</x:v>
      </x:c>
      <x:c r="G13" s="286"/>
      <x:c r="H13" s="54" t="s">
        <x:v>124</x:v>
      </x:c>
      <x:c r="I13" s="58">
        <x:v>240000</x:v>
      </x:c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47</x:v>
      </x:c>
      <x:c r="D14" s="253" t="s">
        <x:v>93</x:v>
      </x:c>
      <x:c r="E14" s="254"/>
      <x:c r="F14" s="280">
        <x:v>12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SUM('1:28'!$C$14)</x:f>
        <x:v>683</x:v>
      </x:c>
      <x:c r="D15" s="255"/>
      <x:c r="E15" s="256"/>
      <x:c r="F15" s="285">
        <x:f>SUM('1:28'!$F$14)</x:f>
        <x:v>322</x:v>
      </x:c>
      <x:c r="G15" s="286"/>
      <x:c r="H15" s="54" t="s">
        <x:v>104</x:v>
      </x:c>
      <x:c r="I15" s="58">
        <x:f>54400+11800+6200+9300+5500+3900+4800+5000+5500+22000+10500</x:f>
        <x:v>138900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5</x:v>
      </x:c>
      <x:c r="D16" s="253" t="s">
        <x:v>115</x:v>
      </x:c>
      <x:c r="E16" s="254"/>
      <x:c r="F16" s="261">
        <x:v>12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SUM('1:28'!$C$16)</x:f>
        <x:v>150</x:v>
      </x:c>
      <x:c r="D17" s="255"/>
      <x:c r="E17" s="256"/>
      <x:c r="F17" s="252">
        <x:f>SUM('1:28'!$F$16)</x:f>
        <x:v>237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14</x:v>
      </x:c>
      <x:c r="D18" s="253" t="s">
        <x:v>128</x:v>
      </x:c>
      <x:c r="E18" s="254"/>
      <x:c r="F18" s="289">
        <x:v>3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SUM('1:28'!$C$18)</x:f>
        <x:v>366</x:v>
      </x:c>
      <x:c r="D19" s="255"/>
      <x:c r="E19" s="256"/>
      <x:c r="F19" s="252">
        <x:f>SUM('1:28'!$F$18)</x:f>
        <x:v>126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70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SUM('1:28'!$F$20)</x:f>
        <x:v>1781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976600</x:v>
      </x:c>
      <x:c r="J23" s="61" t="s">
        <x:v>117</x:v>
      </x:c>
      <x:c r="K23" s="62">
        <x:f>SUM(K4:K22)</x:f>
        <x:v>0</x:v>
      </x:c>
      <x:c r="M23" s="88" t="s">
        <x:v>91</x:v>
      </x:c>
      <x:c r="N23" s="282">
        <x:f>C5+C6</x:f>
        <x:v>732500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0.2579844142121252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78">
        <x:f>C2</x:f>
        <x:v>3785500</x:v>
      </x:c>
      <x:c r="B25" s="270"/>
      <x:c r="C25" s="270">
        <x:f>E25/I1</x:f>
        <x:v>4935492.8571428573</x:v>
      </x:c>
      <x:c r="D25" s="270"/>
      <x:c r="E25" s="270">
        <x:f>SUM('1:28'!$A$25)</x:f>
        <x:v>138193800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SUM('1:28'!$K$21)</x:f>
        <x:v>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0.01392972043608324</x:v>
      </x:c>
      <x:c r="J26" s="64" t="s">
        <x:v>126</x:v>
      </x:c>
      <x:c r="K26" s="65">
        <x:f>K25/$E$25</x:f>
        <x:v>0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>
        <x:f>13000*5</x:f>
        <x:v>65000</x:v>
      </x:c>
      <x:c r="G27" s="268"/>
      <x:c r="H27" s="111" t="s">
        <x:v>116</x:v>
      </x:c>
      <x:c r="I27" s="112">
        <x:f>SUM(C27:D34,F27:G32)</x:f>
        <x:v>575322.58064516133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0.15198060511033187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SUM('1:28'!$I$25)</x:f>
        <x:v>53900028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/>
      <x:c r="G30" s="267"/>
      <x:c r="H30" s="111" t="s">
        <x:v>126</x:v>
      </x:c>
      <x:c r="I30" s="113">
        <x:f>I29/$I$27</x:f>
        <x:v>93.686620016820854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f>120000</x:f>
        <x:v>120000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 t="s">
        <x:v>163</x:v>
      </x:c>
      <x:c r="G32" s="267"/>
    </x:row>
    <x:row r="33" spans="1:4" customHeight="1">
      <x:c r="A33" s="313"/>
      <x:c r="B33" s="54" t="s">
        <x:v>21</x:v>
      </x:c>
      <x:c r="C33" s="264"/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A4:B4"/>
    <x:mergeCell ref="C4:D4"/>
    <x:mergeCell ref="E4:F4"/>
    <x:mergeCell ref="A2:B3"/>
    <x:mergeCell ref="C2:D3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F30:G30"/>
    <x:mergeCell ref="A23:B23"/>
    <x:mergeCell ref="C23:G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1"/>
  <x:dimension ref="A1:O34"/>
  <x:sheetViews>
    <x:sheetView topLeftCell="A23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29</x:v>
      </x:c>
      <x:c r="G1" s="68" t="s">
        <x:v>18</x:v>
      </x:c>
      <x:c r="H1" s="52" t="s">
        <x:v>121</x:v>
      </x:c>
      <x:c r="I1" s="52">
        <x:f>F1-K1</x:f>
        <x:v>29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5649000</x:v>
      </x:c>
      <x:c r="D2" s="307"/>
      <x:c r="E2" s="309" t="s">
        <x:v>38</x:v>
      </x:c>
      <x:c r="F2" s="310"/>
      <x:c r="G2" s="299">
        <x:v>104100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4809000</x:v>
      </x:c>
      <x:c r="D4" s="268"/>
      <x:c r="E4" s="308" t="s">
        <x:v>144</x:v>
      </x:c>
      <x:c r="F4" s="308"/>
      <x:c r="G4" s="133">
        <x:v>104100</x:v>
      </x:c>
      <x:c r="H4" s="54" t="s">
        <x:v>20</x:v>
      </x:c>
      <x:c r="I4" s="124">
        <x:f>299382+43500+452000+462384+393694+292375+43500+439200+452000+221000+2327276+209755</x:f>
        <x:v>5636066</x:v>
      </x:c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840000</x:v>
      </x:c>
      <x:c r="D5" s="268"/>
      <x:c r="E5" s="257" t="s">
        <x:v>68</x:v>
      </x:c>
      <x:c r="F5" s="257"/>
      <x:c r="G5" s="133">
        <x:f>INT(C5*0.01)</x:f>
        <x:v>8400</x:v>
      </x:c>
      <x:c r="H5" s="54" t="s">
        <x:v>6</x:v>
      </x:c>
      <x:c r="I5" s="124">
        <x:f>50000+34500+36000+33440+29656+78760+17760</x:f>
        <x:v>280116</x:v>
      </x:c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870000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74100</x:v>
      </x:c>
      <x:c r="D8" s="268"/>
      <x:c r="E8" s="253" t="s">
        <x:v>108</x:v>
      </x:c>
      <x:c r="F8" s="254"/>
      <x:c r="G8" s="287">
        <x:f>C5+G2-G6-C22</x:f>
        <x:v>74100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>
        <x:v>59000</x:v>
      </x:c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 t="s">
        <x:v>162</x:v>
      </x:c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9</x:v>
      </x:c>
      <x:c r="D12" s="253" t="s">
        <x:v>131</x:v>
      </x:c>
      <x:c r="E12" s="254"/>
      <x:c r="F12" s="280">
        <x:v>7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SUM('1:29'!$C$12)</x:f>
        <x:v>240</x:v>
      </x:c>
      <x:c r="D13" s="255"/>
      <x:c r="E13" s="256"/>
      <x:c r="F13" s="285">
        <x:f>SUM('1:29'!$F$12)</x:f>
        <x:v>179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29</x:v>
      </x:c>
      <x:c r="D14" s="253" t="s">
        <x:v>93</x:v>
      </x:c>
      <x:c r="E14" s="254"/>
      <x:c r="F14" s="280">
        <x:v>10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SUM('1:29'!$C$14)</x:f>
        <x:v>712</x:v>
      </x:c>
      <x:c r="D15" s="255"/>
      <x:c r="E15" s="256"/>
      <x:c r="F15" s="285">
        <x:f>SUM('1:29'!$F$14)</x:f>
        <x:v>332</x:v>
      </x:c>
      <x:c r="G15" s="286"/>
      <x:c r="H15" s="54" t="s">
        <x:v>104</x:v>
      </x:c>
      <x:c r="I15" s="58">
        <x:f>54400+6200+14700+15500+4800+22000+3500+10500+5500+3900+2550+7200</x:f>
        <x:v>150750</x:v>
      </x:c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10</x:v>
      </x:c>
      <x:c r="D16" s="253" t="s">
        <x:v>115</x:v>
      </x:c>
      <x:c r="E16" s="254"/>
      <x:c r="F16" s="261">
        <x:v>20</x:v>
      </x:c>
      <x:c r="G16" s="261"/>
      <x:c r="H16" s="54"/>
      <x:c r="I16" s="58">
        <x:v>82000</x:v>
      </x:c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SUM('1:29'!$C$16)</x:f>
        <x:v>160</x:v>
      </x:c>
      <x:c r="D17" s="255"/>
      <x:c r="E17" s="256"/>
      <x:c r="F17" s="252">
        <x:f>SUM('1:29'!$F$16)</x:f>
        <x:v>257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12</x:v>
      </x:c>
      <x:c r="D18" s="253" t="s">
        <x:v>128</x:v>
      </x:c>
      <x:c r="E18" s="254"/>
      <x:c r="F18" s="289">
        <x:v>5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SUM('1:29'!$C$18)</x:f>
        <x:v>378</x:v>
      </x:c>
      <x:c r="D19" s="255"/>
      <x:c r="E19" s="256"/>
      <x:c r="F19" s="252">
        <x:f>SUM('1:29'!$F$18)</x:f>
        <x:v>131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63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SUM('1:29'!$F$20)</x:f>
        <x:v>1844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6148932</x:v>
      </x:c>
      <x:c r="J23" s="61" t="s">
        <x:v>117</x:v>
      </x:c>
      <x:c r="K23" s="62">
        <x:f>SUM(K4:K22)</x:f>
        <x:v>0</x:v>
      </x:c>
      <x:c r="M23" s="88" t="s">
        <x:v>91</x:v>
      </x:c>
      <x:c r="N23" s="282">
        <x:f>C5+C6</x:f>
        <x:v>840000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1.0884992033988317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78">
        <x:f>C2</x:f>
        <x:v>5649000</x:v>
      </x:c>
      <x:c r="B25" s="270"/>
      <x:c r="C25" s="270">
        <x:f>E25/I1</x:f>
        <x:v>4960096.5517241377</x:v>
      </x:c>
      <x:c r="D25" s="270"/>
      <x:c r="E25" s="270">
        <x:f>SUM('1:29'!$A$25)</x:f>
        <x:v>143842800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SUM('1:29'!$K$23)</x:f>
        <x:v>3021960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0.013382671916842554</x:v>
      </x:c>
      <x:c r="J26" s="64" t="s">
        <x:v>126</x:v>
      </x:c>
      <x:c r="K26" s="65">
        <x:f>K25/$E$25</x:f>
        <x:v>0.021008767904962918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/>
      <x:c r="G27" s="268"/>
      <x:c r="H27" s="111" t="s">
        <x:v>116</x:v>
      </x:c>
      <x:c r="I27" s="112">
        <x:f>SUM(C27:D34,F27:G32)</x:f>
        <x:v>686122.58064516133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0.12145912208269806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SUM('1:29'!$I$27)</x:f>
        <x:v>18970804.838709679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>
        <x:f>11700*4</x:f>
        <x:v>46800</x:v>
      </x:c>
      <x:c r="G30" s="267"/>
      <x:c r="H30" s="111" t="s">
        <x:v>126</x:v>
      </x:c>
      <x:c r="I30" s="113">
        <x:f>I29/$I$27</x:f>
        <x:v>27.649293834450724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120000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>
        <x:v>77000</x:v>
      </x:c>
      <x:c r="G32" s="267"/>
    </x:row>
    <x:row r="33" spans="1:4" customHeight="1">
      <x:c r="A33" s="313"/>
      <x:c r="B33" s="54" t="s">
        <x:v>21</x:v>
      </x:c>
      <x:c r="C33" s="264">
        <x:f>13000*4</x:f>
        <x:v>52000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F14:G14"/>
    <x:mergeCell ref="F15:G15"/>
    <x:mergeCell ref="F12:G12"/>
    <x:mergeCell ref="F13:G13"/>
    <x:mergeCell ref="F16:G16"/>
    <x:mergeCell ref="F17:G17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A25:B25"/>
    <x:mergeCell ref="C25:D25"/>
    <x:mergeCell ref="E25:G25"/>
    <x:mergeCell ref="A26:B26"/>
    <x:mergeCell ref="C26:D26"/>
    <x:mergeCell ref="E26:G2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2"/>
  <x:dimension ref="A1:O34"/>
  <x:sheetViews>
    <x:sheetView topLeftCell="A23" zoomScale="85" zoomScaleNormal="85" zoomScaleSheetLayoutView="75" workbookViewId="0">
      <x:selection activeCell="B34" activeCellId="0" sqref="B34:B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123</x:v>
      </x:c>
      <x:c r="D1" s="68"/>
      <x:c r="E1" s="68" t="s">
        <x:v>158</x:v>
      </x:c>
      <x:c r="F1" s="68">
        <x:v>30</x:v>
      </x:c>
      <x:c r="G1" s="68" t="s">
        <x:v>19</x:v>
      </x:c>
      <x:c r="H1" s="52" t="s">
        <x:v>121</x:v>
      </x:c>
      <x:c r="I1" s="52">
        <x:f>F1-K1</x:f>
        <x:v>30</x:v>
      </x:c>
      <x:c r="J1" s="52" t="s">
        <x:v>96</x:v>
      </x:c>
      <x:c r="K1" s="52"/>
    </x:row>
    <x:row r="2" spans="1:11" ht="20.100000000000001" customHeight="1">
      <x:c r="A2" s="303" t="s">
        <x:v>9</x:v>
      </x:c>
      <x:c r="B2" s="304"/>
      <x:c r="C2" s="307">
        <x:f>SUM(C4:D7)</x:f>
        <x:v>5283000</x:v>
      </x:c>
      <x:c r="D2" s="307"/>
      <x:c r="E2" s="309" t="s">
        <x:v>38</x:v>
      </x:c>
      <x:c r="F2" s="310"/>
      <x:c r="G2" s="299">
        <x:v>74100</x:v>
      </x:c>
      <x:c r="H2" s="297" t="s">
        <x:v>6</x:v>
      </x:c>
      <x:c r="I2" s="298"/>
      <x:c r="J2" s="295" t="s">
        <x:v>72</x:v>
      </x:c>
      <x:c r="K2" s="296"/>
    </x:row>
    <x:row r="3" spans="1:11" ht="20.100000000000001" customHeight="1">
      <x:c r="A3" s="305"/>
      <x:c r="B3" s="306"/>
      <x:c r="C3" s="270"/>
      <x:c r="D3" s="270"/>
      <x:c r="E3" s="255"/>
      <x:c r="F3" s="256"/>
      <x:c r="G3" s="300"/>
      <x:c r="H3" s="54" t="s">
        <x:v>25</x:v>
      </x:c>
      <x:c r="I3" s="56" t="s">
        <x:v>37</x:v>
      </x:c>
      <x:c r="J3" s="57" t="s">
        <x:v>25</x:v>
      </x:c>
      <x:c r="K3" s="56" t="s">
        <x:v>37</x:v>
      </x:c>
    </x:row>
    <x:row r="4" spans="1:11" ht="30.949999999999999" customHeight="1">
      <x:c r="A4" s="301" t="s">
        <x:v>22</x:v>
      </x:c>
      <x:c r="B4" s="302"/>
      <x:c r="C4" s="268">
        <x:v>4477000</x:v>
      </x:c>
      <x:c r="D4" s="268"/>
      <x:c r="E4" s="308" t="s">
        <x:v>144</x:v>
      </x:c>
      <x:c r="F4" s="308"/>
      <x:c r="G4" s="133">
        <x:f>INT(C4*0.0275)</x:f>
        <x:v>123117</x:v>
      </x:c>
      <x:c r="H4" s="54" t="s">
        <x:v>20</x:v>
      </x:c>
      <x:c r="I4" s="124"/>
      <x:c r="J4" s="80" t="s">
        <x:v>34</x:v>
      </x:c>
      <x:c r="K4" s="58"/>
    </x:row>
    <x:row r="5" spans="1:11" ht="30.949999999999999" customHeight="1">
      <x:c r="A5" s="301" t="s">
        <x:v>59</x:v>
      </x:c>
      <x:c r="B5" s="302"/>
      <x:c r="C5" s="268">
        <x:v>806000</x:v>
      </x:c>
      <x:c r="D5" s="268"/>
      <x:c r="E5" s="257" t="s">
        <x:v>68</x:v>
      </x:c>
      <x:c r="F5" s="257"/>
      <x:c r="G5" s="133">
        <x:f>INT(C5*0.01)</x:f>
        <x:v>8060</x:v>
      </x:c>
      <x:c r="H5" s="54" t="s">
        <x:v>6</x:v>
      </x:c>
      <x:c r="I5" s="124"/>
      <x:c r="J5" s="81"/>
      <x:c r="K5" s="58"/>
    </x:row>
    <x:row r="6" spans="1:11" ht="21.949999999999999" customHeight="1">
      <x:c r="A6" s="291" t="s">
        <x:v>82</x:v>
      </x:c>
      <x:c r="B6" s="292"/>
      <x:c r="C6" s="271"/>
      <x:c r="D6" s="272"/>
      <x:c r="E6" s="253" t="s">
        <x:v>129</x:v>
      </x:c>
      <x:c r="F6" s="254"/>
      <x:c r="G6" s="311">
        <x:v>740000</x:v>
      </x:c>
      <x:c r="H6" s="54"/>
      <x:c r="I6" s="124"/>
      <x:c r="J6" s="81" t="s">
        <x:v>125</x:v>
      </x:c>
      <x:c r="K6" s="58"/>
    </x:row>
    <x:row r="7" spans="1:11" ht="21.949999999999999" customHeight="1">
      <x:c r="A7" s="293"/>
      <x:c r="B7" s="294"/>
      <x:c r="C7" s="273"/>
      <x:c r="D7" s="274"/>
      <x:c r="E7" s="255"/>
      <x:c r="F7" s="256"/>
      <x:c r="G7" s="300"/>
      <x:c r="H7" s="54" t="s">
        <x:v>23</x:v>
      </x:c>
      <x:c r="I7" s="124"/>
      <x:c r="J7" s="81" t="s">
        <x:v>114</x:v>
      </x:c>
      <x:c r="K7" s="58"/>
    </x:row>
    <x:row r="8" spans="1:11" ht="21.949999999999999" customHeight="1">
      <x:c r="A8" s="260" t="s">
        <x:v>132</x:v>
      </x:c>
      <x:c r="B8" s="257"/>
      <x:c r="C8" s="268">
        <x:v>144100</x:v>
      </x:c>
      <x:c r="D8" s="268"/>
      <x:c r="E8" s="253" t="s">
        <x:v>108</x:v>
      </x:c>
      <x:c r="F8" s="254"/>
      <x:c r="G8" s="287">
        <x:f>C5+G2-G6-C22</x:f>
        <x:v>140100</x:v>
      </x:c>
      <x:c r="H8" s="54" t="s">
        <x:v>43</x:v>
      </x:c>
      <x:c r="I8" s="124"/>
      <x:c r="J8" s="81"/>
      <x:c r="K8" s="58"/>
    </x:row>
    <x:row r="9" spans="1:11" ht="21.949999999999999" customHeight="1">
      <x:c r="A9" s="260"/>
      <x:c r="B9" s="257"/>
      <x:c r="C9" s="268"/>
      <x:c r="D9" s="268"/>
      <x:c r="E9" s="255"/>
      <x:c r="F9" s="256"/>
      <x:c r="G9" s="288"/>
      <x:c r="H9" s="54"/>
      <x:c r="I9" s="124"/>
      <x:c r="J9" s="54" t="s">
        <x:v>16</x:v>
      </x:c>
      <x:c r="K9" s="58"/>
    </x:row>
    <x:row r="10" spans="1:11" ht="30.949999999999999" customHeight="1">
      <x:c r="A10" s="260" t="s">
        <x:v>141</x:v>
      </x:c>
      <x:c r="B10" s="257"/>
      <x:c r="C10" s="268"/>
      <x:c r="D10" s="268"/>
      <x:c r="E10" s="257" t="s">
        <x:v>85</x:v>
      </x:c>
      <x:c r="F10" s="257"/>
      <x:c r="G10" s="55"/>
      <x:c r="H10" s="54"/>
      <x:c r="I10" s="124"/>
      <x:c r="J10" s="54" t="s">
        <x:v>51</x:v>
      </x:c>
      <x:c r="K10" s="58"/>
    </x:row>
    <x:row r="11" spans="1:11" ht="33" customHeight="1">
      <x:c r="A11" s="260" t="s">
        <x:v>101</x:v>
      </x:c>
      <x:c r="B11" s="257"/>
      <x:c r="C11" s="279"/>
      <x:c r="D11" s="279"/>
      <x:c r="E11" s="279"/>
      <x:c r="F11" s="279"/>
      <x:c r="G11" s="279"/>
      <x:c r="H11" s="54" t="s">
        <x:v>56</x:v>
      </x:c>
      <x:c r="I11" s="58"/>
      <x:c r="J11" s="54" t="s">
        <x:v>80</x:v>
      </x:c>
      <x:c r="K11" s="135"/>
    </x:row>
    <x:row r="12" spans="1:13" ht="21.949999999999999" customHeight="1">
      <x:c r="A12" s="59" t="s">
        <x:v>46</x:v>
      </x:c>
      <x:c r="B12" s="258" t="s">
        <x:v>40</x:v>
      </x:c>
      <x:c r="C12" s="79">
        <x:v>11</x:v>
      </x:c>
      <x:c r="D12" s="253" t="s">
        <x:v>131</x:v>
      </x:c>
      <x:c r="E12" s="254"/>
      <x:c r="F12" s="280">
        <x:v>5</x:v>
      </x:c>
      <x:c r="G12" s="281"/>
      <x:c r="H12" s="54" t="s">
        <x:v>100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94</x:v>
      </x:c>
      <x:c r="B13" s="259"/>
      <x:c r="C13" s="134">
        <x:f>SUM('1:30'!$C$12)</x:f>
        <x:v>251</x:v>
      </x:c>
      <x:c r="D13" s="255"/>
      <x:c r="E13" s="256"/>
      <x:c r="F13" s="285">
        <x:f>SUM('1:30'!$F$12)</x:f>
        <x:v>184</x:v>
      </x:c>
      <x:c r="G13" s="286"/>
      <x:c r="H13" s="54" t="s">
        <x:v>124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46</x:v>
      </x:c>
      <x:c r="B14" s="258" t="s">
        <x:v>62</x:v>
      </x:c>
      <x:c r="C14" s="79">
        <x:v>22</x:v>
      </x:c>
      <x:c r="D14" s="253" t="s">
        <x:v>93</x:v>
      </x:c>
      <x:c r="E14" s="254"/>
      <x:c r="F14" s="280">
        <x:v>16</x:v>
      </x:c>
      <x:c r="G14" s="281"/>
      <x:c r="H14" s="54" t="s">
        <x:v>109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94</x:v>
      </x:c>
      <x:c r="B15" s="259"/>
      <x:c r="C15" s="134">
        <x:f>SUM('1:30'!$C$14)</x:f>
        <x:v>734</x:v>
      </x:c>
      <x:c r="D15" s="255"/>
      <x:c r="E15" s="256"/>
      <x:c r="F15" s="285">
        <x:f>SUM('1:30'!$F$14)</x:f>
        <x:v>348</x:v>
      </x:c>
      <x:c r="G15" s="286"/>
      <x:c r="H15" s="54" t="s">
        <x:v>104</x:v>
      </x:c>
      <x:c r="I15" s="58"/>
      <x:c r="J15" s="54" t="s">
        <x:v>72</x:v>
      </x:c>
      <x:c r="K15" s="58"/>
      <x:c r="L15" s="60"/>
      <x:c r="M15" s="11"/>
    </x:row>
    <x:row r="16" spans="1:13" ht="21.949999999999999" customHeight="1">
      <x:c r="A16" s="59" t="s">
        <x:v>46</x:v>
      </x:c>
      <x:c r="B16" s="258" t="s">
        <x:v>49</x:v>
      </x:c>
      <x:c r="C16" s="79">
        <x:v>3</x:v>
      </x:c>
      <x:c r="D16" s="253" t="s">
        <x:v>115</x:v>
      </x:c>
      <x:c r="E16" s="254"/>
      <x:c r="F16" s="261">
        <x:v>8</x:v>
      </x:c>
      <x:c r="G16" s="261"/>
      <x:c r="H16" s="54"/>
      <x:c r="I16" s="58"/>
      <x:c r="J16" s="54" t="s">
        <x:v>95</x:v>
      </x:c>
      <x:c r="K16" s="58"/>
      <x:c r="L16" s="60"/>
      <x:c r="M16" s="11"/>
    </x:row>
    <x:row r="17" spans="1:13" ht="21.949999999999999" customHeight="1">
      <x:c r="A17" s="59" t="s">
        <x:v>94</x:v>
      </x:c>
      <x:c r="B17" s="259"/>
      <x:c r="C17" s="134">
        <x:f>SUM('1:30'!$C$16)</x:f>
        <x:v>163</x:v>
      </x:c>
      <x:c r="D17" s="255"/>
      <x:c r="E17" s="256"/>
      <x:c r="F17" s="252">
        <x:f>SUM('1:30'!$F$16)</x:f>
        <x:v>265</x:v>
      </x:c>
      <x:c r="G17" s="252"/>
      <x:c r="H17" s="54" t="s">
        <x:v>7</x:v>
      </x:c>
      <x:c r="I17" s="58"/>
      <x:c r="J17" s="54" t="s">
        <x:v>88</x:v>
      </x:c>
      <x:c r="K17" s="58"/>
      <x:c r="L17" s="60"/>
      <x:c r="M17" s="11"/>
    </x:row>
    <x:row r="18" spans="1:13" ht="21.949999999999999" customHeight="1">
      <x:c r="A18" s="59" t="s">
        <x:v>46</x:v>
      </x:c>
      <x:c r="B18" s="258" t="s">
        <x:v>89</x:v>
      </x:c>
      <x:c r="C18" s="79">
        <x:v>9</x:v>
      </x:c>
      <x:c r="D18" s="253" t="s">
        <x:v>128</x:v>
      </x:c>
      <x:c r="E18" s="254"/>
      <x:c r="F18" s="289">
        <x:v>9</x:v>
      </x:c>
      <x:c r="G18" s="29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94</x:v>
      </x:c>
      <x:c r="B19" s="259"/>
      <x:c r="C19" s="134">
        <x:f>SUM('1:30'!$C$18)</x:f>
        <x:v>387</x:v>
      </x:c>
      <x:c r="D19" s="255"/>
      <x:c r="E19" s="256"/>
      <x:c r="F19" s="252">
        <x:f>SUM('1:30'!$F$18)</x:f>
        <x:v>140</x:v>
      </x:c>
      <x:c r="G19" s="25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111</x:v>
      </x:c>
      <x:c r="E20" s="257"/>
      <x:c r="F20" s="261">
        <x:v>63</x:v>
      </x:c>
      <x:c r="G20" s="261"/>
      <x:c r="H20" s="58"/>
      <x:c r="J20" s="54"/>
      <x:c r="K20" s="58"/>
      <x:c r="L20" s="60"/>
      <x:c r="M20" s="11"/>
    </x:row>
    <x:row r="21" spans="4:13" ht="21.949999999999999" customHeight="1">
      <x:c r="D21" s="257" t="s">
        <x:v>112</x:v>
      </x:c>
      <x:c r="E21" s="257"/>
      <x:c r="F21" s="252">
        <x:f>SUM('1:30'!$F$20)</x:f>
        <x:v>1907</x:v>
      </x:c>
      <x:c r="G21" s="252"/>
      <x:c r="H21" s="58"/>
      <x:c r="J21" s="54"/>
      <x:c r="K21" s="58"/>
      <x:c r="L21" s="60"/>
      <x:c r="M21" s="11"/>
    </x:row>
    <x:row r="22" spans="1:13" ht="32.100000000000001" customHeight="1">
      <x:c r="A22" s="260" t="s">
        <x:v>81</x:v>
      </x:c>
      <x:c r="B22" s="257"/>
      <x:c r="C22" s="284"/>
      <x:c r="D22" s="284"/>
      <x:c r="E22" s="284"/>
      <x:c r="F22" s="284"/>
      <x:c r="G22" s="284"/>
      <x:c r="H22" s="54"/>
      <x:c r="J22" s="54"/>
      <x:c r="K22" s="58"/>
      <x:c r="L22" s="60"/>
      <x:c r="M22" s="11"/>
    </x:row>
    <x:row r="23" spans="1:15" ht="34.149999999999999" customHeight="1">
      <x:c r="A23" s="260" t="s">
        <x:v>122</x:v>
      </x:c>
      <x:c r="B23" s="257"/>
      <x:c r="C23" s="315"/>
      <x:c r="D23" s="316"/>
      <x:c r="E23" s="316"/>
      <x:c r="F23" s="316"/>
      <x:c r="G23" s="316"/>
      <x:c r="H23" s="107" t="s">
        <x:v>92</x:v>
      </x:c>
      <x:c r="I23" s="108">
        <x:f>SUM(I4:I22)</x:f>
        <x:v>0</x:v>
      </x:c>
      <x:c r="J23" s="61" t="s">
        <x:v>117</x:v>
      </x:c>
      <x:c r="K23" s="62">
        <x:f>SUM(K4:K22)</x:f>
        <x:v>0</x:v>
      </x:c>
      <x:c r="M23" s="88" t="s">
        <x:v>91</x:v>
      </x:c>
      <x:c r="N23" s="282">
        <x:f>C5+C6</x:f>
        <x:v>806000</x:v>
      </x:c>
      <x:c r="O23" s="283"/>
    </x:row>
    <x:row r="24" spans="1:11" ht="34.149999999999999" customHeight="1">
      <x:c r="A24" s="260" t="s">
        <x:v>8</x:v>
      </x:c>
      <x:c r="B24" s="257"/>
      <x:c r="C24" s="257" t="s">
        <x:v>84</x:v>
      </x:c>
      <x:c r="D24" s="257"/>
      <x:c r="E24" s="257" t="s">
        <x:v>99</x:v>
      </x:c>
      <x:c r="F24" s="257"/>
      <x:c r="G24" s="257"/>
      <x:c r="H24" s="107" t="s">
        <x:v>8</x:v>
      </x:c>
      <x:c r="I24" s="109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278">
        <x:f>C2</x:f>
        <x:v>5283000</x:v>
      </x:c>
      <x:c r="B25" s="270"/>
      <x:c r="C25" s="270">
        <x:f>E25/I1</x:f>
        <x:v>4970860</x:v>
      </x:c>
      <x:c r="D25" s="270"/>
      <x:c r="E25" s="270">
        <x:f>SUM('1:30'!$A$25)</x:f>
        <x:v>149125800</x:v>
      </x:c>
      <x:c r="F25" s="270"/>
      <x:c r="G25" s="270"/>
      <x:c r="H25" s="107" t="s">
        <x:v>31</x:v>
      </x:c>
      <x:c r="I25" s="108">
        <x:f>SUM('1'!$I$23)</x:f>
        <x:v>1925001</x:v>
      </x:c>
      <x:c r="J25" s="61" t="s">
        <x:v>31</x:v>
      </x:c>
      <x:c r="K25" s="62">
        <x:f>SUM('1:30'!$K$23)</x:f>
        <x:v>3021960</x:v>
      </x:c>
    </x:row>
    <x:row r="26" spans="1:11" ht="34.149999999999999" customHeight="1">
      <x:c r="A26" s="260" t="s">
        <x:v>140</x:v>
      </x:c>
      <x:c r="B26" s="257"/>
      <x:c r="C26" s="257"/>
      <x:c r="D26" s="257"/>
      <x:c r="E26" s="268"/>
      <x:c r="F26" s="268"/>
      <x:c r="G26" s="268"/>
      <x:c r="H26" s="107" t="s">
        <x:v>126</x:v>
      </x:c>
      <x:c r="I26" s="110">
        <x:f>I25/$E$25</x:f>
        <x:v>0.012908571152677807</x:v>
      </x:c>
      <x:c r="J26" s="64" t="s">
        <x:v>126</x:v>
      </x:c>
      <x:c r="K26" s="65">
        <x:f>K25/$E$25</x:f>
        <x:v>0.02026450151482842</x:v>
      </x:c>
    </x:row>
    <x:row r="27" spans="1:13" ht="30.949999999999999" customHeight="1">
      <x:c r="A27" s="312" t="s">
        <x:v>139</x:v>
      </x:c>
      <x:c r="B27" s="54" t="s">
        <x:v>42</x:v>
      </x:c>
      <x:c r="C27" s="270">
        <x:f>3300000/31</x:f>
        <x:v>106451.6129032258</x:v>
      </x:c>
      <x:c r="D27" s="270"/>
      <x:c r="E27" s="55" t="s">
        <x:v>146</x:v>
      </x:c>
      <x:c r="F27" s="268"/>
      <x:c r="G27" s="268"/>
      <x:c r="H27" s="111" t="s">
        <x:v>116</x:v>
      </x:c>
      <x:c r="I27" s="112">
        <x:f>SUM(C27:D34,F27:G32)</x:f>
        <x:v>731872.58064516133</x:v>
      </x:c>
      <x:c r="M27" s="66"/>
    </x:row>
    <x:row r="28" spans="1:13" ht="30.949999999999999" customHeight="1">
      <x:c r="A28" s="313"/>
      <x:c r="B28" s="54"/>
      <x:c r="C28" s="270"/>
      <x:c r="D28" s="270"/>
      <x:c r="E28" s="55" t="s">
        <x:v>148</x:v>
      </x:c>
      <x:c r="F28" s="270">
        <x:f>1500000/31</x:f>
        <x:v>48387.096774193546</x:v>
      </x:c>
      <x:c r="G28" s="270"/>
      <x:c r="H28" s="111" t="s">
        <x:v>8</x:v>
      </x:c>
      <x:c r="I28" s="113">
        <x:f>I27/$A$25</x:f>
        <x:v>0.1385335189561161</x:v>
      </x:c>
      <x:c r="M28" s="66"/>
    </x:row>
    <x:row r="29" spans="1:13" ht="30.949999999999999" customHeight="1">
      <x:c r="A29" s="313"/>
      <x:c r="B29" s="54" t="s">
        <x:v>45</x:v>
      </x:c>
      <x:c r="C29" s="270">
        <x:f>3300000/31</x:f>
        <x:v>106451.6129032258</x:v>
      </x:c>
      <x:c r="D29" s="270"/>
      <x:c r="E29" s="55" t="s">
        <x:v>55</x:v>
      </x:c>
      <x:c r="F29" s="268"/>
      <x:c r="G29" s="268"/>
      <x:c r="H29" s="111" t="s">
        <x:v>31</x:v>
      </x:c>
      <x:c r="I29" s="112">
        <x:f>SUM('1:30'!$I$27)</x:f>
        <x:v>19702677.419354841</x:v>
      </x:c>
      <x:c r="M29" s="66"/>
    </x:row>
    <x:row r="30" spans="1:13" ht="30.949999999999999" customHeight="1">
      <x:c r="A30" s="313"/>
      <x:c r="B30" s="54"/>
      <x:c r="C30" s="269"/>
      <x:c r="D30" s="269"/>
      <x:c r="E30" s="55" t="s">
        <x:v>55</x:v>
      </x:c>
      <x:c r="F30" s="266">
        <x:f>11700*1.5</x:f>
        <x:v>17550</x:v>
      </x:c>
      <x:c r="G30" s="267"/>
      <x:c r="H30" s="111" t="s">
        <x:v>126</x:v>
      </x:c>
      <x:c r="I30" s="113">
        <x:f>I29/$I$27</x:f>
        <x:v>26.920912110119648</x:v>
      </x:c>
      <x:c r="M30" s="66"/>
    </x:row>
    <x:row r="31" spans="1:7" customHeight="1">
      <x:c r="A31" s="313"/>
      <x:c r="B31" s="54" t="s">
        <x:v>39</x:v>
      </x:c>
      <x:c r="C31" s="262">
        <x:f>4000000/31</x:f>
        <x:v>129032.25806451614</x:v>
      </x:c>
      <x:c r="D31" s="263"/>
      <x:c r="E31" s="55" t="s">
        <x:v>4</x:v>
      </x:c>
      <x:c r="F31" s="266">
        <x:v>130000</x:v>
      </x:c>
      <x:c r="G31" s="267"/>
    </x:row>
    <x:row r="32" spans="1:7" customHeight="1">
      <x:c r="A32" s="313"/>
      <x:c r="B32" s="54" t="s">
        <x:v>55</x:v>
      </x:c>
      <x:c r="C32" s="264"/>
      <x:c r="D32" s="265"/>
      <x:c r="E32" s="55" t="s">
        <x:v>136</x:v>
      </x:c>
      <x:c r="F32" s="266">
        <x:v>77000</x:v>
      </x:c>
      <x:c r="G32" s="267"/>
    </x:row>
    <x:row r="33" spans="1:4" customHeight="1">
      <x:c r="A33" s="313"/>
      <x:c r="B33" s="54" t="s">
        <x:v>21</x:v>
      </x:c>
      <x:c r="C33" s="264">
        <x:f>13000*9</x:f>
        <x:v>117000</x:v>
      </x:c>
      <x:c r="D33" s="265"/>
    </x:row>
    <x:row r="34" spans="1:4" customHeight="1">
      <x:c r="A34" s="314"/>
      <x:c r="B34" s="54" t="s">
        <x:v>55</x:v>
      </x:c>
      <x:c r="C34" s="266"/>
      <x:c r="D34" s="267"/>
    </x:row>
  </x:sheetData>
  <x:mergeCells count="74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F14:G14"/>
    <x:mergeCell ref="F15:G15"/>
    <x:mergeCell ref="F12:G12"/>
    <x:mergeCell ref="F13:G13"/>
    <x:mergeCell ref="F16:G16"/>
    <x:mergeCell ref="F17:G17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A25:B25"/>
    <x:mergeCell ref="C25:D25"/>
    <x:mergeCell ref="E25:G25"/>
    <x:mergeCell ref="A26:B26"/>
    <x:mergeCell ref="C26:D26"/>
    <x:mergeCell ref="E26:G2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4"/>
  <x:dimension ref="A1:A1"/>
  <x:sheetViews>
    <x:sheetView topLeftCell="A1" zoomScale="66" zoomScaleNormal="66" zoomScaleSheetLayoutView="75" workbookViewId="0">
      <x:selection activeCell="A1" activeCellId="0" sqref="A1:A1"/>
    </x:sheetView>
  </x:sheetViews>
  <x:sheetFormatPr defaultColWidth="9" defaultRowHeight="16.5"/>
  <x:sheetData/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3" baseType="lpstr">
      <vt:lpstr>월합산</vt:lpstr>
      <vt:lpstr>결산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Chart1</vt:lpstr>
    </vt:vector>
  </ep:TitlesOfParts>
  <ep:TotalTime>200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현지</dc:creator>
  <cp:lastModifiedBy>신재호</cp:lastModifiedBy>
  <cp:revision>25</cp:revision>
  <cp:lastPrinted>2020-08-02T09:11:11.000</cp:lastPrinted>
  <dcterms:created xsi:type="dcterms:W3CDTF">2017-10-12T05:43:00.000</dcterms:created>
  <dcterms:modified xsi:type="dcterms:W3CDTF">2026-04-27T17:16:02.701</dcterms:modified>
  <cp:version>1000.0100.01</cp:version>
</cp:coreProperties>
</file>