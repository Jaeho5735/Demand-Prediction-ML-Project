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mand_prediction_MLproject\xlxs\"/>
    </mc:Choice>
  </mc:AlternateContent>
  <x:bookViews>
    <x:workbookView xWindow="0" yWindow="0" windowWidth="13965" windowHeight="11715" firstSheet="23" activeTab="2"/>
  </x:bookViews>
  <x:sheets>
    <x:sheet name="월합산" sheetId="1" state="hidden" r:id="rId4"/>
    <x:sheet name="결산" sheetId="2" r:id="rId5"/>
    <x:sheet name="1" sheetId="3" r:id="rId6"/>
    <x:sheet name="2" sheetId="4" r:id="rId7"/>
    <x:sheet name="3" sheetId="5" r:id="rId8"/>
    <x:sheet name="4" sheetId="6" r:id="rId9"/>
    <x:sheet name="5" sheetId="7" r:id="rId10"/>
    <x:sheet name="6" sheetId="8" r:id="rId11"/>
    <x:sheet name="7" sheetId="9" r:id="rId12"/>
    <x:sheet name="8" sheetId="10" r:id="rId13"/>
    <x:sheet name="9" sheetId="11" r:id="rId14"/>
    <x:sheet name="10" sheetId="12" r:id="rId15"/>
    <x:sheet name="11" sheetId="13" r:id="rId16"/>
    <x:sheet name="12" sheetId="14" r:id="rId17"/>
    <x:sheet name="13" sheetId="15" r:id="rId18"/>
    <x:sheet name="14" sheetId="16" r:id="rId19"/>
    <x:sheet name="15" sheetId="17" r:id="rId20"/>
    <x:sheet name="16" sheetId="18" r:id="rId21"/>
    <x:sheet name="17" sheetId="19" r:id="rId22"/>
    <x:sheet name="18" sheetId="20" r:id="rId23"/>
    <x:sheet name="19" sheetId="21" r:id="rId24"/>
    <x:sheet name="20" sheetId="22" r:id="rId25"/>
    <x:sheet name="21" sheetId="23" r:id="rId26"/>
    <x:sheet name="22" sheetId="24" r:id="rId27"/>
    <x:sheet name="23" sheetId="25" r:id="rId28"/>
    <x:sheet name="24" sheetId="26" r:id="rId29"/>
    <x:sheet name="25" sheetId="27" r:id="rId30"/>
    <x:sheet name="26" sheetId="28" r:id="rId31"/>
    <x:sheet name="27" sheetId="29" r:id="rId32"/>
    <x:sheet name="28" sheetId="30" r:id="rId33"/>
    <x:sheet name="29" sheetId="31" r:id="rId34"/>
    <x:sheet name="30" sheetId="32" r:id="rId35"/>
    <x:sheet name="31" sheetId="33" r:id="rId36"/>
    <x:sheet name="Chart1" sheetId="34" state="hidden" r:id="rId37"/>
  </x:sheets>
  <x:definedNames>
    <x:definedName name="_xlnm.Print_Area" localSheetId="18">'17'!$A$1:$O$34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<x:sst xmlns:r="http://schemas.openxmlformats.org/officeDocument/2006/relationships" xmlns:c="http://schemas.openxmlformats.org/drawingml/2006/chart" xmlns:x="http://schemas.openxmlformats.org/spreadsheetml/2006/main" count="2886" uniqueCount="161">
  <x:si>
    <x:t>V</x:t>
  </x:si>
  <x:si>
    <x:t>변동비</x:t>
  </x:si>
  <x:si>
    <x:t>항목</x:t>
  </x:si>
  <x:si>
    <x:t>만</x:t>
  </x:si>
  <x:si>
    <x:t>파출</x:t>
  </x:si>
  <x:si>
    <x:t>포스</x:t>
  </x:si>
  <x:si>
    <x:t>식자재</x:t>
  </x:si>
  <x:si>
    <x:t>막걸리</x:t>
  </x:si>
  <x:si>
    <x:t>일매출</x:t>
  </x:si>
  <x:si>
    <x:t>매출</x:t>
  </x:si>
  <x:si>
    <x:t>수도</x:t>
  </x:si>
  <x:si>
    <x:t>총매출</x:t>
  </x:si>
  <x:si>
    <x:t>시제</x:t>
  </x:si>
  <x:si>
    <x:t>오백</x:t>
  </x:si>
  <x:si>
    <x:t>입금</x:t>
  </x:si>
  <x:si>
    <x:t>F</x:t>
  </x:si>
  <x:si>
    <x:t>뚝배기</x:t>
  </x:si>
  <x:si>
    <x:t>잔금</x:t>
  </x:si>
  <x:si>
    <x:t>토</x:t>
  </x:si>
  <x:si>
    <x:t>일</x:t>
  </x:si>
  <x:si>
    <x:t>고기</x:t>
  </x:si>
  <x:si>
    <x:t>알바B</x:t>
  </x:si>
  <x:si>
    <x:t>카드</x:t>
  </x:si>
  <x:si>
    <x:t>홀파출</x:t>
  </x:si>
  <x:si>
    <x:t>직원B</x:t>
  </x:si>
  <x:si>
    <x:t>주류</x:t>
  </x:si>
  <x:si>
    <x:t>목요일</x:t>
  </x:si>
  <x:si>
    <x:t>선결제</x:t>
  </x:si>
  <x:si>
    <x:t>5월</x:t>
  </x:si>
  <x:si>
    <x:t>총비용</x:t>
  </x:si>
  <x:si>
    <x:t>토요일</x:t>
  </x:si>
  <x:si>
    <x:t>소예준</x:t>
  </x:si>
  <x:si>
    <x:t>업체</x:t>
  </x:si>
  <x:si>
    <x:t>금요일</x:t>
  </x:si>
  <x:si>
    <x:t>수</x:t>
  </x:si>
  <x:si>
    <x:t>생갈비</x:t>
  </x:si>
  <x:si>
    <x:t>금</x:t>
  </x:si>
  <x:si>
    <x:t>알바A</x:t>
  </x:si>
  <x:si>
    <x:t>일요일</x:t>
  </x:si>
  <x:si>
    <x:t>고정비</x:t>
  </x:si>
  <x:si>
    <x:t>가스비</x:t>
  </x:si>
  <x:si>
    <x:t>배달</x:t>
  </x:si>
  <x:si>
    <x:t>누계</x:t>
  </x:si>
  <x:si>
    <x:t>S</x:t>
  </x:si>
  <x:si>
    <x:t>월세</x:t>
  </x:si>
  <x:si>
    <x:t>숯</x:t>
  </x:si>
  <x:si>
    <x:t>인터넷</x:t>
  </x:si>
  <x:si>
    <x:t>마케팅</x:t>
  </x:si>
  <x:si>
    <x:t>금액</x:t>
  </x:si>
  <x:si>
    <x:t>시재</x:t>
  </x:si>
  <x:si>
    <x:t>직원C</x:t>
  </x:si>
  <x:si>
    <x:t>목살</x:t>
  </x:si>
  <x:si>
    <x:t>백이하</x:t>
  </x:si>
  <x:si>
    <x:t>직원A</x:t>
  </x:si>
  <x:si>
    <x:t>쌀</x:t>
  </x:si>
  <x:si>
    <x:t>세무사</x:t>
  </x:si>
  <x:si>
    <x:t>직원D</x:t>
  </x:si>
  <x:si>
    <x:t>개수</x:t>
  </x:si>
  <x:si>
    <x:t>월</x:t>
  </x:si>
  <x:si>
    <x:t>목</x:t>
  </x:si>
  <x:si>
    <x:t>육회</x:t>
  </x:si>
  <x:si>
    <x:t>천</x:t>
  </x:si>
  <x:si>
    <x:t>발매트</x:t>
  </x:si>
  <x:si>
    <x:t>합계</x:t>
  </x:si>
  <x:si>
    <x:t>V/S</x:t>
  </x:si>
  <x:si>
    <x:t>급여</x:t>
  </x:si>
  <x:si>
    <x:t>알바X</x:t>
  </x:si>
  <x:si>
    <x:t>참기름</x:t>
  </x:si>
  <x:si>
    <x:t>전기세</x:t>
  </x:si>
  <x:si>
    <x:t>매출액</x:t>
  </x:si>
  <x:si>
    <x:t>현금</x:t>
  </x:si>
  <x:si>
    <x:t>화</x:t>
  </x:si>
  <x:si>
    <x:t>`</x:t>
  </x:si>
  <x:si>
    <x:t>카드 없고 현금 부족한 외국인 할인처리(현금 뽑아서 채워두겠습니다 -명성올림-)</x:t>
  </x:si>
  <x:si>
    <x:t>손익분기점 매출액 X</x:t>
  </x:si>
  <x:si>
    <x:t>take
out</x:t>
  </x:si>
  <x:si>
    <x:t>손익분기점 매출액</x:t>
  </x:si>
  <x:si>
    <x:t>식권 52,000</x:t>
  </x:si>
  <x:si>
    <x:t>체험단 50,000원</x:t>
  </x:si>
  <x:si>
    <x:t>퇴직금(10%)</x:t>
  </x:si>
  <x:si>
    <x:t>현금수수료 (1%)</x:t>
  </x:si>
  <x:si>
    <x:t>현금수수료(1%)</x:t>
  </x:si>
  <x:si>
    <x:t>월   합  산</x:t>
  </x:si>
  <x:si>
    <x:t>마  감  잔  금</x:t>
  </x:si>
  <x:si>
    <x:t>비       고</x:t>
  </x:si>
  <x:si>
    <x:t>비품 및 기타경비</x:t>
  </x:si>
  <x:si>
    <x:t>비품 및 
기타경비</x:t>
  </x:si>
  <x:si>
    <x:t>종량재봉투</x:t>
  </x:si>
  <x:si>
    <x:t>목표일매출</x:t>
  </x:si>
  <x:si>
    <x:t>4대보험료</x:t>
  </x:si>
  <x:si>
    <x:t>소     계</x:t>
  </x:si>
  <x:si>
    <x:t>변동비용</x:t>
  </x:si>
  <x:si>
    <x:t>화재보험</x:t>
  </x:si>
  <x:si>
    <x:t>불판세척</x:t>
  </x:si>
  <x:si>
    <x:t>중간출금</x:t>
  </x:si>
  <x:si>
    <x:t>페이결제</x:t>
  </x:si>
  <x:si>
    <x:t>목표월매출</x:t>
  </x:si>
  <x:si>
    <x:t>일평균매출</x:t>
  </x:si>
  <x:si>
    <x:t>카드할인</x:t>
  </x:si>
  <x:si>
    <x:t>영업일수</x:t>
  </x:si>
  <x:si>
    <x:t>세전이익</x:t>
  </x:si>
  <x:si>
    <x:t>다이소 구매</x:t>
  </x:si>
  <x:si>
    <x:t>소갈비살</x:t>
  </x:si>
  <x:si>
    <x:t>고정비용</x:t>
  </x:si>
  <x:si>
    <x:t>현금합계</x:t>
  </x:si>
  <x:si>
    <x:t>식자재합계</x:t>
  </x:si>
  <x:si>
    <x:t>돼지양념갈비</x:t>
  </x:si>
  <x:si>
    <x:t>매출누계</x:t>
  </x:si>
  <x:si>
    <x:t>인터넷 주문</x:t>
  </x:si>
  <x:si>
    <x:t>휴무일수</x:t>
  </x:si>
  <x:si>
    <x:t>종합소득세</x:t>
  </x:si>
  <x:si>
    <x:t>쿠쿠(블루문)</x:t>
  </x:si>
  <x:si>
    <x:t>누적총매출</x:t>
  </x:si>
  <x:si>
    <x:t>부탄가스</x:t>
  </x:si>
  <x:si>
    <x:t>할인내역</x:t>
  </x:si>
  <x:si>
    <x:t>할인금액</x:t>
  </x:si>
  <x:si>
    <x:t>손익분기점</x:t>
  </x:si>
  <x:si>
    <x:t>식자재2</x:t>
  </x:si>
  <x:si>
    <x:t>세후이익</x:t>
  </x:si>
  <x:si>
    <x:t>세금부가세</x:t>
  </x:si>
  <x:si>
    <x:t>항목별 소계</x:t>
  </x:si>
  <x:si>
    <x:t>마감잔금</x:t>
  </x:si>
  <x:si>
    <x:t>깍두기,계란</x:t>
  </x:si>
  <x:si>
    <x:t>합    계</x:t>
  </x:si>
  <x:si>
    <x:t>테이블수</x:t>
  </x:si>
  <x:si>
    <x:t>누적테이블</x:t>
  </x:si>
  <x:si>
    <x:t>매출 비율</x:t>
  </x:si>
  <x:si>
    <x:t>종량제봉투</x:t>
  </x:si>
  <x:si>
    <x:t>한우업진살</x:t>
  </x:si>
  <x:si>
    <x:t>인건비합계</x:t>
  </x:si>
  <x:si>
    <x:t>기타경비합계</x:t>
  </x:si>
  <x:si>
    <x:t>금고잔액</x:t>
  </x:si>
  <x:si>
    <x:t>코카콜라</x:t>
  </x:si>
  <x:si>
    <x:t>카드매출</x:t>
  </x:si>
  <x:si>
    <x:t>실영업일수</x:t>
  </x:si>
  <x:si>
    <x:t>출금내역</x:t>
  </x:si>
  <x:si>
    <x:t>2025년</x:t>
  </x:si>
  <x:si>
    <x:t>코카콜라음료</x:t>
  </x:si>
  <x:si>
    <x:t>음식물스티커</x:t>
  </x:si>
  <x:si>
    <x:t>누적매출</x:t>
  </x:si>
  <x:si>
    <x:t>현금매출</x:t>
  </x:si>
  <x:si>
    <x:t>LA양념갈비</x:t>
  </x:si>
  <x:si>
    <x:t>통장입금</x:t>
  </x:si>
  <x:si>
    <x:t>중간입금</x:t>
  </x:si>
  <x:si>
    <x:t>LA갈비</x:t>
  </x:si>
  <x:si>
    <x:t>금고 실잔액</x:t>
  </x:si>
  <x:si>
    <x:t>페이매출</x:t>
  </x:si>
  <x:si>
    <x:t>항목 비율</x:t>
  </x:si>
  <x:si>
    <x:t>입금내역</x:t>
  </x:si>
  <x:si>
    <x:t>홀 파출</x:t>
  </x:si>
  <x:si>
    <x:t>5월 테이블수</x:t>
  </x:si>
  <x:si>
    <x:t>배달료누계</x:t>
  </x:si>
  <x:si>
    <x:t>변동비율</x:t>
  </x:si>
  <x:si>
    <x:t>인
건
비</x:t>
  </x:si>
  <x:si>
    <x:t>전   월</x:t>
  </x:si>
  <x:si>
    <x:t>현금할인</x:t>
  </x:si>
  <x:si>
    <x:t>매출대비 비율</x:t>
  </x:si>
  <x:si>
    <x:t>X=F/(1-(V/S))</x:t>
  </x:si>
  <x:si>
    <x:t>김소희 85,000원 선결제</x:t>
  </x:si>
  <x:si>
    <x:t>카드수수료(2.75%)</x:t>
  </x:si>
  <x:si>
    <x:t>리뷰노트 50,000원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</x:si>
</x:sst>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%"/>
    <x:numFmt numFmtId="165" formatCode="#,##0_ "/>
    <x:numFmt numFmtId="166" formatCode="#,##0.00_ "/>
    <x:numFmt numFmtId="167" formatCode="_-* #,##0_-;\-* #,##0_-;_-* &quot;-&quot;???_-;_-@_-"/>
    <x:numFmt numFmtId="168" formatCode="&quot;₩&quot;#,##0_);[Red]\(&quot;₩&quot;#,##0\)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0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x:font>
      <x:name val="맑은 고딕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24"/>
          <x:color rgb="ff000000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e6b8b7"/>
        <x:bgColor indexed="64"/>
      </x:patternFill>
    </x:fill>
    <x:fill>
      <x:patternFill patternType="solid">
        <x:fgColor rgb="ff8cb3e4"/>
        <x:bgColor indexed="64"/>
      </x:patternFill>
    </x:fill>
    <x:fill>
      <x:patternFill patternType="solid">
        <x:fgColor rgb="fffadb8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b7dee8"/>
        <x:bgColor indexed="64"/>
      </x:patternFill>
    </x:fill>
  </x:fills>
  <x:borders count="7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1" fontId="0" fillId="0" borderId="0">
      <x:alignment horizontal="general" vertical="center"/>
    </x:xf>
  </x:cellStyleXfs>
  <x:cellXfs count="355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2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41" fontId="0" fillId="0" borderId="1" xfId="2" applyNumberFormat="1" applyBorder="1">
      <x:alignment horizontal="general" vertical="center"/>
    </x:xf>
    <x:xf numFmtId="164" fontId="0" fillId="0" borderId="8" xfId="1" applyNumberFormat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165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1" applyNumberFormat="1" applyBorder="1" applyAlignment="1">
          <x:alignment horizontal="center" vertical="center"/>
        </x:xf>
      </mc:Fallback>
    </mc:AlternateContent>
    <x:xf numFmtId="164" fontId="8" fillId="0" borderId="9" xfId="1" applyNumberFormat="1" applyFont="1" applyBorder="1">
      <x:alignment horizontal="general" vertical="center"/>
    </x:xf>
    <x:xf numFmtId="164" fontId="9" fillId="0" borderId="10" xfId="1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x:xf numFmtId="41" fontId="12" fillId="0" borderId="14" xfId="2" applyNumberFormat="1" applyFont="1" applyBorder="1">
      <x:alignment horizontal="general" vertical="center"/>
    </x:xf>
    <x:xf numFmtId="41" fontId="12" fillId="0" borderId="15" xfId="2" applyNumberFormat="1" applyFont="1" applyBorder="1">
      <x:alignment horizontal="general" vertical="center"/>
    </x:xf>
    <x:xf numFmtId="41" fontId="10" fillId="0" borderId="16" xfId="2" applyNumberFormat="1" applyFont="1" applyBorder="1">
      <x:alignment horizontal="general" vertical="center"/>
    </x:xf>
    <x:xf numFmtId="165" fontId="13" fillId="0" borderId="17" xfId="0" applyNumberFormat="1" applyFont="1" applyBorder="1">
      <x:alignment horizontal="general" vertical="center"/>
    </x:xf>
    <x:xf numFmtId="164" fontId="13" fillId="0" borderId="18" xfId="1" applyNumberFormat="1" applyFont="1" applyBorder="1">
      <x:alignment horizontal="general" vertical="center"/>
    </x:xf>
    <x:xf numFmtId="164" fontId="13" fillId="0" borderId="19" xfId="1" applyNumberFormat="1" applyFont="1" applyBorder="1">
      <x:alignment horizontal="general" vertical="center"/>
    </x:xf>
    <x:xf numFmtId="41" fontId="12" fillId="0" borderId="7" xfId="2" applyNumberFormat="1" applyFont="1" applyBorder="1">
      <x:alignment horizontal="general" vertical="center"/>
    </x:xf>
    <x:xf numFmtId="41" fontId="12" fillId="0" borderId="1" xfId="2" applyNumberFormat="1" applyFont="1" applyBorder="1">
      <x:alignment horizontal="general" vertical="center"/>
    </x:xf>
    <x:xf numFmtId="165" fontId="13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8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" xfId="2" applyNumberFormat="1" applyFont="1" applyBorder="1" applyAlignment="1">
          <x:alignment horizontal="right" vertical="center"/>
        </x:xf>
      </mc:Fallback>
    </mc:AlternateContent>
    <x:xf numFmtId="165" fontId="13" fillId="0" borderId="2" xfId="0" applyNumberFormat="1" applyFont="1" applyBorder="1">
      <x:alignment horizontal="general" vertical="center"/>
    </x:xf>
    <x:xf numFmtId="164" fontId="13" fillId="0" borderId="20" xfId="1" applyNumberFormat="1" applyFont="1" applyBorder="1">
      <x:alignment horizontal="general" vertical="center"/>
    </x:xf>
    <x:xf numFmtId="41" fontId="12" fillId="0" borderId="8" xfId="2" applyNumberFormat="1" applyFont="1" applyBorder="1">
      <x:alignment horizontal="general" vertical="center"/>
    </x:xf>
    <x:xf numFmtId="164" fontId="13" fillId="0" borderId="21" xfId="1" applyNumberFormat="1" applyFont="1" applyBorder="1">
      <x:alignment horizontal="general" vertical="center"/>
    </x:xf>
    <x:xf numFmtId="164" fontId="13" fillId="0" borderId="8" xfId="1" applyNumberFormat="1" applyFont="1" applyBorder="1">
      <x:alignment horizontal="general" vertical="center"/>
    </x:xf>
    <x:xf numFmtId="10" fontId="12" fillId="0" borderId="8" xfId="2" applyNumberFormat="1" applyFont="1" applyBorder="1">
      <x:alignment horizontal="general" vertical="center"/>
    </x:xf>
    <x:xf numFmtId="41" fontId="14" fillId="0" borderId="22" xfId="2" applyNumberFormat="1" applyFont="1" applyBorder="1">
      <x:alignment horizontal="general" vertical="center"/>
    </x:xf>
    <x:xf numFmtId="41" fontId="14" fillId="0" borderId="2" xfId="2" applyNumberFormat="1" applyFont="1" applyBorder="1">
      <x:alignment horizontal="general" vertical="center"/>
    </x:xf>
    <x:xf numFmtId="41" fontId="14" fillId="0" borderId="20" xfId="2" applyNumberFormat="1" applyFont="1" applyBorder="1">
      <x:alignment horizontal="general" vertical="center"/>
    </x:xf>
    <x:xf numFmtId="165" fontId="13" fillId="0" borderId="23" xfId="0" applyNumberFormat="1" applyFont="1" applyBorder="1">
      <x:alignment horizontal="general" vertical="center"/>
    </x:xf>
    <x:xf numFmtId="164" fontId="13" fillId="0" borderId="24" xfId="1" applyNumberFormat="1" applyFont="1" applyBorder="1">
      <x:alignment horizontal="general" vertical="center"/>
    </x:xf>
    <x:xf numFmtId="165" fontId="13" fillId="0" borderId="25" xfId="0" applyNumberFormat="1" applyFont="1" applyBorder="1">
      <x:alignment horizontal="general" vertical="center"/>
    </x:xf>
    <x:xf numFmtId="164" fontId="13" fillId="0" borderId="25" xfId="1" applyNumberFormat="1" applyFont="1" applyBorder="1">
      <x:alignment horizontal="general" vertical="center"/>
    </x:xf>
    <x:xf numFmtId="164" fontId="13" fillId="0" borderId="2" xfId="1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41" fontId="15" fillId="0" borderId="8" xfId="2" applyNumberFormat="1" applyFont="1" applyBorder="1">
      <x:alignment horizontal="general" vertical="center"/>
    </x:xf>
    <x:xf numFmtId="0" fontId="15" fillId="0" borderId="1" xfId="0" applyNumberFormat="1" applyFont="1" applyBorder="1" applyAlignment="1">
      <x:alignment horizontal="left" vertical="center"/>
    </x:xf>
    <x:xf numFmtId="41" fontId="7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NumberFormat="1" applyFont="1" applyFill="1" applyBorder="1" applyAlignment="1">
          <x:alignment horizontal="center" vertical="center"/>
        </x:xf>
      </mc:Fallback>
    </mc:AlternateContent>
    <x:xf numFmtId="41" fontId="15" fillId="2" borderId="8" xfId="2" applyNumberFormat="1" applyFont="1" applyFill="1" applyBorder="1">
      <x:alignment horizontal="general" vertical="center"/>
    </x:xf>
    <x:xf numFmtId="9" fontId="15" fillId="2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5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2" borderId="20" xfId="0" applyNumberFormat="1" applyFont="1" applyFill="1" applyBorder="1" applyAlignment="1">
          <x:alignment horizontal="right" vertical="center"/>
        </x:xf>
      </mc:Fallback>
    </mc:AlternateContent>
    <x:xf numFmtId="41" fontId="15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x:xf numFmtId="164" fontId="0" fillId="0" borderId="27" xfId="1" applyNumberFormat="1" applyBorder="1">
      <x:alignment horizontal="general" vertical="center"/>
    </x:xf>
    <x:xf numFmtId="164" fontId="0" fillId="0" borderId="23" xfId="1" applyNumberFormat="1" applyBorder="1">
      <x:alignment horizontal="general" vertical="center"/>
    </x:xf>
    <x:xf numFmtId="164" fontId="0" fillId="0" borderId="2" xfId="1" applyNumberFormat="1" applyBorder="1">
      <x:alignment horizontal="general" vertical="center"/>
    </x:xf>
    <x:xf numFmtId="164" fontId="13" fillId="0" borderId="28" xfId="1" applyNumberFormat="1" applyFont="1" applyBorder="1">
      <x:alignment horizontal="general" vertical="center"/>
    </x:xf>
    <x:xf numFmtId="0" fontId="10" fillId="0" borderId="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top" wrapText="1"/>
        </x:xf>
      </mc:Fallback>
    </mc:AlternateContent>
    <x:xf numFmtId="164" fontId="13" fillId="0" borderId="2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x:xf numFmtId="41" fontId="0" fillId="0" borderId="0" xfId="0" applyNumberFormat="1" applyAlignment="1">
      <x:alignment horizontal="general" vertical="top" wrapText="1"/>
    </x:xf>
    <x:xf numFmtId="165" fontId="0" fillId="0" borderId="27" xfId="0" applyNumberFormat="1" applyBorder="1">
      <x:alignment horizontal="general" vertical="center"/>
    </x:xf>
    <x:xf numFmtId="165" fontId="0" fillId="0" borderId="25" xfId="0" applyNumberFormat="1" applyBorder="1">
      <x:alignment horizontal="general" vertical="center"/>
    </x:xf>
    <x:xf numFmtId="164" fontId="0" fillId="0" borderId="21" xfId="1" applyNumberFormat="1" applyBorder="1">
      <x:alignment horizontal="general" vertical="center"/>
    </x:xf>
    <x:xf numFmtId="165" fontId="0" fillId="0" borderId="2" xfId="0" applyNumberFormat="1" applyBorder="1">
      <x:alignment horizontal="general" vertical="center"/>
    </x:xf>
    <x:xf numFmtId="164" fontId="0" fillId="0" borderId="20" xfId="1" applyNumberFormat="1" applyBorder="1">
      <x:alignment horizontal="general" vertical="center"/>
    </x:xf>
    <x:xf numFmtId="0" fontId="15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1" xfId="0" applyNumberFormat="1" applyFont="1" applyBorder="1" applyAlignment="1">
          <x:alignment horizontal="center" vertical="center"/>
        </x:xf>
      </mc:Fallback>
    </mc:AlternateContent>
    <x:xf numFmtId="164" fontId="0" fillId="0" borderId="9" xfId="1" applyNumberFormat="1" applyBorder="1">
      <x:alignment horizontal="general" vertical="center"/>
    </x:xf>
    <x:xf numFmtId="41" fontId="0" fillId="0" borderId="2" xfId="2" applyNumberFormat="1" applyBorder="1">
      <x:alignment horizontal="general" vertical="center"/>
    </x:xf>
    <x:xf numFmtId="41" fontId="0" fillId="0" borderId="0" xfId="2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5" fontId="10" fillId="0" borderId="0" xfId="0" applyNumberFormat="1" applyFont="1">
      <x:alignment horizontal="general" vertical="center"/>
    </x:xf>
    <x:xf numFmtId="0" fontId="15" fillId="0" borderId="0" xfId="0" applyNumberFormat="1" applyFont="1" applyAlignment="1">
      <x:alignment horizontal="left" vertical="center"/>
    </x:xf>
    <x:xf numFmtId="0" fontId="0" fillId="0" borderId="17" xfId="0" applyNumberFormat="1" applyBorder="1">
      <x:alignment horizontal="general" vertical="center"/>
    </x:xf>
    <x:xf numFmtId="0" fontId="15" fillId="0" borderId="32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Border="1" applyAlignment="1">
          <x:alignment horizontal="center" vertical="center"/>
        </x:xf>
      </mc:Fallback>
    </mc:AlternateContent>
    <x:xf numFmtId="166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18" fillId="0" borderId="27" xfId="0" applyNumberFormat="1" applyFont="1" applyBorder="1">
      <x:alignment horizontal="general" vertical="center"/>
    </x:xf>
    <x:xf numFmtId="41" fontId="0" fillId="0" borderId="0" xfId="0" applyNumberFormat="1">
      <x:alignment horizontal="general" vertical="center"/>
    </x:xf>
    <x:xf numFmtId="167" fontId="0" fillId="0" borderId="0" xfId="0" applyNumberFormat="1">
      <x:alignment horizontal="general" vertical="center"/>
    </x:xf>
    <x:xf numFmtId="41" fontId="0" fillId="0" borderId="17" xfId="2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3" borderId="8" xfId="2" applyNumberFormat="1" applyFont="1" applyFill="1" applyBorder="1">
      <x:alignment horizontal="general" vertical="center"/>
    </x:xf>
    <x:xf numFmtId="9" fontId="15" fillId="3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5" fillId="3" borderId="8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3" borderId="8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0" xfId="0" applyNumberFormat="1" applyFont="1" applyFill="1" applyBorder="1" applyAlignment="1">
          <x:alignment horizontal="center" vertical="center"/>
        </x:xf>
      </mc:Fallback>
    </mc:AlternateContent>
    <x:xf numFmtId="41" fontId="15" fillId="4" borderId="8" xfId="0" applyNumberFormat="1" applyFont="1" applyFill="1" applyBorder="1">
      <x:alignment horizontal="general" vertical="center"/>
    </x:xf>
    <x:xf numFmtId="9" fontId="15" fillId="4" borderId="8" xfId="0" applyNumberFormat="1" applyFont="1" applyFill="1" applyBorder="1">
      <x:alignment horizontal="general" vertical="center"/>
    </x:xf>
    <x:xf numFmtId="168" fontId="15" fillId="4" borderId="8" xfId="0" applyNumberFormat="1" applyFont="1" applyFill="1" applyBorder="1">
      <x:alignment horizontal="general" vertical="center"/>
    </x:xf>
    <x:xf numFmtId="165" fontId="13" fillId="0" borderId="27" xfId="0" applyNumberFormat="1" applyFont="1" applyBorder="1">
      <x:alignment horizontal="general" vertical="center"/>
    </x:xf>
    <x:xf numFmtId="164" fontId="13" fillId="0" borderId="33" xfId="1" applyNumberFormat="1" applyFont="1" applyBorder="1">
      <x:alignment horizontal="general" vertical="center"/>
    </x:xf>
    <x:xf numFmtId="164" fontId="13" fillId="0" borderId="34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2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2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1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1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8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8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0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0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5" borderId="8" xfId="2" applyNumberFormat="1" applyFont="1" applyFill="1" applyBorder="1">
      <x:alignment horizontal="general" vertical="center"/>
    </x:xf>
    <x:xf numFmtId="41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5" fillId="0" borderId="8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top" wrapText="1"/>
        </x:xf>
      </mc:Fallback>
    </mc:AlternateContent>
    <x:xf numFmtId="165" fontId="0" fillId="6" borderId="2" xfId="0" applyNumberFormat="1" applyFill="1" applyBorder="1">
      <x:alignment horizontal="general" vertical="center"/>
    </x:xf>
    <x:xf numFmtId="41" fontId="0" fillId="6" borderId="2" xfId="2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top" wrapText="1"/>
        </x:xf>
      </mc:Fallback>
    </mc:AlternateContent>
    <x:xf numFmtId="9" fontId="0" fillId="0" borderId="8" xfId="1" applyNumberFormat="1" applyBorder="1">
      <x:alignment horizontal="general" vertical="center"/>
    </x:xf>
    <x:xf numFmtId="9" fontId="0" fillId="0" borderId="27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4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42" xfId="0" applyNumberFormat="1" applyFont="1" applyFill="1" applyBorder="1" applyAlignment="1">
          <x:alignment horizontal="center" vertical="center"/>
        </x:xf>
      </mc:Fallback>
    </mc:AlternateContent>
    <x:xf numFmtId="0" fontId="7" fillId="2" borderId="43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25" xfId="0" applyNumberFormat="1" applyFont="1" applyFill="1" applyBorder="1" applyAlignment="1">
          <x:alignment horizontal="center" vertical="center"/>
        </x:xf>
      </mc:Fallback>
    </mc:AlternateContent>
    <x:xf numFmtId="0" fontId="7" fillId="3" borderId="2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4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NumberFormat="1" applyFont="1" applyBorder="1" applyAlignment="1">
          <x:alignment horizontal="center" vertical="center"/>
        </x:xf>
      </mc:Fallback>
    </mc:AlternateContent>
    <x:xf numFmtId="41" fontId="15" fillId="0" borderId="1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4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4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NumberFormat="1" applyFon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4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4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x:xf numFmtId="0" fontId="6" fillId="0" borderId="33" xfId="0" applyNumberFormat="1" applyFont="1" applyBorder="1" applyAlignment="1">
      <x:alignment horizontal="left" vertical="top"/>
    </x:xf>
    <x:xf numFmtId="0" fontId="6" fillId="0" borderId="51" xfId="0" applyNumberFormat="1" applyFont="1" applyBorder="1" applyAlignment="1">
      <x:alignment horizontal="left" vertical="top"/>
    </x:xf>
    <x:xf numFmtId="0" fontId="6" fillId="0" borderId="52" xfId="0" applyNumberFormat="1" applyFont="1" applyBorder="1" applyAlignment="1">
      <x:alignment horizontal="left" vertical="top"/>
    </x:xf>
    <x:xf numFmtId="0" fontId="6" fillId="0" borderId="24" xfId="0" applyNumberFormat="1" applyFont="1" applyBorder="1" applyAlignment="1">
      <x:alignment horizontal="left" vertical="top"/>
    </x:xf>
    <x:xf numFmtId="0" fontId="6" fillId="0" borderId="0" xfId="0" applyNumberFormat="1" applyFont="1" applyAlignment="1">
      <x:alignment horizontal="left" vertical="top"/>
    </x:xf>
    <x:xf numFmtId="0" fontId="6" fillId="0" borderId="53" xfId="0" applyNumberFormat="1" applyFont="1" applyBorder="1" applyAlignment="1">
      <x:alignment horizontal="left" vertical="top"/>
    </x:xf>
    <x:xf numFmtId="0" fontId="6" fillId="0" borderId="18" xfId="0" applyNumberFormat="1" applyFont="1" applyBorder="1" applyAlignment="1">
      <x:alignment horizontal="left" vertical="top"/>
    </x:xf>
    <x:xf numFmtId="0" fontId="6" fillId="0" borderId="54" xfId="0" applyNumberFormat="1" applyFont="1" applyBorder="1" applyAlignment="1">
      <x:alignment horizontal="left" vertical="top"/>
    </x:xf>
    <x:xf numFmtId="0" fontId="6" fillId="0" borderId="55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9" xfId="2" applyNumberFormat="1" applyFont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 applyAlignment="1">
      <x:alignment horizontal="left" vertical="top"/>
    </x:xf>
    <x:xf numFmtId="0" fontId="6" fillId="0" borderId="57" xfId="0" applyNumberFormat="1" applyFont="1" applyBorder="1" applyAlignment="1">
      <x:alignment horizontal="left" vertical="center"/>
    </x:xf>
    <x:xf numFmtId="0" fontId="6" fillId="0" borderId="58" xfId="0" applyNumberFormat="1" applyFont="1" applyBorder="1" applyAlignment="1">
      <x:alignment horizontal="left" vertical="center"/>
    </x:xf>
    <x:xf numFmtId="0" fontId="20" fillId="0" borderId="59" xfId="0" applyNumberFormat="1" applyFont="1" applyBorder="1" applyAlignment="1">
      <x:alignment horizontal="left" vertical="center"/>
    </x:xf>
    <x:xf numFmtId="0" fontId="20" fillId="0" borderId="60" xfId="0" applyNumberFormat="1" applyFont="1" applyBorder="1" applyAlignment="1">
      <x:alignment horizontal="left" vertical="center"/>
    </x:xf>
    <x:xf numFmtId="41" fontId="6" fillId="0" borderId="48" xfId="2" applyNumberFormat="1" applyFont="1" applyBorder="1" applyAlignment="1">
      <x:alignment horizontal="left" vertical="top"/>
    </x:xf>
    <x:xf numFmtId="41" fontId="6" fillId="0" borderId="61" xfId="2" applyNumberFormat="1" applyFont="1" applyBorder="1" applyAlignment="1">
      <x:alignment horizontal="left" vertical="top"/>
    </x:xf>
    <x:xf numFmtId="41" fontId="6" fillId="0" borderId="30" xfId="2" applyNumberFormat="1" applyFont="1" applyBorder="1" applyAlignment="1">
      <x:alignment horizontal="left" vertical="top"/>
    </x:xf>
    <x:xf numFmtId="41" fontId="6" fillId="0" borderId="62" xfId="2" applyNumberFormat="1" applyFont="1" applyBorder="1" applyAlignment="1">
      <x:alignment horizontal="left" vertical="top"/>
    </x:xf>
    <x:xf numFmtId="0" fontId="6" fillId="0" borderId="48" xfId="0" applyNumberFormat="1" applyFont="1" applyBorder="1" applyAlignment="1">
      <x:alignment horizontal="left" vertical="top"/>
    </x:xf>
    <x:xf numFmtId="0" fontId="6" fillId="0" borderId="61" xfId="0" applyNumberFormat="1" applyFont="1" applyBorder="1" applyAlignment="1">
      <x:alignment horizontal="left" vertical="top"/>
    </x:xf>
    <x:xf numFmtId="0" fontId="6" fillId="0" borderId="30" xfId="0" applyNumberFormat="1" applyFont="1" applyBorder="1" applyAlignment="1">
      <x:alignment horizontal="left" vertical="top"/>
    </x:xf>
    <x:xf numFmtId="0" fontId="6" fillId="0" borderId="62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6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4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4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6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6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6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6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6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6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7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7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4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4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3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3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66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66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4" xfId="0" applyNumberFormat="1" applyFont="1" applyBorder="1" applyAlignment="1">
          <x:alignment horizontal="center" vertical="center" wrapText="1"/>
        </x:xf>
      </mc:Fallback>
    </mc:AlternateContent>
    <x:xf numFmtId="0" fontId="15" fillId="0" borderId="1" xfId="0" applyNumberFormat="1" applyFont="1" applyBorder="1" applyAlignment="1">
      <x:alignment horizontal="left" vertical="top" wrapText="1"/>
    </x:xf>
    <x:xf numFmtId="0" fontId="15" fillId="0" borderId="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15" fillId="4" borderId="3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1" xfId="0" applyNumberFormat="1" applyFont="1" applyBorder="1" applyAlignment="1">
          <x:alignment horizontal="center" vertical="center"/>
        </x:xf>
      </mc:Fallback>
    </mc:AlternateContent>
    <x:xf numFmtId="0" fontId="15" fillId="0" borderId="48" xfId="0" applyNumberFormat="1" applyFont="1" applyBorder="1" applyAlignment="1">
      <x:alignment horizontal="left" vertical="top" wrapText="1"/>
    </x:xf>
    <x:xf numFmtId="0" fontId="15" fillId="0" borderId="61" xfId="0" applyNumberFormat="1" applyFont="1" applyBorder="1" applyAlignment="1">
      <x:alignment horizontal="left" vertical="top" wrapText="1"/>
    </x:xf>
    <x:xf numFmtId="0" fontId="15" fillId="0" borderId="30" xfId="0" applyNumberFormat="1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6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6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8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8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 shrinkToFit="1"/>
        </x:xf>
      </mc:Fallback>
    </mc:AlternateContent>
    <x:xf numFmtId="0" fontId="15" fillId="0" borderId="48" xfId="0" applyNumberFormat="1" applyFont="1" applyBorder="1" applyAlignment="1">
      <x:alignment horizontal="left" vertical="center" wrapText="1"/>
    </x:xf>
    <x:xf numFmtId="0" fontId="15" fillId="0" borderId="61" xfId="0" applyNumberFormat="1" applyFont="1" applyBorder="1" applyAlignment="1">
      <x:alignment horizontal="left" vertical="center" wrapText="1"/>
    </x:xf>
    <x:xf numFmtId="0" fontId="15" fillId="0" borderId="30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0" xfId="0" applyNumberFormat="1" applyFont="1" applyBorder="1" applyAlignment="1">
          <x:alignment horizontal="center" vertical="center"/>
        </x:xf>
      </mc:Fallback>
    </mc:AlternateContent>
    <x:xf numFmtId="41" fontId="15" fillId="0" borderId="48" xfId="2" applyNumberFormat="1" applyFont="1" applyBorder="1" applyAlignment="1">
      <x:alignment horizontal="left" vertical="center"/>
    </x:xf>
    <x:xf numFmtId="41" fontId="15" fillId="0" borderId="61" xfId="2" applyNumberFormat="1" applyFont="1" applyBorder="1" applyAlignment="1">
      <x:alignment horizontal="left" vertical="center"/>
    </x:xf>
    <x:xf numFmtId="41" fontId="15" fillId="0" borderId="30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6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6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6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right" vertical="center"/>
        </x:xf>
      </mc:Fallback>
    </mc:AlternateContent>
    <x:xf numFmtId="3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3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3" fontId="15" fillId="5" borderId="1" xfId="2" applyNumberFormat="1" applyFont="1" applyFill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백분율" xfId="1" builtinId="5"/>
    <x:cellStyle name="쉼표 [0]" xfId="2" builtinId="6"/>
    <x:cellStyle name="쉼표 [0] 3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35" Type="http://schemas.openxmlformats.org/officeDocument/2006/relationships/worksheet" Target="worksheets/sheet32.xml"  /><Relationship Id="rId36" Type="http://schemas.openxmlformats.org/officeDocument/2006/relationships/worksheet" Target="worksheets/sheet33.xml"  /><Relationship Id="rId37" Type="http://schemas.openxmlformats.org/officeDocument/2006/relationships/worksheet" Target="worksheets/sheet34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2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'10'!$C$1:$C$11</c:f>
              <c:strCache>
                <c:ptCount val="1"/>
                <c:pt idx="0">
                  <c:v>2025년3,716,0003,153,000563,00059,250500,000리뷰노트 50,000원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3716000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'10'!$C$12:$C$34</c:f>
              <c:numCache>
                <c:formatCode>General</c:formatCode>
                <c:ptCount val="23"/>
                <c:pt idx="0">
                  <c:v>15</c:v>
                </c:pt>
                <c:pt idx="1">
                  <c:v>175</c:v>
                </c:pt>
                <c:pt idx="2">
                  <c:v>35</c:v>
                </c:pt>
                <c:pt idx="3">
                  <c:v>393</c:v>
                </c:pt>
                <c:pt idx="4">
                  <c:v>5</c:v>
                </c:pt>
                <c:pt idx="5">
                  <c:v>60</c:v>
                </c:pt>
                <c:pt idx="6">
                  <c:v>39</c:v>
                </c:pt>
                <c:pt idx="7">
                  <c:v>386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4218860</c:v>
                </c:pt>
                <c:pt idx="14">
                  <c:v/>
                </c:pt>
                <c:pt idx="15">
                  <c:v>129032.258064516</c:v>
                </c:pt>
                <c:pt idx="16">
                  <c:v>122580.64516129</c:v>
                </c:pt>
                <c:pt idx="17">
                  <c:v>103225.806451613</c:v>
                </c:pt>
                <c:pt idx="18">
                  <c:v/>
                </c:pt>
                <c:pt idx="19">
                  <c:v>112903.225806452</c:v>
                </c:pt>
                <c:pt idx="20">
                  <c:v>70000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'10'!$D$1:$D$11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3716000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'10'!$D$12:$D$34</c:f>
              <c:numCache>
                <c:formatCode>General</c:formatCode>
                <c:ptCount val="23"/>
                <c:pt idx="0">
                  <c:v>0</c:v>
                </c:pt>
                <c:pt idx="1">
                  <c:v/>
                </c:pt>
                <c:pt idx="2">
                  <c:v>0</c:v>
                </c:pt>
                <c:pt idx="3">
                  <c:v/>
                </c:pt>
                <c:pt idx="4">
                  <c:v>0</c:v>
                </c:pt>
                <c:pt idx="5">
                  <c:v/>
                </c:pt>
                <c:pt idx="6">
                  <c:v>0</c:v>
                </c:pt>
                <c:pt idx="7">
                  <c:v/>
                </c:pt>
                <c:pt idx="8">
                  <c:v>0</c:v>
                </c:pt>
                <c:pt idx="9">
                  <c:v>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2"/>
          <c:order val="2"/>
          <c:tx>
            <c:strRef>
              <c:f>'10'!$E$1:$E$11</c:f>
              <c:strCache>
                <c:ptCount val="1"/>
                <c:pt idx="0">
                  <c:v>5시재카드수수료(2.75%)현금수수료(1%)통장입금마감잔금카드할인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3716000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'10'!$E$12:$E$34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42188600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>0</c:v>
                </c:pt>
                <c:pt idx="20">
                  <c:v>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3"/>
          <c:order val="3"/>
          <c:tx>
            <c:strRef>
              <c:f>'10'!$F$1:$F$11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3716000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'10'!$F$12:$F$34</c:f>
              <c:numCache>
                <c:formatCode>General</c:formatCode>
                <c:ptCount val="23"/>
                <c:pt idx="0">
                  <c:v>9</c:v>
                </c:pt>
                <c:pt idx="1">
                  <c:v>162</c:v>
                </c:pt>
                <c:pt idx="2">
                  <c:v>23</c:v>
                </c:pt>
                <c:pt idx="3">
                  <c:v>234</c:v>
                </c:pt>
                <c:pt idx="4">
                  <c:v>22</c:v>
                </c:pt>
                <c:pt idx="5">
                  <c:v>178</c:v>
                </c:pt>
                <c:pt idx="6">
                  <c:v>17</c:v>
                </c:pt>
                <c:pt idx="7">
                  <c:v>178</c:v>
                </c:pt>
                <c:pt idx="8">
                  <c:v>54</c:v>
                </c:pt>
                <c:pt idx="9">
                  <c:v>639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>130000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4"/>
          <c:order val="4"/>
          <c:tx>
            <c:strRef>
              <c:f>'10'!$G$1:$G$11</c:f>
              <c:strCache>
                <c:ptCount val="1"/>
                <c:pt idx="0">
                  <c:v>토136,25086,7075,630640,00059,250</c:v>
                </c:pt>
              </c:strCache>
            </c:strRef>
          </c:tx>
          <c:spPr>
            <a:solidFill>
              <a:schemeClr val="accent5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3716000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'10'!$G$12:$G$34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5"/>
          <c:order val="5"/>
          <c:tx>
            <c:strRef>
              <c:f>'10'!$H$1:$H$11</c:f>
              <c:strCache>
                <c:ptCount val="1"/>
                <c:pt idx="0">
                  <c:v>실영업일수식자재업체고기식자재주류쌀참기름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3716000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'10'!$H$12:$H$34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/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6"/>
          <c:order val="6"/>
          <c:tx>
            <c:strRef>
              <c:f>'10'!$I$1:$I$11</c:f>
              <c:strCache>
                <c:ptCount val="1"/>
                <c:pt idx="0">
                  <c:v>10금액1,311,686182,998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3716000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'10'!$I$13:$I$34</c:f>
              <c:numCache>
                <c:formatCode>General</c:formatCode>
                <c:ptCount val="22"/>
                <c:pt idx="0">
                  <c:v/>
                </c:pt>
                <c:pt idx="1">
                  <c:v/>
                </c:pt>
                <c:pt idx="2">
                  <c:v>215800</c:v>
                </c:pt>
                <c:pt idx="3">
                  <c:v/>
                </c:pt>
                <c:pt idx="4">
                  <c:v>3200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1713684</c:v>
                </c:pt>
                <c:pt idx="11">
                  <c:v>0.46116361679225</c:v>
                </c:pt>
                <c:pt idx="12">
                  <c:v>0</c:v>
                </c:pt>
                <c:pt idx="13">
                  <c:v>0</c:v>
                </c:pt>
                <c:pt idx="14">
                  <c:v>667741.935483871</c:v>
                </c:pt>
                <c:pt idx="15">
                  <c:v>0.17969373936595</c:v>
                </c:pt>
                <c:pt idx="16">
                  <c:v>83087328</c:v>
                </c:pt>
                <c:pt idx="17">
                  <c:v>124.430297971014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</c:numCache>
            </c:numRef>
          </c:val>
        </c:ser>
        <c:ser>
          <c:idx val="7"/>
          <c:order val="7"/>
          <c:tx>
            <c:strRef>
              <c:f>'10'!$J$1:$J$11</c:f>
              <c:strCache>
                <c:ptCount val="1"/>
                <c:pt idx="0">
                  <c:v>휴무일수비품 및 기타경비업체숯음식물스티커종량제봉투뚝배기발매트불판세척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3716000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'10'!$J$12:$J$34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8"/>
          <c:order val="8"/>
          <c:tx>
            <c:strRef>
              <c:f>'10'!$K$1:$K$11</c:f>
              <c:strCache>
                <c:ptCount val="1"/>
                <c:pt idx="0">
                  <c:v>금액14,194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3716000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'10'!$K$12:$K$34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>68940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83133.5483870968</c:v>
                </c:pt>
                <c:pt idx="12">
                  <c:v>0.0223717837424911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367527704"/>
        <c:axId val="367533104"/>
      </c:barChart>
      <c:catAx>
        <c:axId val="367527704"/>
        <c:scaling>
          <c:orientation val="minMax"/>
        </c:scaling>
        <c:axPos val="b"/>
        <c:crossAx val="367533104"/>
        <c:delete val="0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367533104"/>
        <c:scaling>
          <c:orientation val="minMax"/>
        </c:scaling>
        <c:axPos val="l"/>
        <c:crossAx val="367527704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legend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chart" Target="../charts/chart2.xml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0</xdr:col>
      <xdr:colOff>0</xdr:colOff>
      <xdr:row>0</xdr:row>
      <xdr:rowOff>0</xdr:rowOff>
    </xdr:from>
    <xdr:to>
      <xdr:col>12</xdr:col>
      <xdr:colOff>447675</xdr:colOff>
      <xdr:row>30</xdr:row>
      <xdr:rowOff>19050</xdr:rowOff>
    </xdr:to>
    <xdr:graphicFrame fPublished="0">
      <xdr:nvGraphicFramePr>
        <xdr:cNvPr id="2" name="차트 1"/>
        <xdr:cNvGraphicFramePr/>
      </xdr:nvGraphicFramePr>
      <xdr:xfrm>
        <a:off x="0" y="0"/>
        <a:ext cx="8760113" cy="6508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1"/>
  <x:sheetViews>
    <x:sheetView topLeftCell="A1" zoomScaleNormal="100" zoomScaleSheetLayoutView="75" workbookViewId="0">
      <x:selection activeCell="N10" activeCellId="0" sqref="N10:N10"/>
    </x:sheetView>
  </x:sheetViews>
  <x:sheetFormatPr defaultColWidth="8.625" defaultRowHeight="30" customHeight="1"/>
  <x:cols>
    <x:col min="1" max="1" width="8.625" style="2" customWidth="1"/>
    <x:col min="2" max="2" width="4.625" style="2" customWidth="1"/>
    <x:col min="3" max="3" width="10.625" style="2" customWidth="1"/>
    <x:col min="4" max="4" width="3.625" style="2" customWidth="1"/>
    <x:col min="5" max="5" width="8.625" style="2" customWidth="1"/>
    <x:col min="6" max="6" width="4.625" style="2" customWidth="1"/>
    <x:col min="7" max="7" width="12.625" style="2" customWidth="1"/>
    <x:col min="8" max="8" width="8.625" style="2" customWidth="1"/>
    <x:col min="9" max="10" width="4.625" style="2" customWidth="1"/>
    <x:col min="11" max="11" width="12.625" style="2" customWidth="1"/>
    <x:col min="12" max="16384" width="8.625" style="2"/>
  </x:cols>
  <x:sheetData>
    <x:row r="1" spans="1:11" customHeight="1">
      <x:c r="A1" s="254" t="s">
        <x:v>82</x:v>
      </x:c>
      <x:c r="B1" s="254"/>
      <x:c r="C1" s="254"/>
      <x:c r="D1" s="254"/>
      <x:c r="E1" s="254"/>
      <x:c r="F1" s="254"/>
      <x:c r="G1" s="254"/>
      <x:c r="H1" s="254"/>
      <x:c r="I1" s="254"/>
      <x:c r="J1" s="254"/>
      <x:c r="K1" s="254"/>
    </x:row>
    <x:row r="2" spans="1:11" ht="30.949999999999999" customHeight="1">
      <x:c r="A2" s="208" t="s">
        <x:v>9</x:v>
      </x:c>
      <x:c r="B2" s="209"/>
      <x:c r="C2" s="210">
        <x:f>C3+G3+C5</x:f>
        <x:v>0</x:v>
      </x:c>
      <x:c r="D2" s="211"/>
      <x:c r="E2" s="212" t="s">
        <x:v>12</x:v>
      </x:c>
      <x:c r="F2" s="213"/>
      <x:c r="G2" s="6"/>
      <x:c r="H2" s="214" t="s">
        <x:v>84</x:v>
      </x:c>
      <x:c r="I2" s="215"/>
      <x:c r="J2" s="215"/>
      <x:c r="K2" s="216"/>
    </x:row>
    <x:row r="3" spans="1:11" ht="30.949999999999999" customHeight="1">
      <x:c r="A3" s="217" t="s">
        <x:v>133</x:v>
      </x:c>
      <x:c r="B3" s="218"/>
      <x:c r="C3" s="219">
        <x:f>SUM('1'!C3)</x:f>
        <x:v>0</x:v>
      </x:c>
      <x:c r="D3" s="219"/>
      <x:c r="E3" s="218" t="s">
        <x:v>140</x:v>
      </x:c>
      <x:c r="F3" s="218"/>
      <x:c r="G3" s="7">
        <x:f>SUM('1'!G3)</x:f>
        <x:v>0</x:v>
      </x:c>
      <x:c r="H3" s="220"/>
      <x:c r="I3" s="221"/>
      <x:c r="J3" s="221"/>
      <x:c r="K3" s="222"/>
    </x:row>
    <x:row r="4" spans="1:11" ht="30.949999999999999" customHeight="1">
      <x:c r="A4" s="229" t="s">
        <x:v>131</x:v>
      </x:c>
      <x:c r="B4" s="230"/>
      <x:c r="C4" s="231">
        <x:f>C21</x:f>
        <x:v>0</x:v>
      </x:c>
      <x:c r="D4" s="231"/>
      <x:c r="E4" s="232" t="s">
        <x:v>14</x:v>
      </x:c>
      <x:c r="F4" s="230"/>
      <x:c r="G4" s="8">
        <x:f>C17</x:f>
        <x:v>0</x:v>
      </x:c>
      <x:c r="H4" s="223"/>
      <x:c r="I4" s="224"/>
      <x:c r="J4" s="224"/>
      <x:c r="K4" s="225"/>
    </x:row>
    <x:row r="5" spans="1:11" ht="30.949999999999999" customHeight="1">
      <x:c r="A5" s="217" t="s">
        <x:v>115</x:v>
      </x:c>
      <x:c r="B5" s="218"/>
      <x:c r="C5" s="233">
        <x:f>C6+G6</x:f>
        <x:v>0</x:v>
      </x:c>
      <x:c r="D5" s="234"/>
      <x:c r="E5" s="232" t="s">
        <x:v>17</x:v>
      </x:c>
      <x:c r="F5" s="230"/>
      <x:c r="G5" s="8">
        <x:f>C4-G4</x:f>
        <x:v>0</x:v>
      </x:c>
      <x:c r="H5" s="223"/>
      <x:c r="I5" s="224"/>
      <x:c r="J5" s="224"/>
      <x:c r="K5" s="225"/>
    </x:row>
    <x:row r="6" spans="1:11" ht="30.949999999999999" customHeight="1">
      <x:c r="A6" s="217" t="s">
        <x:v>155</x:v>
      </x:c>
      <x:c r="B6" s="218"/>
      <x:c r="C6" s="219">
        <x:f>SUM('1'!C7)</x:f>
        <x:v>0</x:v>
      </x:c>
      <x:c r="D6" s="219"/>
      <x:c r="E6" s="218" t="s">
        <x:v>98</x:v>
      </x:c>
      <x:c r="F6" s="218"/>
      <x:c r="G6" s="7">
        <x:f>SUM('1'!G7)</x:f>
        <x:v>0</x:v>
      </x:c>
      <x:c r="H6" s="223"/>
      <x:c r="I6" s="224"/>
      <x:c r="J6" s="224"/>
      <x:c r="K6" s="225"/>
    </x:row>
    <x:row r="7" spans="1:11" ht="30.949999999999999" customHeight="1">
      <x:c r="A7" s="217" t="s">
        <x:v>114</x:v>
      </x:c>
      <x:c r="B7" s="218"/>
      <x:c r="C7" s="235"/>
      <x:c r="D7" s="235"/>
      <x:c r="E7" s="235"/>
      <x:c r="F7" s="235"/>
      <x:c r="G7" s="235"/>
      <x:c r="H7" s="226"/>
      <x:c r="I7" s="227"/>
      <x:c r="J7" s="227"/>
      <x:c r="K7" s="228"/>
    </x:row>
    <x:row r="8" spans="1:11" ht="30.949999999999999" customHeight="1">
      <x:c r="A8" s="217"/>
      <x:c r="B8" s="218"/>
      <x:c r="C8" s="235"/>
      <x:c r="D8" s="235"/>
      <x:c r="E8" s="235"/>
      <x:c r="F8" s="235"/>
      <x:c r="G8" s="235"/>
      <x:c r="H8" s="5" t="s">
        <x:v>75</x:v>
      </x:c>
      <x:c r="I8" s="236" t="s">
        <x:v>107</x:v>
      </x:c>
      <x:c r="J8" s="237"/>
      <x:c r="K8" s="9">
        <x:f>SUM('1'!K9)</x:f>
        <x:v>0</x:v>
      </x:c>
    </x:row>
    <x:row r="9" spans="1:11" ht="30.949999999999999" customHeight="1">
      <x:c r="A9" s="217"/>
      <x:c r="B9" s="218"/>
      <x:c r="C9" s="235"/>
      <x:c r="D9" s="235"/>
      <x:c r="E9" s="235"/>
      <x:c r="F9" s="235"/>
      <x:c r="G9" s="235"/>
      <x:c r="H9" s="218" t="s">
        <x:v>41</x:v>
      </x:c>
      <x:c r="I9" s="236" t="s">
        <x:v>107</x:v>
      </x:c>
      <x:c r="J9" s="237"/>
      <x:c r="K9" s="9">
        <x:f>SUM('1'!K10)</x:f>
        <x:v>0</x:v>
      </x:c>
    </x:row>
    <x:row r="10" spans="1:11" ht="30.949999999999999" customHeight="1">
      <x:c r="A10" s="217"/>
      <x:c r="B10" s="218"/>
      <x:c r="C10" s="235"/>
      <x:c r="D10" s="235"/>
      <x:c r="E10" s="235"/>
      <x:c r="F10" s="235"/>
      <x:c r="G10" s="235"/>
      <x:c r="H10" s="218"/>
      <x:c r="I10" s="238" t="s">
        <x:v>151</x:v>
      </x:c>
      <x:c r="J10" s="239"/>
      <x:c r="K10" s="10">
        <x:f>SUM('1'!K11)</x:f>
        <x:v>14193.548387096775</x:v>
      </x:c>
    </x:row>
    <x:row r="11" spans="1:11" ht="32.100000000000001" customHeight="1">
      <x:c r="A11" s="229" t="s">
        <x:v>94</x:v>
      </x:c>
      <x:c r="B11" s="230"/>
      <x:c r="C11" s="240"/>
      <x:c r="D11" s="241"/>
      <x:c r="E11" s="241"/>
      <x:c r="F11" s="241"/>
      <x:c r="G11" s="242"/>
      <x:c r="H11" s="3" t="s">
        <x:v>143</x:v>
      </x:c>
      <x:c r="I11" s="240"/>
      <x:c r="J11" s="241"/>
      <x:c r="K11" s="243"/>
    </x:row>
    <x:row r="12" spans="1:11" ht="69.950000000000003" customHeight="1">
      <x:c r="A12" s="229" t="s">
        <x:v>135</x:v>
      </x:c>
      <x:c r="B12" s="230"/>
      <x:c r="C12" s="244"/>
      <x:c r="D12" s="245"/>
      <x:c r="E12" s="245"/>
      <x:c r="F12" s="245"/>
      <x:c r="G12" s="246"/>
      <x:c r="H12" s="3" t="s">
        <x:v>148</x:v>
      </x:c>
      <x:c r="I12" s="244"/>
      <x:c r="J12" s="245"/>
      <x:c r="K12" s="247"/>
    </x:row>
    <x:row r="13" spans="1:11" ht="30.949999999999999" customHeight="1">
      <x:c r="A13" s="217" t="s">
        <x:v>99</x:v>
      </x:c>
      <x:c r="B13" s="218"/>
      <x:c r="C13" s="232" t="s">
        <x:v>97</x:v>
      </x:c>
      <x:c r="D13" s="230"/>
      <x:c r="E13" s="232" t="s">
        <x:v>112</x:v>
      </x:c>
      <x:c r="F13" s="248"/>
      <x:c r="G13" s="230"/>
      <x:c r="H13" s="218" t="s">
        <x:v>88</x:v>
      </x:c>
      <x:c r="I13" s="218"/>
      <x:c r="J13" s="218" t="s">
        <x:v>96</x:v>
      </x:c>
      <x:c r="K13" s="249"/>
    </x:row>
    <x:row r="14" spans="1:11" ht="30.949999999999999" customHeight="1">
      <x:c r="A14" s="250">
        <x:f>C2</x:f>
        <x:v>0</x:v>
      </x:c>
      <x:c r="B14" s="251"/>
      <x:c r="C14" s="252" t="e">
        <x:f>ROUNDDOWN((E14/A14),-4)</x:f>
        <x:v>#DIV/0!</x:v>
      </x:c>
      <x:c r="D14" s="251"/>
      <x:c r="E14" s="252">
        <x:f>C2</x:f>
        <x:v>0</x:v>
      </x:c>
      <x:c r="F14" s="253"/>
      <x:c r="G14" s="251"/>
      <x:c r="H14" s="244"/>
      <x:c r="I14" s="246"/>
      <x:c r="J14" s="244"/>
      <x:c r="K14" s="247"/>
    </x:row>
    <x:row r="15" spans="1:11" ht="30.949999999999999" customHeight="1">
      <x:c r="A15" s="217" t="s">
        <x:v>154</x:v>
      </x:c>
      <x:c r="B15" s="218"/>
      <x:c r="C15" s="232"/>
      <x:c r="D15" s="230"/>
      <x:c r="E15" s="232"/>
      <x:c r="F15" s="248"/>
      <x:c r="G15" s="230"/>
      <x:c r="H15" s="244"/>
      <x:c r="I15" s="246"/>
      <x:c r="J15" s="244"/>
      <x:c r="K15" s="247"/>
    </x:row>
    <x:row r="16" spans="1:11" ht="30.949999999999999" customHeight="1">
      <x:c r="A16" s="229" t="s">
        <x:v>83</x:v>
      </x:c>
      <x:c r="B16" s="248"/>
      <x:c r="C16" s="248"/>
      <x:c r="D16" s="248"/>
      <x:c r="E16" s="248"/>
      <x:c r="F16" s="230"/>
      <x:c r="G16" s="218" t="s">
        <x:v>83</x:v>
      </x:c>
      <x:c r="H16" s="218"/>
      <x:c r="I16" s="218"/>
      <x:c r="J16" s="218"/>
      <x:c r="K16" s="249"/>
    </x:row>
    <x:row r="17" spans="1:11" ht="30.949999999999999" customHeight="1">
      <x:c r="A17" s="217" t="s">
        <x:v>3</x:v>
      </x:c>
      <x:c r="B17" s="218"/>
      <x:c r="C17" s="219"/>
      <x:c r="D17" s="219"/>
      <x:c r="E17" s="219"/>
      <x:c r="F17" s="219"/>
      <x:c r="G17" s="3" t="s">
        <x:v>3</x:v>
      </x:c>
      <x:c r="H17" s="219"/>
      <x:c r="I17" s="219"/>
      <x:c r="J17" s="219"/>
      <x:c r="K17" s="255"/>
    </x:row>
    <x:row r="18" spans="1:11" ht="30.949999999999999" customHeight="1">
      <x:c r="A18" s="217" t="s">
        <x:v>61</x:v>
      </x:c>
      <x:c r="B18" s="218"/>
      <x:c r="C18" s="219"/>
      <x:c r="D18" s="219"/>
      <x:c r="E18" s="219"/>
      <x:c r="F18" s="219"/>
      <x:c r="G18" s="3" t="s">
        <x:v>61</x:v>
      </x:c>
      <x:c r="H18" s="219"/>
      <x:c r="I18" s="219"/>
      <x:c r="J18" s="219"/>
      <x:c r="K18" s="255"/>
    </x:row>
    <x:row r="19" spans="1:11" ht="30.949999999999999" customHeight="1">
      <x:c r="A19" s="217" t="s">
        <x:v>13</x:v>
      </x:c>
      <x:c r="B19" s="218"/>
      <x:c r="C19" s="219"/>
      <x:c r="D19" s="219"/>
      <x:c r="E19" s="219"/>
      <x:c r="F19" s="219"/>
      <x:c r="G19" s="3" t="s">
        <x:v>13</x:v>
      </x:c>
      <x:c r="H19" s="219"/>
      <x:c r="I19" s="219"/>
      <x:c r="J19" s="219"/>
      <x:c r="K19" s="255"/>
    </x:row>
    <x:row r="20" spans="1:11" ht="30.949999999999999" customHeight="1">
      <x:c r="A20" s="217" t="s">
        <x:v>52</x:v>
      </x:c>
      <x:c r="B20" s="218"/>
      <x:c r="C20" s="219"/>
      <x:c r="D20" s="219"/>
      <x:c r="E20" s="219"/>
      <x:c r="F20" s="219"/>
      <x:c r="G20" s="3" t="s">
        <x:v>52</x:v>
      </x:c>
      <x:c r="H20" s="219"/>
      <x:c r="I20" s="219"/>
      <x:c r="J20" s="219"/>
      <x:c r="K20" s="255"/>
    </x:row>
    <x:row r="21" spans="1:11" ht="30.949999999999999" customHeight="1">
      <x:c r="A21" s="256" t="s">
        <x:v>63</x:v>
      </x:c>
      <x:c r="B21" s="257"/>
      <x:c r="C21" s="258">
        <x:f>SUM(C17:E20)</x:f>
        <x:v>0</x:v>
      </x:c>
      <x:c r="D21" s="259"/>
      <x:c r="E21" s="259"/>
      <x:c r="F21" s="260"/>
      <x:c r="G21" s="4" t="s">
        <x:v>63</x:v>
      </x:c>
      <x:c r="H21" s="261">
        <x:f>SUM(H17:K20)</x:f>
        <x:v>0</x:v>
      </x:c>
      <x:c r="I21" s="261"/>
      <x:c r="J21" s="261"/>
      <x:c r="K21" s="262"/>
    </x:row>
  </x:sheetData>
  <x:mergeCells count="62">
    <x:mergeCell ref="A2:B2"/>
    <x:mergeCell ref="C2:D2"/>
    <x:mergeCell ref="E2:F2"/>
    <x:mergeCell ref="H2:K2"/>
    <x:mergeCell ref="A3:B3"/>
    <x:mergeCell ref="C3:D3"/>
    <x:mergeCell ref="E3:F3"/>
    <x:mergeCell ref="H3:K7"/>
    <x:mergeCell ref="A4:B4"/>
    <x:mergeCell ref="C4:D4"/>
    <x:mergeCell ref="E4:F4"/>
    <x:mergeCell ref="A5:B5"/>
    <x:mergeCell ref="C5:D5"/>
    <x:mergeCell ref="E5:F5"/>
    <x:mergeCell ref="A6:B6"/>
    <x:mergeCell ref="C6:D6"/>
    <x:mergeCell ref="E6:F6"/>
    <x:mergeCell ref="A7:B10"/>
    <x:mergeCell ref="C7:G10"/>
    <x:mergeCell ref="I8:J8"/>
    <x:mergeCell ref="H9:H10"/>
    <x:mergeCell ref="I9:J9"/>
    <x:mergeCell ref="I10:J10"/>
    <x:mergeCell ref="A11:B11"/>
    <x:mergeCell ref="C11:G11"/>
    <x:mergeCell ref="I11:K11"/>
    <x:mergeCell ref="A12:B12"/>
    <x:mergeCell ref="C12:G12"/>
    <x:mergeCell ref="I12:K12"/>
    <x:mergeCell ref="E13:G13"/>
    <x:mergeCell ref="H13:I13"/>
    <x:mergeCell ref="J13:K13"/>
    <x:mergeCell ref="A14:B14"/>
    <x:mergeCell ref="C14:D14"/>
    <x:mergeCell ref="E14:G14"/>
    <x:mergeCell ref="H14:I14"/>
    <x:mergeCell ref="J14:K14"/>
    <x:mergeCell ref="A1:K1"/>
    <x:mergeCell ref="A19:B19"/>
    <x:mergeCell ref="C19:F19"/>
    <x:mergeCell ref="H19:K19"/>
    <x:mergeCell ref="A20:B20"/>
    <x:mergeCell ref="C20:F20"/>
    <x:mergeCell ref="H20:K20"/>
    <x:mergeCell ref="A17:B17"/>
    <x:mergeCell ref="C17:F17"/>
    <x:mergeCell ref="H17:K17"/>
    <x:mergeCell ref="A18:B18"/>
    <x:mergeCell ref="C18:F18"/>
    <x:mergeCell ref="A16:F16"/>
    <x:mergeCell ref="G16:K16"/>
    <x:mergeCell ref="A13:B13"/>
    <x:mergeCell ref="C13:D13"/>
    <x:mergeCell ref="H18:K18"/>
    <x:mergeCell ref="J15:K15"/>
    <x:mergeCell ref="A21:B21"/>
    <x:mergeCell ref="C21:F21"/>
    <x:mergeCell ref="H21:K21"/>
    <x:mergeCell ref="A15:B15"/>
    <x:mergeCell ref="C15:D15"/>
    <x:mergeCell ref="E15:G15"/>
    <x:mergeCell ref="H15:I15"/>
  </x:mergeCells>
  <x:pageMargins left="0.52958333492279053" right="0.47972223162651062" top="0.97000002861022949" bottom="0.49000000953674316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U58"/>
  <x:sheetViews>
    <x:sheetView topLeftCell="F1" zoomScaleNormal="100" zoomScaleSheetLayoutView="75" workbookViewId="0">
      <x:selection activeCell="U10" activeCellId="0" sqref="U10:U10"/>
    </x:sheetView>
  </x:sheetViews>
  <x:sheetFormatPr defaultColWidth="9" defaultRowHeight="16.5" customHeight="1"/>
  <x:cols>
    <x:col min="1" max="1" width="13.75" style="1" customWidth="1"/>
    <x:col min="2" max="2" width="13.875" style="1" customWidth="1"/>
    <x:col min="3" max="3" width="13.375" style="1" customWidth="1"/>
    <x:col min="4" max="4" width="20.625" style="1" customWidth="1"/>
    <x:col min="5" max="5" width="16" style="1" customWidth="1"/>
    <x:col min="6" max="6" width="11.375" style="1" customWidth="1"/>
    <x:col min="7" max="7" width="20.625" style="1" customWidth="1"/>
    <x:col min="8" max="8" width="15.25" style="1" customWidth="1"/>
    <x:col min="9" max="9" width="14.875" style="1" customWidth="1"/>
    <x:col min="10" max="10" width="14" style="1" customWidth="1"/>
    <x:col min="11" max="11" width="14.25" style="1" customWidth="1"/>
    <x:col min="12" max="12" width="4.25" style="1" customWidth="1"/>
    <x:col min="13" max="13" width="13.125" style="1" customWidth="1"/>
    <x:col min="14" max="14" width="13" style="1" customWidth="1"/>
    <x:col min="16" max="16" width="12.125" style="1" bestFit="1" customWidth="1"/>
    <x:col min="20" max="20" width="13" style="1" bestFit="1" customWidth="1"/>
    <x:col min="21" max="21" width="10.875" style="1" bestFit="1" customWidth="1"/>
  </x:cols>
  <x:sheetData>
    <x:row r="1" spans="5:5" customHeight="1">
      <x:c r="E1" s="141" t="s">
        <x:v>28</x:v>
      </x:c>
    </x:row>
    <x:row r="2" spans="1:2" ht="16.399999999999999">
      <x:c r="A2" s="11"/>
      <x:c r="B2" s="11"/>
    </x:row>
    <x:row r="3" ht="16.399999999999999"/>
    <x:row r="4" spans="1:16" customHeight="1">
      <x:c r="A4" s="289" t="s">
        <x:v>103</x:v>
      </x:c>
      <x:c r="B4" s="290"/>
      <x:c r="C4" s="290"/>
      <x:c r="D4" s="290"/>
      <x:c r="E4" s="291"/>
      <x:c r="F4" s="289" t="s">
        <x:v>91</x:v>
      </x:c>
      <x:c r="G4" s="290"/>
      <x:c r="H4" s="290"/>
      <x:c r="I4" s="290"/>
      <x:c r="J4" s="290"/>
      <x:c r="K4" s="291"/>
      <x:c r="M4" s="70"/>
      <x:c r="N4" s="70"/>
      <x:c r="O4" s="70"/>
      <x:c r="P4" s="70"/>
    </x:row>
    <x:row r="5" spans="1:16" s="15" customFormat="1" ht="17.149999999999999">
      <x:c r="A5" s="292" t="s">
        <x:v>2</x:v>
      </x:c>
      <x:c r="B5" s="293"/>
      <x:c r="C5" s="13"/>
      <x:c r="D5" s="13" t="s">
        <x:v>120</x:v>
      </x:c>
      <x:c r="E5" s="14" t="s">
        <x:v>156</x:v>
      </x:c>
      <x:c r="F5" s="12" t="s">
        <x:v>2</x:v>
      </x:c>
      <x:c r="G5" s="13" t="s">
        <x:v>32</x:v>
      </x:c>
      <x:c r="H5" s="13" t="s">
        <x:v>48</x:v>
      </x:c>
      <x:c r="I5" s="14"/>
      <x:c r="J5" s="13" t="s">
        <x:v>120</x:v>
      </x:c>
      <x:c r="K5" s="14"/>
      <x:c r="M5" s="77" t="s">
        <x:v>142</x:v>
      </x:c>
      <x:c r="N5" s="128">
        <x:f>SUM('1:31'!G6)</x:f>
        <x:v>19105000</x:v>
      </x:c>
      <x:c r="O5" s="70"/>
      <x:c r="P5" s="70"/>
    </x:row>
    <x:row r="6" spans="1:16" ht="16.399999999999999">
      <x:c r="A6" s="268" t="s">
        <x:v>44</x:v>
      </x:c>
      <x:c r="B6" s="269"/>
      <x:c r="C6" s="16">
        <x:v>6985000</x:v>
      </x:c>
      <x:c r="D6" s="16">
        <x:f>C6</x:f>
        <x:v>6985000</x:v>
      </x:c>
      <x:c r="E6" s="146">
        <x:f>D6/$B$45</x:f>
        <x:v>0.051828811328286734</x:v>
      </x:c>
      <x:c r="F6" s="284" t="s">
        <x:v>6</x:v>
      </x:c>
      <x:c r="G6" s="67" t="s">
        <x:v>20</x:v>
      </x:c>
      <x:c r="H6" s="16">
        <x:f>SUM('1:31'!I4)</x:f>
        <x:v>37053972</x:v>
      </x:c>
      <x:c r="I6" s="71">
        <x:f>H6/$B$45</x:f>
        <x:v>0.27494106281340291</x:v>
      </x:c>
      <x:c r="J6" s="287">
        <x:f>SUM(H6:H18)</x:f>
        <x:v>50277464</x:v>
      </x:c>
      <x:c r="K6" s="294">
        <x:f>J6/$B$45</x:f>
        <x:v>0.37305958421198687</x:v>
      </x:c>
      <x:c r="M6" s="76"/>
      <x:c r="N6" s="129"/>
      <x:c r="O6" s="70"/>
      <x:c r="P6" s="70"/>
    </x:row>
    <x:row r="7" spans="1:16" ht="16.75">
      <x:c r="A7" s="268" t="s">
        <x:v>47</x:v>
      </x:c>
      <x:c r="B7" s="269"/>
      <x:c r="C7" s="16">
        <x:v>2600000</x:v>
      </x:c>
      <x:c r="D7" s="16">
        <x:f>C7</x:f>
        <x:v>2600000</x:v>
      </x:c>
      <x:c r="E7" s="17">
        <x:f t="shared" ref="E7:E17" si="0">D7/$B$45</x:f>
        <x:v>0.019292041439305013</x:v>
      </x:c>
      <x:c r="F7" s="285"/>
      <x:c r="G7" s="67" t="s">
        <x:v>6</x:v>
      </x:c>
      <x:c r="H7" s="16">
        <x:f>SUM('1:31'!I5)</x:f>
        <x:v>4689702</x:v>
      </x:c>
      <x:c r="I7" s="71">
        <x:f>H7/$B$45</x:f>
        <x:v>0.034797663585381382</x:v>
      </x:c>
      <x:c r="J7" s="274"/>
      <x:c r="K7" s="283"/>
      <x:c r="M7" s="78" t="s">
        <x:v>35</x:v>
      </x:c>
      <x:c r="N7" s="130">
        <x:f>SUM('31'!C15)</x:f>
        <x:v>1268</x:v>
      </x:c>
      <x:c r="O7" s="70"/>
      <x:c r="P7" s="70"/>
    </x:row>
    <x:row r="8" spans="1:16" ht="16.399999999999999">
      <x:c r="A8" s="268" t="s">
        <x:v>5</x:v>
      </x:c>
      <x:c r="B8" s="269"/>
      <x:c r="C8" s="16">
        <x:v>154000</x:v>
      </x:c>
      <x:c r="D8" s="16">
        <x:f t="shared" ref="D8:D17" si="1">C8</x:f>
        <x:v>154000</x:v>
      </x:c>
      <x:c r="E8" s="17">
        <x:f>D8/$B$45</x:f>
        <x:v>0.0011426824544819123</x:v>
      </x:c>
      <x:c r="F8" s="285"/>
      <x:c r="G8" s="67" t="s">
        <x:v>25</x:v>
      </x:c>
      <x:c r="H8" s="16">
        <x:f>SUM('1:31'!I7)</x:f>
        <x:v>3607440</x:v>
      </x:c>
      <x:c r="I8" s="147">
        <x:f>H8/$B$45</x:f>
        <x:v>0.026767262296079411</x:v>
      </x:c>
      <x:c r="J8" s="274"/>
      <x:c r="K8" s="283"/>
      <x:c r="M8" s="79" t="s">
        <x:v>51</x:v>
      </x:c>
      <x:c r="N8" s="131">
        <x:f>SUM('31'!C13)</x:f>
        <x:v>529</x:v>
      </x:c>
      <x:c r="O8" s="70"/>
      <x:c r="P8" s="70"/>
    </x:row>
    <x:row r="9" spans="1:16" ht="16.399999999999999">
      <x:c r="A9" s="270" t="s">
        <x:v>10</x:v>
      </x:c>
      <x:c r="B9" s="269"/>
      <x:c r="C9" s="16">
        <x:v>670000</x:v>
      </x:c>
      <x:c r="D9" s="16">
        <x:f t="shared" si="1"/>
        <x:v>670000</x:v>
      </x:c>
      <x:c r="E9" s="17">
        <x:f t="shared" si="0"/>
        <x:v>0.004971410678590138</x:v>
      </x:c>
      <x:c r="F9" s="285"/>
      <x:c r="G9" s="67" t="s">
        <x:v>54</x:v>
      </x:c>
      <x:c r="H9" s="16">
        <x:f>SUM('1:31'!I8)</x:f>
        <x:v>784000</x:v>
      </x:c>
      <x:c r="I9" s="147">
        <x:f>H9/$B$45</x:f>
        <x:v>0.00581729249554428</x:v>
      </x:c>
      <x:c r="J9" s="274"/>
      <x:c r="K9" s="283"/>
      <x:c r="M9" s="79" t="s">
        <x:v>60</x:v>
      </x:c>
      <x:c r="N9" s="131">
        <x:f>SUM('31'!C17)</x:f>
        <x:v>191</x:v>
      </x:c>
      <x:c r="O9" s="70"/>
      <x:c r="P9" s="70"/>
    </x:row>
    <x:row r="10" spans="1:16" ht="16.399999999999999">
      <x:c r="A10" s="268" t="s">
        <x:v>92</x:v>
      </x:c>
      <x:c r="B10" s="269"/>
      <x:c r="C10" s="16">
        <x:v>66000</x:v>
      </x:c>
      <x:c r="D10" s="16">
        <x:f t="shared" si="1"/>
        <x:v>66000</x:v>
      </x:c>
      <x:c r="E10" s="17">
        <x:f t="shared" si="0"/>
        <x:v>0.00048972105192081957</x:v>
      </x:c>
      <x:c r="F10" s="285"/>
      <x:c r="G10" s="67" t="s">
        <x:v>67</x:v>
      </x:c>
      <x:c r="H10" s="16">
        <x:f>SUM('1:31'!I11)</x:f>
        <x:v>300000</x:v>
      </x:c>
      <x:c r="I10" s="71">
        <x:f>H10/$B$45</x:f>
        <x:v>0.0022260047814582707</x:v>
      </x:c>
      <x:c r="J10" s="274"/>
      <x:c r="K10" s="283"/>
      <x:c r="M10" s="79" t="s">
        <x:v>144</x:v>
      </x:c>
      <x:c r="N10" s="131">
        <x:f>SUM('31'!F13)</x:f>
        <x:v>342</x:v>
      </x:c>
      <x:c r="O10" s="70"/>
      <x:c r="P10" s="70"/>
    </x:row>
    <x:row r="11" spans="1:16" ht="16.399999999999999">
      <x:c r="A11" s="268" t="s">
        <x:v>55</x:v>
      </x:c>
      <x:c r="B11" s="269"/>
      <x:c r="C11" s="16">
        <x:v>330000</x:v>
      </x:c>
      <x:c r="D11" s="16">
        <x:f t="shared" si="1"/>
        <x:v>330000</x:v>
      </x:c>
      <x:c r="E11" s="17">
        <x:f t="shared" si="0"/>
        <x:v>0.0024486052596040977</x:v>
      </x:c>
      <x:c r="F11" s="285"/>
      <x:c r="G11" s="67" t="s">
        <x:v>113</x:v>
      </x:c>
      <x:c r="H11" s="16">
        <x:f>SUM('1:31'!I12)</x:f>
        <x:v>0</x:v>
      </x:c>
      <x:c r="I11" s="71">
        <x:f t="shared" ref="I11:I12" si="2">H11/$B$45</x:f>
        <x:v>0</x:v>
      </x:c>
      <x:c r="J11" s="274"/>
      <x:c r="K11" s="283"/>
      <x:c r="M11" s="79" t="s">
        <x:v>106</x:v>
      </x:c>
      <x:c r="N11" s="131">
        <x:f>SUM('31'!F15)</x:f>
        <x:v>635</x:v>
      </x:c>
      <x:c r="O11" s="70"/>
      <x:c r="P11" s="70"/>
    </x:row>
    <x:row r="12" spans="1:16" ht="16.399999999999999">
      <x:c r="A12" s="268" t="s">
        <x:v>46</x:v>
      </x:c>
      <x:c r="B12" s="269"/>
      <x:c r="C12" s="16">
        <x:v>48000</x:v>
      </x:c>
      <x:c r="D12" s="16">
        <x:f t="shared" si="1"/>
        <x:v>48000</x:v>
      </x:c>
      <x:c r="E12" s="17">
        <x:f t="shared" si="0"/>
        <x:v>0.00035616076503332332</x:v>
      </x:c>
      <x:c r="F12" s="285"/>
      <x:c r="G12" s="54" t="s">
        <x:v>132</x:v>
      </x:c>
      <x:c r="H12" s="16">
        <x:f>SUM('1:31'!I13)</x:f>
        <x:v>240000</x:v>
      </x:c>
      <x:c r="I12" s="71">
        <x:f t="shared" si="2"/>
        <x:v>0.0017808038251666165</x:v>
      </x:c>
      <x:c r="J12" s="274"/>
      <x:c r="K12" s="283"/>
      <x:c r="M12" s="79" t="s">
        <x:v>128</x:v>
      </x:c>
      <x:c r="N12" s="131">
        <x:f>SUM('31'!F17)</x:f>
        <x:v>542</x:v>
      </x:c>
      <x:c r="O12" s="70"/>
      <x:c r="P12" s="70"/>
    </x:row>
    <x:row r="13" spans="1:16" ht="16.399999999999999">
      <x:c r="A13" s="270" t="s">
        <x:v>111</x:v>
      </x:c>
      <x:c r="B13" s="269"/>
      <x:c r="C13" s="16">
        <x:v>66000</x:v>
      </x:c>
      <x:c r="D13" s="16">
        <x:f t="shared" si="1"/>
        <x:v>66000</x:v>
      </x:c>
      <x:c r="E13" s="17">
        <x:f t="shared" si="0"/>
        <x:v>0.00048972105192081957</x:v>
      </x:c>
      <x:c r="F13" s="285"/>
      <x:c r="G13" s="54" t="s">
        <x:v>122</x:v>
      </x:c>
      <x:c r="H13" s="16">
        <x:f>SUM('1:31'!I14)</x:f>
        <x:v>0</x:v>
      </x:c>
      <x:c r="I13" s="71">
        <x:f>H13/$B$45</x:f>
        <x:v>0</x:v>
      </x:c>
      <x:c r="J13" s="274"/>
      <x:c r="K13" s="283"/>
      <x:c r="M13" s="145" t="s">
        <x:v>102</x:v>
      </x:c>
      <x:c r="N13" s="131">
        <x:f>SUM('31'!C19)</x:f>
        <x:v>1122</x:v>
      </x:c>
      <x:c r="O13" s="70"/>
      <x:c r="P13" s="70"/>
    </x:row>
    <x:row r="14" spans="1:16" ht="16.399999999999999">
      <x:c r="A14" s="268"/>
      <x:c r="B14" s="269"/>
      <x:c r="C14" s="16"/>
      <x:c r="D14" s="16">
        <x:f t="shared" si="1"/>
        <x:v>0</x:v>
      </x:c>
      <x:c r="E14" s="17">
        <x:f t="shared" si="0"/>
        <x:v>0</x:v>
      </x:c>
      <x:c r="F14" s="285"/>
      <x:c r="G14" s="54" t="s">
        <x:v>7</x:v>
      </x:c>
      <x:c r="H14" s="16">
        <x:f>SUM('1:31'!I17)</x:f>
        <x:v>3200</x:v>
      </x:c>
      <x:c r="I14" s="71">
        <x:f>H14/$B$45</x:f>
        <x:v>2.3744051002221552E-5</x:v>
      </x:c>
      <x:c r="J14" s="274"/>
      <x:c r="K14" s="283"/>
      <x:c r="M14" s="133" t="s">
        <x:v>141</x:v>
      </x:c>
      <x:c r="N14" s="131">
        <x:f>SUM('31'!F19)</x:f>
        <x:v>448</x:v>
      </x:c>
      <x:c r="O14" s="70"/>
      <x:c r="P14" s="70"/>
    </x:row>
    <x:row r="15" spans="1:16" ht="16.75">
      <x:c r="A15" s="268"/>
      <x:c r="B15" s="269"/>
      <x:c r="C15" s="16"/>
      <x:c r="D15" s="16">
        <x:f t="shared" si="1"/>
        <x:v>0</x:v>
      </x:c>
      <x:c r="E15" s="17">
        <x:f t="shared" si="0"/>
        <x:v>0</x:v>
      </x:c>
      <x:c r="F15" s="285"/>
      <x:c r="G15" s="69" t="s">
        <x:v>117</x:v>
      </x:c>
      <x:c r="H15" s="93">
        <x:f>SUM('1:31'!I15)</x:f>
        <x:v>3599150</x:v>
      </x:c>
      <x:c r="I15" s="73">
        <x:f>H15/$B$45</x:f>
        <x:v>0.026705750363951782</x:v>
      </x:c>
      <x:c r="J15" s="274"/>
      <x:c r="K15" s="283"/>
      <x:c r="M15" s="142" t="s">
        <x:v>150</x:v>
      </x:c>
      <x:c r="N15" s="132">
        <x:f>SUM('31'!F21)</x:f>
        <x:v>1961</x:v>
      </x:c>
      <x:c r="O15" s="70"/>
      <x:c r="P15" s="70"/>
    </x:row>
    <x:row r="16" spans="1:16" ht="16.399999999999999">
      <x:c r="A16" s="271" t="s">
        <x:v>68</x:v>
      </x:c>
      <x:c r="B16" s="272"/>
      <x:c r="C16" s="16"/>
      <x:c r="D16" s="16">
        <x:f t="shared" si="1"/>
        <x:v>0</x:v>
      </x:c>
      <x:c r="E16" s="17">
        <x:f t="shared" si="0"/>
        <x:v>0</x:v>
      </x:c>
      <x:c r="F16" s="285"/>
      <x:c r="J16" s="274"/>
      <x:c r="K16" s="283"/>
      <x:c r="M16" s="76"/>
      <x:c r="N16" s="129"/>
      <x:c r="O16" s="70"/>
      <x:c r="P16" s="70"/>
    </x:row>
    <x:row r="17" spans="1:16" ht="16.399999999999999">
      <x:c r="A17" s="271" t="s">
        <x:v>40</x:v>
      </x:c>
      <x:c r="B17" s="272"/>
      <x:c r="C17" s="16"/>
      <x:c r="D17" s="16">
        <x:f t="shared" si="1"/>
        <x:v>0</x:v>
      </x:c>
      <x:c r="E17" s="17">
        <x:f t="shared" si="0"/>
        <x:v>0</x:v>
      </x:c>
      <x:c r="F17" s="285"/>
      <x:c r="J17" s="274"/>
      <x:c r="K17" s="283"/>
      <x:c r="M17" s="70"/>
      <x:c r="N17" s="70"/>
      <x:c r="O17" s="70"/>
      <x:c r="P17" s="70"/>
    </x:row>
    <x:row r="18" spans="1:14" ht="17.149999999999999">
      <x:c r="A18" s="300" t="s">
        <x:v>90</x:v>
      </x:c>
      <x:c r="B18" s="301"/>
      <x:c r="C18" s="302">
        <x:v>0</x:v>
      </x:c>
      <x:c r="D18" s="303"/>
      <x:c r="E18" s="92">
        <x:f>SUM(E6:E17)</x:f>
        <x:v>0.081019154029142851</x:v>
      </x:c>
      <x:c r="F18" s="286"/>
      <x:c r="J18" s="288"/>
      <x:c r="K18" s="295"/>
      <x:c r="M18" s="84"/>
      <x:c r="N18" s="70"/>
    </x:row>
    <x:row r="19" spans="1:14" ht="17.449999999999999" customHeight="1">
      <x:c r="A19" s="304" t="s">
        <x:v>65</x:v>
      </x:c>
      <x:c r="B19" s="98" t="s">
        <x:v>53</x:v>
      </x:c>
      <x:c r="C19" s="108">
        <x:v>4000000</x:v>
      </x:c>
      <x:c r="D19" s="274">
        <x:f>SUM(C19:C30)</x:f>
        <x:v>23080000</x:v>
      </x:c>
      <x:c r="E19" s="277">
        <x:f>D19/$B$45</x:f>
        <x:v>0.17125396785352295</x:v>
      </x:c>
      <x:c r="F19" s="310" t="s">
        <x:v>86</x:v>
      </x:c>
      <x:c r="G19" s="82" t="s">
        <x:v>45</x:v>
      </x:c>
      <x:c r="H19" s="16">
        <x:f>SUM('1:31'!K4)</x:f>
        <x:v>1003000</x:v>
      </x:c>
      <x:c r="I19" s="72">
        <x:f t="shared" ref="I19:I22" si="3">H19/$B$45</x:f>
        <x:v>0.0074422759860088179</x:v>
      </x:c>
      <x:c r="J19" s="273">
        <x:f>SUM(H19:H32)</x:f>
        <x:v>3701517</x:v>
      </x:c>
      <x:c r="K19" s="282">
        <x:f>J19/$B$45</x:f>
        <x:v>0.027465315135496909</x:v>
      </x:c>
      <x:c r="M19" s="70"/>
      <x:c r="N19" s="70"/>
    </x:row>
    <x:row r="20" spans="1:16" ht="16.399999999999999">
      <x:c r="A20" s="304"/>
      <x:c r="B20" s="140" t="s">
        <x:v>24</x:v>
      </x:c>
      <x:c r="C20" s="16">
        <x:v>3800000</x:v>
      </x:c>
      <x:c r="D20" s="274"/>
      <x:c r="E20" s="278"/>
      <x:c r="F20" s="311"/>
      <x:c r="G20" s="83" t="s">
        <x:v>138</x:v>
      </x:c>
      <x:c r="H20" s="16">
        <x:f>SUM('1:31'!K6)</x:f>
        <x:v>0</x:v>
      </x:c>
      <x:c r="I20" s="71">
        <x:f t="shared" si="3"/>
        <x:v>0</x:v>
      </x:c>
      <x:c r="J20" s="274"/>
      <x:c r="K20" s="283"/>
      <x:c r="M20" s="70"/>
      <x:c r="N20" s="70"/>
      <x:c r="P20" s="94"/>
    </x:row>
    <x:row r="21" spans="1:16" ht="16.399999999999999">
      <x:c r="A21" s="304"/>
      <x:c r="B21" s="140" t="s">
        <x:v>50</x:v>
      </x:c>
      <x:c r="C21" s="16">
        <x:v>3500000</x:v>
      </x:c>
      <x:c r="D21" s="274"/>
      <x:c r="E21" s="278"/>
      <x:c r="F21" s="311"/>
      <x:c r="G21" s="83" t="s">
        <x:v>87</x:v>
      </x:c>
      <x:c r="H21" s="16">
        <x:f>SUM('1:31'!K7)</x:f>
        <x:v>37500</x:v>
      </x:c>
      <x:c r="I21" s="71">
        <x:f t="shared" si="3"/>
        <x:v>0.00027825059768228383</x:v>
      </x:c>
      <x:c r="J21" s="274"/>
      <x:c r="K21" s="283"/>
      <x:c r="M21" s="70"/>
      <x:c r="N21" s="70"/>
      <x:c r="P21" s="94"/>
    </x:row>
    <x:row r="22" spans="1:16" ht="16.399999999999999">
      <x:c r="A22" s="304"/>
      <x:c r="B22" s="140" t="s">
        <x:v>56</x:v>
      </x:c>
      <x:c r="C22" s="16">
        <x:v>3200000</x:v>
      </x:c>
      <x:c r="D22" s="274"/>
      <x:c r="E22" s="278"/>
      <x:c r="F22" s="311"/>
      <x:c r="G22" s="54" t="s">
        <x:v>16</x:v>
      </x:c>
      <x:c r="H22" s="16">
        <x:f>SUM('1:31'!K9)</x:f>
        <x:v>0</x:v>
      </x:c>
      <x:c r="I22" s="71">
        <x:f t="shared" si="3"/>
        <x:v>0</x:v>
      </x:c>
      <x:c r="J22" s="274"/>
      <x:c r="K22" s="283"/>
      <x:c r="M22" s="70"/>
      <x:c r="N22" s="70"/>
      <x:c r="P22" s="94"/>
    </x:row>
    <x:row r="23" spans="1:16" ht="16.399999999999999">
      <x:c r="A23" s="304"/>
      <x:c r="D23" s="274"/>
      <x:c r="E23" s="278"/>
      <x:c r="F23" s="311"/>
      <x:c r="G23" s="54" t="s">
        <x:v>62</x:v>
      </x:c>
      <x:c r="H23" s="16">
        <x:f>SUM('1:31'!K10)</x:f>
        <x:v>38000</x:v>
      </x:c>
      <x:c r="I23" s="71">
        <x:f>H23/$B$45</x:f>
        <x:v>0.00028196060565138093</x:v>
      </x:c>
      <x:c r="J23" s="274"/>
      <x:c r="K23" s="283"/>
      <x:c r="M23" s="70"/>
      <x:c r="N23" s="70"/>
      <x:c r="P23" s="94"/>
    </x:row>
    <x:row r="24" spans="1:16" ht="16.399999999999999">
      <x:c r="A24" s="304"/>
      <x:c r="B24" s="140"/>
      <x:c r="C24" s="16"/>
      <x:c r="D24" s="274"/>
      <x:c r="E24" s="278"/>
      <x:c r="F24" s="311"/>
      <x:c r="G24" s="54" t="s">
        <x:v>93</x:v>
      </x:c>
      <x:c r="H24" s="16">
        <x:f>SUM('1:31'!K11)</x:f>
        <x:v>440000.00000000029</x:v>
      </x:c>
      <x:c r="I24" s="71">
        <x:f>H24/$B$45</x:f>
        <x:v>0.0032648070128054657</x:v>
      </x:c>
      <x:c r="J24" s="274"/>
      <x:c r="K24" s="283"/>
      <x:c r="M24" s="70"/>
      <x:c r="N24" s="70"/>
      <x:c r="P24" s="15"/>
    </x:row>
    <x:row r="25" spans="1:14" ht="16.399999999999999">
      <x:c r="A25" s="304"/>
      <x:c r="B25" s="140" t="s">
        <x:v>37</x:v>
      </x:c>
      <x:c r="C25" s="16">
        <x:f>SUM('1:31'!C32)</x:f>
        <x:v>616000</x:v>
      </x:c>
      <x:c r="D25" s="274"/>
      <x:c r="E25" s="278"/>
      <x:c r="F25" s="311"/>
      <x:c r="G25" s="54" t="s">
        <x:v>85</x:v>
      </x:c>
      <x:c r="H25" s="16">
        <x:f>SUM('1:31'!K15)</x:f>
        <x:v>298500</x:v>
      </x:c>
      <x:c r="I25" s="71">
        <x:f>H25/$B$45</x:f>
        <x:v>0.0022148747575509793</x:v>
      </x:c>
      <x:c r="J25" s="274"/>
      <x:c r="K25" s="283"/>
      <x:c r="M25" s="70"/>
      <x:c r="N25" s="70"/>
    </x:row>
    <x:row r="26" spans="1:21" ht="16.399999999999999">
      <x:c r="A26" s="304"/>
      <x:c r="B26" s="140" t="s">
        <x:v>21</x:v>
      </x:c>
      <x:c r="C26" s="16">
        <x:f>SUM('1:31'!C33)</x:f>
        <x:v>1274000</x:v>
      </x:c>
      <x:c r="D26" s="274"/>
      <x:c r="E26" s="278"/>
      <x:c r="F26" s="311"/>
      <x:c r="G26" s="54" t="s">
        <x:v>108</x:v>
      </x:c>
      <x:c r="H26" s="16">
        <x:f>SUM('1:31'!K16)</x:f>
        <x:v>1884517</x:v>
      </x:c>
      <x:c r="I26" s="71">
        <x:f>H26/$B$45</x:f>
        <x:v>0.013983146175797986</x:v>
      </x:c>
      <x:c r="J26" s="274"/>
      <x:c r="K26" s="283"/>
      <x:c r="M26" s="70"/>
      <x:c r="N26" s="70"/>
      <x:c r="P26" s="94"/>
      <x:c r="T26" s="107"/>
      <x:c r="U26" s="106"/>
    </x:row>
    <x:row r="27" spans="1:21" ht="16.399999999999999">
      <x:c r="A27" s="304"/>
      <x:c r="D27" s="274"/>
      <x:c r="E27" s="278"/>
      <x:c r="F27" s="311"/>
      <x:c r="G27" s="54" t="s">
        <x:v>101</x:v>
      </x:c>
      <x:c r="H27" s="16">
        <x:f>SUM('1:31'!K17)</x:f>
        <x:v>0</x:v>
      </x:c>
      <x:c r="I27" s="71">
        <x:f>H27/$B$45</x:f>
        <x:v>0</x:v>
      </x:c>
      <x:c r="J27" s="274"/>
      <x:c r="K27" s="283"/>
      <x:c r="M27" s="70"/>
      <x:c r="N27" s="70"/>
      <x:c r="P27" s="94"/>
      <x:c r="T27" s="107"/>
      <x:c r="U27" s="106"/>
    </x:row>
    <x:row r="28" spans="1:21" ht="16.399999999999999">
      <x:c r="A28" s="304"/>
      <x:c r="B28" s="140" t="s">
        <x:v>66</x:v>
      </x:c>
      <x:c r="C28" s="16">
        <x:f>SUM('1:31'!C34)</x:f>
        <x:v>728000</x:v>
      </x:c>
      <x:c r="D28" s="274"/>
      <x:c r="E28" s="278"/>
      <x:c r="F28" s="311"/>
      <x:c r="G28" s="54"/>
      <x:c r="H28" s="16"/>
      <x:c r="I28" s="71"/>
      <x:c r="J28" s="274"/>
      <x:c r="K28" s="283"/>
      <x:c r="P28" s="94"/>
      <x:c r="T28" s="107"/>
      <x:c r="U28" s="106"/>
    </x:row>
    <x:row r="29" spans="1:21" ht="16.399999999999999">
      <x:c r="A29" s="304"/>
      <x:c r="B29" s="140" t="s">
        <x:v>23</x:v>
      </x:c>
      <x:c r="C29" s="16">
        <x:f>SUM('1:31'!F32)</x:f>
        <x:v>2122000</x:v>
      </x:c>
      <x:c r="D29" s="274"/>
      <x:c r="E29" s="278"/>
      <x:c r="F29" s="311"/>
      <x:c r="J29" s="274"/>
      <x:c r="K29" s="283"/>
      <x:c r="P29" s="94"/>
      <x:c r="T29" s="107"/>
      <x:c r="U29" s="106"/>
    </x:row>
    <x:row r="30" spans="1:21" ht="16.399999999999999">
      <x:c r="A30" s="304"/>
      <x:c r="B30" s="140" t="s">
        <x:v>4</x:v>
      </x:c>
      <x:c r="C30" s="16">
        <x:f>SUM('1:31'!F31)</x:f>
        <x:v>3840000</x:v>
      </x:c>
      <x:c r="D30" s="274"/>
      <x:c r="E30" s="278"/>
      <x:c r="F30" s="311"/>
      <x:c r="J30" s="274"/>
      <x:c r="K30" s="283"/>
      <x:c r="P30" s="94"/>
      <x:c r="T30" s="107"/>
      <x:c r="U30" s="106"/>
    </x:row>
    <x:row r="31" spans="1:11" ht="16.399999999999999">
      <x:c r="A31" s="305"/>
      <x:c r="B31" s="140" t="s">
        <x:v>63</x:v>
      </x:c>
      <x:c r="C31" s="16">
        <x:f>SUM(C19:C30)</x:f>
        <x:v>23080000</x:v>
      </x:c>
      <x:c r="D31" s="279"/>
      <x:c r="E31" s="278"/>
      <x:c r="F31" s="311"/>
      <x:c r="J31" s="274"/>
      <x:c r="K31" s="283"/>
    </x:row>
    <x:row r="32" spans="1:11" ht="16.399999999999999">
      <x:c r="A32" s="280" t="s">
        <x:v>79</x:v>
      </x:c>
      <x:c r="B32" s="281"/>
      <x:c r="C32" s="19">
        <x:f>(C19+C20+C21+C22+C24)*0.1</x:f>
        <x:v>1450000</x:v>
      </x:c>
      <x:c r="D32" s="16">
        <x:f>C32</x:f>
        <x:v>1450000</x:v>
      </x:c>
      <x:c r="E32" s="283">
        <x:f>(D32:D33)/$B$45</x:f>
        <x:v>0.010759023110381641</x:v>
      </x:c>
      <x:c r="F32" s="311"/>
      <x:c r="G32" s="105"/>
      <x:c r="H32" s="85"/>
      <x:c r="I32" s="71"/>
      <x:c r="J32" s="274"/>
      <x:c r="K32" s="283"/>
    </x:row>
    <x:row r="33" spans="1:11" ht="16.75">
      <x:c r="A33" s="298" t="s">
        <x:v>89</x:v>
      </x:c>
      <x:c r="B33" s="299"/>
      <x:c r="C33" s="143"/>
      <x:c r="D33" s="144">
        <x:f>C33</x:f>
        <x:v>0</x:v>
      </x:c>
      <x:c r="E33" s="295"/>
      <x:c r="F33" s="306" t="s">
        <x:v>80</x:v>
      </x:c>
      <x:c r="G33" s="307"/>
      <x:c r="H33" s="86">
        <x:f>SUM('1:31'!$G$5)</x:f>
        <x:v>185240</x:v>
      </x:c>
      <x:c r="I33" s="86"/>
      <x:c r="J33" s="86">
        <x:f>H33</x:f>
        <x:v>185240</x:v>
      </x:c>
      <x:c r="K33" s="87">
        <x:f>J33/$B$45</x:f>
        <x:v>0.0013744837523911001</x:v>
      </x:c>
    </x:row>
    <x:row r="34" spans="1:11" ht="21.399999999999999">
      <x:c r="A34" s="275" t="s">
        <x:v>90</x:v>
      </x:c>
      <x:c r="B34" s="276"/>
      <x:c r="C34" s="263">
        <x:f>SUM(C6:D17,C19:C24,C32:C33)</x:f>
        <x:v>37788000</x:v>
      </x:c>
      <x:c r="D34" s="264"/>
      <x:c r="E34" s="20">
        <x:f>SUM(E19:E33)</x:f>
        <x:v>0.18201299096390461</x:v>
      </x:c>
      <x:c r="F34" s="308" t="s">
        <x:v>159</x:v>
      </x:c>
      <x:c r="G34" s="309"/>
      <x:c r="H34" s="88">
        <x:f>SUM('1:31'!$G$4)</x:f>
        <x:v>3177577</x:v>
      </x:c>
      <x:c r="I34" s="88"/>
      <x:c r="J34" s="88">
        <x:f>H34</x:f>
        <x:v>3177577</x:v>
      </x:c>
      <x:c r="K34" s="89">
        <x:f>J34/$B$45</x:f>
        <x:v>0.023577671984839423</x:v>
      </x:c>
    </x:row>
    <x:row r="35" spans="1:11" ht="21.399999999999999">
      <x:c r="A35" s="266" t="s">
        <x:v>123</x:v>
      </x:c>
      <x:c r="B35" s="267"/>
      <x:c r="E35" s="21">
        <x:f>E18+E34</x:f>
        <x:v>0.26303214499304745</x:v>
      </x:c>
      <x:c r="F35" s="266"/>
      <x:c r="G35" s="267"/>
      <x:c r="H35" s="263">
        <x:f>SUM(J6:J34)</x:f>
        <x:v>57341798</x:v>
      </x:c>
      <x:c r="I35" s="264"/>
      <x:c r="J35" s="265"/>
      <x:c r="K35" s="22">
        <x:f>SUM(K6:K34)</x:f>
        <x:v>0.42547705508471428</x:v>
      </x:c>
    </x:row>
    <x:row r="36" spans="6:11" ht="20.649999999999999">
      <x:c r="F36" s="104"/>
      <x:c r="G36" s="104"/>
      <x:c r="H36" s="103"/>
      <x:c r="I36" s="103"/>
      <x:c r="J36" s="103"/>
      <x:c r="K36" s="102"/>
    </x:row>
    <x:row r="37" spans="1:4" ht="17.800000000000001">
      <x:c r="A37" s="23"/>
      <x:c r="B37" s="23"/>
      <x:c r="C37" s="23"/>
      <x:c r="D37" s="23"/>
    </x:row>
    <x:row r="38" spans="1:11" ht="18.199999999999999">
      <x:c r="A38" s="24" t="s">
        <x:v>2</x:v>
      </x:c>
      <x:c r="B38" s="25" t="s">
        <x:v>48</x:v>
      </x:c>
      <x:c r="C38" s="26" t="s">
        <x:v>147</x:v>
      </x:c>
      <x:c r="D38" s="101" t="s">
        <x:v>126</x:v>
      </x:c>
      <x:c r="F38" s="27" t="s">
        <x:v>116</x:v>
      </x:c>
      <x:c r="G38" s="28"/>
      <x:c r="H38" s="28"/>
      <x:c r="I38" s="28"/>
      <x:c r="J38" s="28"/>
      <x:c r="K38" s="29"/>
    </x:row>
    <x:row r="39" spans="1:11" ht="17.800000000000001">
      <x:c r="A39" s="120" t="s">
        <x:v>103</x:v>
      </x:c>
      <x:c r="B39" s="30">
        <x:f>$C$34</x:f>
        <x:v>37788000</x:v>
      </x:c>
      <x:c r="C39" s="31">
        <x:f>B39/$B$41</x:f>
        <x:v>0.39722569367802085</x:v>
      </x:c>
      <x:c r="D39" s="32">
        <x:f>B39/$B$45</x:f>
        <x:v>0.28038756227248374</x:v>
      </x:c>
      <x:c r="F39" s="33" t="s">
        <x:v>74</x:v>
      </x:c>
      <x:c r="G39" s="34"/>
      <x:c r="H39" s="34"/>
      <x:c r="I39" s="34"/>
      <x:c r="J39" s="34"/>
      <x:c r="K39" s="75"/>
    </x:row>
    <x:row r="40" spans="1:11" ht="17.800000000000001">
      <x:c r="A40" s="121" t="s">
        <x:v>91</x:v>
      </x:c>
      <x:c r="B40" s="35">
        <x:f>$H$35</x:f>
        <x:v>57341798</x:v>
      </x:c>
      <x:c r="C40" s="31">
        <x:f>B40/$B$41</x:f>
        <x:v>0.60277430632197915</x:v>
      </x:c>
      <x:c r="D40" s="32">
        <x:f>B40/$B$45</x:f>
        <x:v>0.42547705508471434</x:v>
      </x:c>
      <x:c r="F40" s="296" t="s">
        <x:v>39</x:v>
      </x:c>
      <x:c r="G40" s="297"/>
      <x:c r="H40" s="34" t="s">
        <x:v>15</x:v>
      </x:c>
      <x:c r="I40" s="34"/>
      <x:c r="J40" s="34"/>
      <x:c r="K40" s="36">
        <x:f>$C$34</x:f>
        <x:v>37788000</x:v>
      </x:c>
    </x:row>
    <x:row r="41" spans="1:11" ht="17.800000000000001">
      <x:c r="A41" s="122" t="s">
        <x:v>29</x:v>
      </x:c>
      <x:c r="B41" s="117">
        <x:f>SUM(B39:B40)</x:f>
        <x:v>95129798</x:v>
      </x:c>
      <x:c r="C41" s="118">
        <x:f>SUM(C39:C40)</x:f>
        <x:v>1</x:v>
      </x:c>
      <x:c r="D41" s="119">
        <x:f>SUM(D39:D40)</x:f>
        <x:v>0.70586461735719808</x:v>
      </x:c>
      <x:c r="F41" s="296" t="s">
        <x:v>1</x:v>
      </x:c>
      <x:c r="G41" s="297"/>
      <x:c r="H41" s="34" t="s">
        <x:v>0</x:v>
      </x:c>
      <x:c r="I41" s="34"/>
      <x:c r="J41" s="34"/>
      <x:c r="K41" s="39">
        <x:f>$H$35</x:f>
        <x:v>57341798</x:v>
      </x:c>
    </x:row>
    <x:row r="42" spans="1:11" customHeight="1">
      <x:c r="A42" s="123" t="s">
        <x:v>133</x:v>
      </x:c>
      <x:c r="B42" s="48">
        <x:f>SUM('1:31'!C4)</x:f>
        <x:v>115548600</x:v>
      </x:c>
      <x:c r="C42" s="49"/>
      <x:c r="D42" s="40">
        <x:f>B42/$B$45</x:f>
        <x:v>0.85737245363603043</x:v>
      </x:c>
      <x:c r="F42" s="296" t="s">
        <x:v>69</x:v>
      </x:c>
      <x:c r="G42" s="297"/>
      <x:c r="H42" s="34" t="s">
        <x:v>43</x:v>
      </x:c>
      <x:c r="I42" s="34"/>
      <x:c r="J42" s="34"/>
      <x:c r="K42" s="39">
        <x:f>$B$45</x:f>
        <x:v>134770600</x:v>
      </x:c>
    </x:row>
    <x:row r="43" spans="1:11" customHeight="1">
      <x:c r="A43" s="121" t="s">
        <x:v>140</x:v>
      </x:c>
      <x:c r="B43" s="35">
        <x:f>SUM('1:31'!C5)</x:f>
        <x:v>19222000</x:v>
      </x:c>
      <x:c r="C43" s="35"/>
      <x:c r="D43" s="41">
        <x:f>B43/$B$45</x:f>
        <x:v>0.1426275463639696</x:v>
      </x:c>
      <x:c r="F43" s="296" t="s">
        <x:v>152</x:v>
      </x:c>
      <x:c r="G43" s="297"/>
      <x:c r="H43" s="34" t="s">
        <x:v>64</x:v>
      </x:c>
      <x:c r="I43" s="34"/>
      <x:c r="J43" s="34"/>
      <x:c r="K43" s="42">
        <x:f>(K41)/K42</x:f>
        <x:v>0.42547705508471434</x:v>
      </x:c>
    </x:row>
    <x:row r="44" spans="1:11" customHeight="1">
      <x:c r="A44" s="121" t="s">
        <x:v>146</x:v>
      </x:c>
      <x:c r="B44" s="35">
        <x:f>SUM('1:31'!C6)</x:f>
        <x:v>0</x:v>
      </x:c>
      <x:c r="C44" s="18"/>
      <x:c r="D44" s="41">
        <x:f>B44/$B$45</x:f>
        <x:v>0</x:v>
      </x:c>
      <x:c r="F44" s="43" t="s">
        <x:v>76</x:v>
      </x:c>
      <x:c r="G44" s="44"/>
      <x:c r="H44" s="44" t="s">
        <x:v>157</x:v>
      </x:c>
      <x:c r="I44" s="44"/>
      <x:c r="J44" s="44"/>
      <x:c r="K44" s="45">
        <x:f>K40/(1-K43)</x:f>
        <x:v>65772830.022605799</x:v>
      </x:c>
    </x:row>
    <x:row r="45" spans="1:4" customHeight="1">
      <x:c r="A45" s="124" t="s">
        <x:v>11</x:v>
      </x:c>
      <x:c r="B45" s="37">
        <x:f>SUM(B42:B44)</x:f>
        <x:v>134770600</x:v>
      </x:c>
      <x:c r="C45" s="50"/>
      <x:c r="D45" s="38"/>
    </x:row>
    <x:row r="46" spans="1:4" customHeight="1">
      <x:c r="A46" s="125" t="s">
        <x:v>100</x:v>
      </x:c>
      <x:c r="B46" s="46">
        <x:f>B45-B41</x:f>
        <x:v>39640802</x:v>
      </x:c>
      <x:c r="C46" s="47"/>
      <x:c r="D46" s="74">
        <x:f>B46/B45</x:f>
        <x:v>0.29413538264280192</x:v>
      </x:c>
    </x:row>
    <x:row r="47" spans="1:13" ht="20.100000000000001" customHeight="1">
      <x:c r="A47" s="123" t="s">
        <x:v>119</x:v>
      </x:c>
      <x:c r="B47" s="48">
        <x:f>INT(B45*0.05)</x:f>
        <x:v>6738530</x:v>
      </x:c>
      <x:c r="C47" s="49"/>
      <x:c r="D47" s="40">
        <x:f>B47/B45</x:f>
        <x:v>0.05</x:v>
      </x:c>
      <x:c r="E47" s="23"/>
      <x:c r="F47" s="23"/>
      <x:c r="G47" s="23"/>
      <x:c r="H47" s="23"/>
      <x:c r="I47" s="23"/>
      <x:c r="J47" s="23"/>
      <x:c r="K47" s="23"/>
      <x:c r="M47" s="23"/>
    </x:row>
    <x:row r="48" spans="1:13" customHeight="1">
      <x:c r="A48" s="125" t="s">
        <x:v>110</x:v>
      </x:c>
      <x:c r="B48" s="30">
        <x:f>INT(B45*0.02)</x:f>
        <x:v>2695412</x:v>
      </x:c>
      <x:c r="C48" s="80"/>
      <x:c r="D48" s="32">
        <x:f>B48/B45</x:f>
        <x:v>0.020000000000000001</x:v>
      </x:c>
      <x:c r="E48" s="23"/>
      <x:c r="F48" s="23"/>
      <x:c r="G48" s="23"/>
      <x:c r="H48" s="23"/>
      <x:c r="I48" s="23"/>
      <x:c r="J48" s="23"/>
      <x:c r="K48" s="23"/>
      <x:c r="M48" s="23"/>
    </x:row>
    <x:row r="49" spans="1:6" s="23" customFormat="1" customHeight="1">
      <x:c r="A49" s="124" t="s">
        <x:v>118</x:v>
      </x:c>
      <x:c r="B49" s="37">
        <x:f>B46-B47-B48</x:f>
        <x:v>30206860</x:v>
      </x:c>
      <x:c r="C49" s="50"/>
      <x:c r="D49" s="74">
        <x:f>B49/B45</x:f>
        <x:v>0.22413538264280192</x:v>
      </x:c>
      <x:c r="E49" s="95"/>
      <x:c r="F49" s="96"/>
    </x:row>
    <x:row r="50" spans="1:5" s="23" customFormat="1" customHeight="1">
      <x:c r="A50" s="100"/>
      <x:c r="B50" s="1"/>
      <x:c r="C50" s="1"/>
      <x:c r="D50" s="1"/>
      <x:c r="E50" s="1"/>
    </x:row>
    <x:row r="51" spans="1:5" s="23" customFormat="1" customHeight="1">
      <x:c r="A51" s="100"/>
      <x:c r="B51" s="1"/>
      <x:c r="C51" s="1"/>
      <x:c r="D51" s="1"/>
      <x:c r="E51" s="95"/>
    </x:row>
    <x:row r="52" spans="1:5" s="23" customFormat="1" customHeight="1">
      <x:c r="A52" s="1"/>
      <x:c r="B52" s="1"/>
      <x:c r="C52" s="1"/>
      <x:c r="D52" s="1"/>
      <x:c r="E52" s="1"/>
    </x:row>
    <x:row r="53" spans="1:5" s="23" customFormat="1" customHeight="1">
      <x:c r="A53" s="1"/>
      <x:c r="B53" s="1"/>
      <x:c r="C53" s="1"/>
      <x:c r="D53" s="1"/>
      <x:c r="E53" s="1"/>
    </x:row>
    <x:row r="54" spans="1:5" s="23" customFormat="1" customHeight="1">
      <x:c r="A54" s="1"/>
      <x:c r="B54" s="1"/>
      <x:c r="C54" s="1"/>
      <x:c r="D54" s="1"/>
      <x:c r="E54" s="1"/>
    </x:row>
    <x:row r="55" spans="1:11" s="23" customFormat="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spans="1:11" s="23" customFormat="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spans="1:11" s="23" customFormat="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spans="1:11" s="23" customFormat="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 count="40">
    <x:mergeCell ref="H35:J35"/>
    <x:mergeCell ref="F35:G35"/>
    <x:mergeCell ref="A12:B12"/>
    <x:mergeCell ref="A13:B13"/>
    <x:mergeCell ref="A14:B14"/>
    <x:mergeCell ref="A15:B15"/>
    <x:mergeCell ref="A16:B16"/>
    <x:mergeCell ref="A17:B17"/>
    <x:mergeCell ref="J19:J32"/>
    <x:mergeCell ref="A34:B34"/>
    <x:mergeCell ref="E19:E31"/>
    <x:mergeCell ref="D19:D31"/>
    <x:mergeCell ref="A32:B32"/>
    <x:mergeCell ref="K19:K32"/>
    <x:mergeCell ref="F6:F18"/>
    <x:mergeCell ref="J6:J18"/>
    <x:mergeCell ref="A4:E4"/>
    <x:mergeCell ref="F4:K4"/>
    <x:mergeCell ref="A6:B6"/>
    <x:mergeCell ref="A7:B7"/>
    <x:mergeCell ref="A8:B8"/>
    <x:mergeCell ref="A5:B5"/>
    <x:mergeCell ref="K6:K18"/>
    <x:mergeCell ref="A9:B9"/>
    <x:mergeCell ref="A10:B10"/>
    <x:mergeCell ref="A11:B11"/>
    <x:mergeCell ref="E32:E33"/>
    <x:mergeCell ref="F43:G43"/>
    <x:mergeCell ref="F40:G40"/>
    <x:mergeCell ref="F42:G42"/>
    <x:mergeCell ref="A33:B33"/>
    <x:mergeCell ref="A18:B18"/>
    <x:mergeCell ref="C18:D18"/>
    <x:mergeCell ref="A19:A31"/>
    <x:mergeCell ref="F41:G41"/>
    <x:mergeCell ref="F33:G33"/>
    <x:mergeCell ref="F34:G34"/>
    <x:mergeCell ref="A35:B35"/>
    <x:mergeCell ref="C34:D34"/>
    <x:mergeCell ref="F19:F32"/>
  </x:mergeCells>
  <x:pageMargins left="0.69972223043441772" right="0.69972223043441772" top="0.75" bottom="0.75" header="0.30000001192092896" footer="0.30000001192092896"/>
  <x:pageSetup paperSize="9" scale="58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O34"/>
  <x:sheetViews>
    <x:sheetView tabSelected="1" topLeftCell="A13" zoomScale="85" zoomScaleNormal="85" zoomScaleSheetLayoutView="75" workbookViewId="0">
      <x:selection activeCell="B31" activeCellId="0" sqref="B31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1</x:v>
      </x:c>
      <x:c r="G1" s="68" t="s">
        <x:v>59</x:v>
      </x:c>
      <x:c r="H1" s="52" t="s">
        <x:v>134</x:v>
      </x:c>
      <x:c r="I1" s="52">
        <x:f>F1-K1</x:f>
        <x:v>1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5495500</x:v>
      </x:c>
      <x:c r="D2" s="167"/>
      <x:c r="E2" s="170" t="s">
        <x:v>49</x:v>
      </x:c>
      <x:c r="F2" s="171"/>
      <x:c r="G2" s="159">
        <x:v>71850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2" ht="30.949999999999999" customHeight="1">
      <x:c r="A4" s="161" t="s">
        <x:v>22</x:v>
      </x:c>
      <x:c r="B4" s="162"/>
      <x:c r="C4" s="154">
        <x:v>4490000</x:v>
      </x:c>
      <x:c r="D4" s="154"/>
      <x:c r="E4" s="169" t="s">
        <x:v>159</x:v>
      </x:c>
      <x:c r="F4" s="169"/>
      <x:c r="G4" s="135">
        <x:f>INT(C4*0.0275)</x:f>
        <x:v>123475</x:v>
      </x:c>
      <x:c r="H4" s="54" t="s">
        <x:v>20</x:v>
      </x:c>
      <x:c r="I4" s="126">
        <x:f>56220+30650+477600+904000+205200+200446+184021</x:f>
        <x:v>2058137</x:v>
      </x:c>
      <x:c r="J4" s="82" t="s">
        <x:v>45</x:v>
      </x:c>
      <x:c r="K4" s="58"/>
      <x:c r="L4" s="97"/>
    </x:row>
    <x:row r="5" spans="1:11" ht="30.949999999999999" customHeight="1">
      <x:c r="A5" s="161" t="s">
        <x:v>70</x:v>
      </x:c>
      <x:c r="B5" s="162"/>
      <x:c r="C5" s="154">
        <x:v>1005500</x:v>
      </x:c>
      <x:c r="D5" s="154"/>
      <x:c r="E5" s="153" t="s">
        <x:v>81</x:v>
      </x:c>
      <x:c r="F5" s="153"/>
      <x:c r="G5" s="135">
        <x:f>INT(C5*0.01)</x:f>
        <x:v>10055</x:v>
      </x:c>
      <x:c r="H5" s="54" t="s">
        <x:v>6</x:v>
      </x:c>
      <x:c r="I5" s="126">
        <x:f>41250+38940+29656+36080+48300+51200+20130+8780+34540+40700</x:f>
        <x:v>349576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940000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141250</x:v>
      </x:c>
      <x:c r="D8" s="154"/>
      <x:c r="E8" s="180" t="s">
        <x:v>121</x:v>
      </x:c>
      <x:c r="F8" s="181"/>
      <x:c r="G8" s="186">
        <x:f>C5+G2-G6-C22</x:f>
        <x:v>137350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>
        <x:v>50000</x:v>
      </x:c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 t="s">
        <x:v>78</x:v>
      </x:c>
      <x:c r="D11" s="192"/>
      <x:c r="E11" s="192"/>
      <x:c r="F11" s="192"/>
      <x:c r="G11" s="192"/>
      <x:c r="H11" s="54" t="s">
        <x:v>67</x:v>
      </x:c>
      <x:c r="I11" s="58">
        <x:v>100000</x:v>
      </x:c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21</x:v>
      </x:c>
      <x:c r="D12" s="180" t="s">
        <x:v>144</x:v>
      </x:c>
      <x:c r="E12" s="181"/>
      <x:c r="F12" s="184">
        <x:v>11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SUM('1'!$C$12)</x:f>
        <x:v>21</x:v>
      </x:c>
      <x:c r="D13" s="172"/>
      <x:c r="E13" s="173"/>
      <x:c r="F13" s="182">
        <x:f>SUM('1'!$F$12)</x:f>
        <x:v>11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30</x:v>
      </x:c>
      <x:c r="D14" s="180" t="s">
        <x:v>106</x:v>
      </x:c>
      <x:c r="E14" s="181"/>
      <x:c r="F14" s="184">
        <x:v>30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SUM('1'!$C$14)</x:f>
        <x:v>30</x:v>
      </x:c>
      <x:c r="D15" s="172"/>
      <x:c r="E15" s="173"/>
      <x:c r="F15" s="182">
        <x:f>SUM('1'!$F$14)</x:f>
        <x:v>30</x:v>
      </x:c>
      <x:c r="G15" s="183"/>
      <x:c r="H15" s="54" t="s">
        <x:v>117</x:v>
      </x:c>
      <x:c r="I15" s="58"/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10</x:v>
      </x:c>
      <x:c r="D16" s="180" t="s">
        <x:v>128</x:v>
      </x:c>
      <x:c r="E16" s="181"/>
      <x:c r="F16" s="178">
        <x:v>24</x:v>
      </x:c>
      <x:c r="G16" s="178"/>
      <x:c r="H16" s="54"/>
      <x:c r="I16" s="58"/>
      <x:c r="J16" s="54" t="s">
        <x:v>108</x:v>
      </x:c>
      <x:c r="K16" s="58">
        <x:v>14350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SUM('1'!$C$16)</x:f>
        <x:v>10</x:v>
      </x:c>
      <x:c r="D17" s="172"/>
      <x:c r="E17" s="173"/>
      <x:c r="F17" s="179">
        <x:f>SUM('1'!$F$16)</x:f>
        <x:v>24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71</x:v>
      </x:c>
      <x:c r="D18" s="180" t="s">
        <x:v>141</x:v>
      </x:c>
      <x:c r="E18" s="181"/>
      <x:c r="F18" s="188">
        <x:v>25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SUM('1'!$C$18)</x:f>
        <x:v>71</x:v>
      </x:c>
      <x:c r="D19" s="172"/>
      <x:c r="E19" s="173"/>
      <x:c r="F19" s="179">
        <x:f>SUM('1'!$F$18)</x:f>
        <x:v>25</x:v>
      </x:c>
      <x:c r="G19" s="179"/>
      <x:c r="H19" s="54"/>
      <x:c r="I19" s="58"/>
      <x:c r="J19" s="54"/>
      <x:c r="K19" s="58"/>
      <x:c r="L19" s="60"/>
      <x:c r="M19" s="11"/>
    </x:row>
    <x:row r="20" spans="1:13" ht="21.949999999999999" customHeight="1">
      <x:c r="A20" s="59" t="s">
        <x:v>57</x:v>
      </x:c>
      <x:c r="B20" s="153"/>
      <x:c r="C20" s="134"/>
      <x:c r="D20" s="153" t="s">
        <x:v>124</x:v>
      </x:c>
      <x:c r="E20" s="153"/>
      <x:c r="F20" s="178">
        <x:v>80</x:v>
      </x:c>
      <x:c r="G20" s="178"/>
      <x:c r="H20" s="54"/>
      <x:c r="I20" s="58"/>
      <x:c r="J20" s="54"/>
      <x:c r="K20" s="58"/>
      <x:c r="L20" s="60"/>
      <x:c r="M20" s="11"/>
    </x:row>
    <x:row r="21" spans="1:13" ht="21.949999999999999" customHeight="1">
      <x:c r="A21" s="59" t="s">
        <x:v>107</x:v>
      </x:c>
      <x:c r="B21" s="153"/>
      <x:c r="C21" s="134"/>
      <x:c r="D21" s="153" t="s">
        <x:v>125</x:v>
      </x:c>
      <x:c r="E21" s="153"/>
      <x:c r="F21" s="179">
        <x:f>SUM('1'!$F$20)</x:f>
        <x:v>80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177"/>
      <x:c r="D23" s="177"/>
      <x:c r="E23" s="177"/>
      <x:c r="F23" s="177"/>
      <x:c r="G23" s="177"/>
      <x:c r="H23" s="109" t="s">
        <x:v>105</x:v>
      </x:c>
      <x:c r="I23" s="110">
        <x:f>SUM(I4:I22)</x:f>
        <x:v>2507713</x:v>
      </x:c>
      <x:c r="J23" s="61" t="s">
        <x:v>130</x:v>
      </x:c>
      <x:c r="K23" s="62">
        <x:f>SUM(K4:K22)</x:f>
        <x:v>28543.548387096773</x:v>
      </x:c>
      <x:c r="M23" s="91" t="s">
        <x:v>104</x:v>
      </x:c>
      <x:c r="N23" s="175">
        <x:f>C5+C6</x:f>
        <x:v>1005500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0.45632117186789189</x:v>
      </x:c>
      <x:c r="J24" s="61" t="s">
        <x:v>8</x:v>
      </x:c>
      <x:c r="K24" s="63">
        <x:f>K23/A25</x:f>
        <x:v>0.0051939856950408104</x:v>
      </x:c>
    </x:row>
    <x:row r="25" spans="1:11" ht="34.149999999999999" customHeight="1">
      <x:c r="A25" s="204">
        <x:f>C2</x:f>
        <x:v>5495500</x:v>
      </x:c>
      <x:c r="B25" s="168"/>
      <x:c r="C25" s="168">
        <x:f>E25/I1</x:f>
        <x:v>5495500</x:v>
      </x:c>
      <x:c r="D25" s="168"/>
      <x:c r="E25" s="168">
        <x:f>SUM('1'!$A$25)</x:f>
        <x:v>5495500</x:v>
      </x:c>
      <x:c r="F25" s="168"/>
      <x:c r="G25" s="168"/>
      <x:c r="H25" s="109" t="s">
        <x:v>42</x:v>
      </x:c>
      <x:c r="I25" s="110">
        <x:f>SUM('1'!$I$23)</x:f>
        <x:v>2507713</x:v>
      </x:c>
      <x:c r="J25" s="61" t="s">
        <x:v>42</x:v>
      </x:c>
      <x:c r="K25" s="62">
        <x:f>SUM('1'!$K$23)</x:f>
        <x:v>28543.548387096773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0.45632117186789189</x:v>
      </x:c>
      <x:c r="J26" s="64" t="s">
        <x:v>139</x:v>
      </x:c>
      <x:c r="K26" s="65">
        <x:f>K25/$E$25</x:f>
        <x:v>0.0051939856950408104</x:v>
      </x:c>
    </x:row>
    <x:row r="27" spans="1:13" ht="30.949999999999999" customHeight="1">
      <x:c r="A27" s="197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781741.93548387103</x:v>
      </x:c>
      <x:c r="M27" s="66"/>
    </x:row>
    <x:row r="28" spans="1:13" ht="30.949999999999999" customHeight="1">
      <x:c r="A28" s="198"/>
      <x:c r="B28" s="54" t="s">
        <x:v>24</x:v>
      </x:c>
      <x:c r="C28" s="205">
        <x:f>3800000/31</x:f>
        <x:v>122580.64516129032</x:v>
      </x:c>
      <x:c r="D28" s="206"/>
      <x:c r="E28" s="55"/>
      <x:c r="F28" s="207"/>
      <x:c r="G28" s="207"/>
      <x:c r="H28" s="113" t="s">
        <x:v>8</x:v>
      </x:c>
      <x:c r="I28" s="115">
        <x:f>I27/$A$25</x:f>
        <x:v>0.14225128477552015</x:v>
      </x:c>
      <x:c r="M28" s="66"/>
    </x:row>
    <x:row r="29" spans="1:13" ht="30.949999999999999" customHeight="1">
      <x:c r="A29" s="198"/>
      <x:c r="B29" s="54" t="s">
        <x:v>56</x:v>
      </x:c>
      <x:c r="C29" s="168">
        <x:f>3200000/31</x:f>
        <x:v>103225.80645161291</x:v>
      </x:c>
      <x:c r="D29" s="168"/>
      <x:c r="E29" s="54"/>
      <x:c r="F29" s="154"/>
      <x:c r="G29" s="154"/>
      <x:c r="H29" s="113" t="s">
        <x:v>42</x:v>
      </x:c>
      <x:c r="I29" s="114">
        <x:f>SUM('1'!$I$27)</x:f>
        <x:v>781741.93548387103</x:v>
      </x:c>
      <x:c r="M29" s="66"/>
    </x:row>
    <x:row r="30" spans="1:13" ht="30.949999999999999" customHeight="1">
      <x:c r="A30" s="198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</x:v>
      </x:c>
      <x:c r="M30" s="66"/>
    </x:row>
    <x:row r="31" spans="1:7" customHeight="1">
      <x:c r="A31" s="198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130000</x:v>
      </x:c>
      <x:c r="G31" s="203"/>
    </x:row>
    <x:row r="32" spans="1:7" customHeight="1">
      <x:c r="A32" s="198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198"/>
      <x:c r="B33" s="54" t="s">
        <x:v>21</x:v>
      </x:c>
      <x:c r="C33" s="200">
        <x:f>13000*4</x:f>
        <x:v>52000</x:v>
      </x:c>
      <x:c r="D33" s="201"/>
    </x:row>
    <x:row r="34" spans="1:4" customHeight="1">
      <x:c r="A34" s="199"/>
      <x:c r="B34" s="54"/>
      <x:c r="C34" s="202"/>
      <x:c r="D34" s="203"/>
    </x:row>
  </x:sheetData>
  <x:mergeCells count="75">
    <x:mergeCell ref="A6:B7"/>
    <x:mergeCell ref="A10:B10"/>
    <x:mergeCell ref="C10:D10"/>
    <x:mergeCell ref="J2:K2"/>
    <x:mergeCell ref="H2:I2"/>
    <x:mergeCell ref="G2:G3"/>
    <x:mergeCell ref="A5:B5"/>
    <x:mergeCell ref="C5:D5"/>
    <x:mergeCell ref="E5:F5"/>
    <x:mergeCell ref="A2:B3"/>
    <x:mergeCell ref="C2:D3"/>
    <x:mergeCell ref="A4:B4"/>
    <x:mergeCell ref="C4:D4"/>
    <x:mergeCell ref="E4:F4"/>
    <x:mergeCell ref="E2:F3"/>
    <x:mergeCell ref="G6:G7"/>
    <x:mergeCell ref="N23:O23"/>
    <x:mergeCell ref="C23:G23"/>
    <x:mergeCell ref="A8:B9"/>
    <x:mergeCell ref="C8:D9"/>
    <x:mergeCell ref="F16:G16"/>
    <x:mergeCell ref="F17:G17"/>
    <x:mergeCell ref="D14:E15"/>
    <x:mergeCell ref="F13:G13"/>
    <x:mergeCell ref="F14:G14"/>
    <x:mergeCell ref="F15:G15"/>
    <x:mergeCell ref="G8:G9"/>
    <x:mergeCell ref="A22:B22"/>
    <x:mergeCell ref="C22:G22"/>
    <x:mergeCell ref="A23:B23"/>
    <x:mergeCell ref="E10:F10"/>
    <x:mergeCell ref="F18:G18"/>
    <x:mergeCell ref="A11:B11"/>
    <x:mergeCell ref="B14:B15"/>
    <x:mergeCell ref="C11:G11"/>
    <x:mergeCell ref="D12:E13"/>
    <x:mergeCell ref="F12:G12"/>
    <x:mergeCell ref="B12:B13"/>
    <x:mergeCell ref="C6:D7"/>
    <x:mergeCell ref="E6:F7"/>
    <x:mergeCell ref="E8:F9"/>
    <x:mergeCell ref="A27:A34"/>
    <x:mergeCell ref="C32:D32"/>
    <x:mergeCell ref="C34:D34"/>
    <x:mergeCell ref="B18:B19"/>
    <x:mergeCell ref="D20:E20"/>
    <x:mergeCell ref="C27:D27"/>
    <x:mergeCell ref="A25:B25"/>
    <x:mergeCell ref="C25:D25"/>
    <x:mergeCell ref="E25:G25"/>
    <x:mergeCell ref="A24:B24"/>
    <x:mergeCell ref="C24:D24"/>
    <x:mergeCell ref="E24:G24"/>
    <x:mergeCell ref="F31:G31"/>
    <x:mergeCell ref="A26:B26"/>
    <x:mergeCell ref="F20:G20"/>
    <x:mergeCell ref="C31:D31"/>
    <x:mergeCell ref="C33:D33"/>
    <x:mergeCell ref="F30:G30"/>
    <x:mergeCell ref="F29:G29"/>
    <x:mergeCell ref="C26:D26"/>
    <x:mergeCell ref="E26:G26"/>
    <x:mergeCell ref="C30:D30"/>
    <x:mergeCell ref="F27:G27"/>
    <x:mergeCell ref="C28:D28"/>
    <x:mergeCell ref="F28:G28"/>
    <x:mergeCell ref="C29:D29"/>
    <x:mergeCell ref="F32:G32"/>
    <x:mergeCell ref="F19:G19"/>
    <x:mergeCell ref="D18:E19"/>
    <x:mergeCell ref="B20:B21"/>
    <x:mergeCell ref="D16:E17"/>
    <x:mergeCell ref="D21:E21"/>
    <x:mergeCell ref="F21:G21"/>
    <x:mergeCell ref="B16:B17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34"/>
  <x:sheetViews>
    <x:sheetView topLeftCell="A26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3" width="12.625" style="53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2</x:v>
      </x:c>
      <x:c r="G1" s="68" t="s">
        <x:v>33</x:v>
      </x:c>
      <x:c r="H1" s="52" t="s">
        <x:v>134</x:v>
      </x:c>
      <x:c r="I1" s="52">
        <x:f>F1-K1</x:f>
        <x:v>2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4980600</x:v>
      </x:c>
      <x:c r="D2" s="167"/>
      <x:c r="E2" s="170" t="s">
        <x:v>49</x:v>
      </x:c>
      <x:c r="F2" s="171"/>
      <x:c r="G2" s="159">
        <x:v>141250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4427600</x:v>
      </x:c>
      <x:c r="D4" s="154"/>
      <x:c r="E4" s="169" t="s">
        <x:v>159</x:v>
      </x:c>
      <x:c r="F4" s="169"/>
      <x:c r="G4" s="135">
        <x:f>INT(C4*0.0275)</x:f>
        <x:v>121759</x:v>
      </x:c>
      <x:c r="H4" s="54" t="s">
        <x:v>20</x:v>
      </x:c>
      <x:c r="I4" s="127"/>
      <x:c r="J4" s="82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553000</x:v>
      </x:c>
      <x:c r="D5" s="154"/>
      <x:c r="E5" s="153" t="s">
        <x:v>81</x:v>
      </x:c>
      <x:c r="F5" s="153"/>
      <x:c r="G5" s="135">
        <x:f>INT(C5*0.01)</x:f>
        <x:v>5530</x:v>
      </x:c>
      <x:c r="H5" s="54" t="s">
        <x:v>6</x:v>
      </x:c>
      <x:c r="I5" s="139"/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500000</x:v>
      </x:c>
      <x:c r="H6" s="54"/>
      <x:c r="I6" s="127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7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194250</x:v>
      </x:c>
      <x:c r="D8" s="154"/>
      <x:c r="E8" s="180" t="s">
        <x:v>121</x:v>
      </x:c>
      <x:c r="F8" s="181"/>
      <x:c r="G8" s="186">
        <x:f>C5+G2-G6-C22</x:f>
        <x:v>194250</x:v>
      </x:c>
      <x:c r="H8" s="54" t="s">
        <x:v>54</x:v>
      </x:c>
      <x:c r="I8" s="127">
        <x:v>112000</x:v>
      </x:c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23</x:v>
      </x:c>
      <x:c r="D12" s="180" t="s">
        <x:v>144</x:v>
      </x:c>
      <x:c r="E12" s="181"/>
      <x:c r="F12" s="184">
        <x:v>10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SUM('1:2'!$C$12)</x:f>
        <x:v>44</x:v>
      </x:c>
      <x:c r="D13" s="172"/>
      <x:c r="E13" s="173"/>
      <x:c r="F13" s="182">
        <x:f>SUM('1:2'!$F$12)</x:f>
        <x:v>21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35</x:v>
      </x:c>
      <x:c r="D14" s="180" t="s">
        <x:v>106</x:v>
      </x:c>
      <x:c r="E14" s="181"/>
      <x:c r="F14" s="184">
        <x:v>12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SUM('1:2'!$C$14)</x:f>
        <x:v>65</x:v>
      </x:c>
      <x:c r="D15" s="172"/>
      <x:c r="E15" s="173"/>
      <x:c r="F15" s="182">
        <x:f>SUM('1:2'!$F$14)</x:f>
        <x:v>42</x:v>
      </x:c>
      <x:c r="G15" s="183"/>
      <x:c r="H15" s="54" t="s">
        <x:v>117</x:v>
      </x:c>
      <x:c r="I15" s="58">
        <x:f>11000+4900+39000+3200+4500+11800+6200+24000+7500+13500</x:f>
        <x:v>125600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8</x:v>
      </x:c>
      <x:c r="D16" s="180" t="s">
        <x:v>128</x:v>
      </x:c>
      <x:c r="E16" s="181"/>
      <x:c r="F16" s="178">
        <x:v>0</x:v>
      </x:c>
      <x:c r="G16" s="178"/>
      <x:c r="H16" s="54"/>
      <x:c r="I16" s="58"/>
      <x:c r="J16" s="54" t="s">
        <x:v>108</x:v>
      </x:c>
      <x:c r="K16" s="58">
        <x:v>315800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SUM('1:2'!$C$16)</x:f>
        <x:v>18</x:v>
      </x:c>
      <x:c r="D17" s="172"/>
      <x:c r="E17" s="173"/>
      <x:c r="F17" s="179">
        <x:f>SUM('1:2'!$F$16)</x:f>
        <x:v>24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55</x:v>
      </x:c>
      <x:c r="D18" s="180" t="s">
        <x:v>141</x:v>
      </x:c>
      <x:c r="E18" s="181"/>
      <x:c r="F18" s="188">
        <x:v>17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SUM('1:2'!$C$18)</x:f>
        <x:v>126</x:v>
      </x:c>
      <x:c r="D19" s="172"/>
      <x:c r="E19" s="173"/>
      <x:c r="F19" s="179">
        <x:f>SUM('1:2'!$F$18)</x:f>
        <x:v>42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70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SUM('1:2'!$F$20)</x:f>
        <x:v>150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237600</x:v>
      </x:c>
      <x:c r="J23" s="61" t="s">
        <x:v>130</x:v>
      </x:c>
      <x:c r="K23" s="62">
        <x:f>SUM(K4:K22)</x:f>
        <x:v>329993.54838709679</x:v>
      </x:c>
      <x:c r="M23" s="90" t="s">
        <x:v>104</x:v>
      </x:c>
      <x:c r="N23" s="175">
        <x:f>C5+C6</x:f>
        <x:v>553000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0.047705095771593785</x:v>
      </x:c>
      <x:c r="J24" s="61" t="s">
        <x:v>8</x:v>
      </x:c>
      <x:c r="K24" s="63">
        <x:f>K23/A25</x:f>
        <x:v>0.066255782112013972</x:v>
      </x:c>
    </x:row>
    <x:row r="25" spans="1:11" ht="34.149999999999999" customHeight="1">
      <x:c r="A25" s="204">
        <x:f>C2</x:f>
        <x:v>4980600</x:v>
      </x:c>
      <x:c r="B25" s="168"/>
      <x:c r="C25" s="168">
        <x:f>E25/I1</x:f>
        <x:v>2747750</x:v>
      </x:c>
      <x:c r="D25" s="168"/>
      <x:c r="E25" s="168">
        <x:f>SUM('1'!$A$25)</x:f>
        <x:v>5495500</x:v>
      </x:c>
      <x:c r="F25" s="168"/>
      <x:c r="G25" s="168"/>
      <x:c r="H25" s="109" t="s">
        <x:v>42</x:v>
      </x:c>
      <x:c r="I25" s="110">
        <x:f>SUM('1'!$I$23)</x:f>
        <x:v>2507713</x:v>
      </x:c>
      <x:c r="J25" s="61" t="s">
        <x:v>42</x:v>
      </x:c>
      <x:c r="K25" s="62">
        <x:f>SUM('1'!$K$23)</x:f>
        <x:v>28543.548387096773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0.45632117186789189</x:v>
      </x:c>
      <x:c r="J26" s="64" t="s">
        <x:v>139</x:v>
      </x:c>
      <x:c r="K26" s="65">
        <x:f>K25/$E$25</x:f>
        <x:v>0.0051939856950408104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710741.93548387103</x:v>
      </x:c>
      <x:c r="M27" s="66"/>
    </x:row>
    <x:row r="28" spans="1:13" ht="30.949999999999999" customHeight="1">
      <x:c r="A28" s="315"/>
      <x:c r="B28" s="54" t="s">
        <x:v>24</x:v>
      </x:c>
      <x:c r="C28" s="205">
        <x:f>3800000/31</x:f>
        <x:v>122580.64516129032</x:v>
      </x:c>
      <x:c r="D28" s="206"/>
      <x:c r="E28" s="55"/>
      <x:c r="F28" s="207"/>
      <x:c r="G28" s="207"/>
      <x:c r="H28" s="113" t="s">
        <x:v>8</x:v>
      </x:c>
      <x:c r="I28" s="115">
        <x:f>I27/$A$25</x:f>
        <x:v>0.14270207113276934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SUM('1'!$I$27)</x:f>
        <x:v>781741.93548387103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1.0998956111287614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71000</x:v>
      </x:c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H2:I2"/>
    <x:mergeCell ref="J2:K2"/>
    <x:mergeCell ref="A2:B3"/>
    <x:mergeCell ref="C2:D3"/>
    <x:mergeCell ref="E2:F3"/>
    <x:mergeCell ref="G2:G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A11:B11"/>
    <x:mergeCell ref="C11:G11"/>
    <x:mergeCell ref="E10:F10"/>
    <x:mergeCell ref="E8:F9"/>
    <x:mergeCell ref="G8:G9"/>
    <x:mergeCell ref="A8:B9"/>
    <x:mergeCell ref="C8:D9"/>
    <x:mergeCell ref="G6:G7"/>
    <x:mergeCell ref="A10:B10"/>
    <x:mergeCell ref="C10:D10"/>
    <x:mergeCell ref="C25:D25"/>
    <x:mergeCell ref="E25:G25"/>
    <x:mergeCell ref="C23:G23"/>
    <x:mergeCell ref="C24:D24"/>
    <x:mergeCell ref="B12:B13"/>
    <x:mergeCell ref="B14:B15"/>
    <x:mergeCell ref="B16:B17"/>
    <x:mergeCell ref="F15:G15"/>
    <x:mergeCell ref="D12:E13"/>
    <x:mergeCell ref="D14:E15"/>
    <x:mergeCell ref="F12:G12"/>
    <x:mergeCell ref="F13:G13"/>
    <x:mergeCell ref="F14:G14"/>
    <x:mergeCell ref="F16:G16"/>
    <x:mergeCell ref="F17:G17"/>
    <x:mergeCell ref="D16:E17"/>
    <x:mergeCell ref="F21:G21"/>
    <x:mergeCell ref="C31:D31"/>
    <x:mergeCell ref="F29:G29"/>
    <x:mergeCell ref="C22:G22"/>
    <x:mergeCell ref="F18:G18"/>
    <x:mergeCell ref="F19:G19"/>
    <x:mergeCell ref="D18:E19"/>
    <x:mergeCell ref="F20:G20"/>
    <x:mergeCell ref="N23:O23"/>
    <x:mergeCell ref="C26:D26"/>
    <x:mergeCell ref="E26:G26"/>
    <x:mergeCell ref="E24:G24"/>
    <x:mergeCell ref="F31:G31"/>
    <x:mergeCell ref="C27:D27"/>
    <x:mergeCell ref="F27:G27"/>
    <x:mergeCell ref="C28:D28"/>
    <x:mergeCell ref="F28:G28"/>
    <x:mergeCell ref="C29:D29"/>
    <x:mergeCell ref="F30:G30"/>
    <x:mergeCell ref="C30:D30"/>
    <x:mergeCell ref="A27:A34"/>
    <x:mergeCell ref="C32:D32"/>
    <x:mergeCell ref="C33:D33"/>
    <x:mergeCell ref="C34:D34"/>
    <x:mergeCell ref="B18:B19"/>
    <x:mergeCell ref="D20:E20"/>
    <x:mergeCell ref="A25:B25"/>
    <x:mergeCell ref="A26:B26"/>
    <x:mergeCell ref="A22:B22"/>
    <x:mergeCell ref="A23:B23"/>
    <x:mergeCell ref="A24:B24"/>
    <x:mergeCell ref="D21:E21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34"/>
  <x:sheetViews>
    <x:sheetView topLeftCell="A23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3</x:v>
      </x:c>
      <x:c r="G1" s="68" t="s">
        <x:v>18</x:v>
      </x:c>
      <x:c r="H1" s="52" t="s">
        <x:v>134</x:v>
      </x:c>
      <x:c r="I1" s="52">
        <x:f>F1-K1</x:f>
        <x:v>3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4682000</x:v>
      </x:c>
      <x:c r="D2" s="167"/>
      <x:c r="E2" s="170" t="s">
        <x:v>49</x:v>
      </x:c>
      <x:c r="F2" s="171"/>
      <x:c r="G2" s="159">
        <x:v>194250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3932000</x:v>
      </x:c>
      <x:c r="D4" s="154"/>
      <x:c r="E4" s="169" t="s">
        <x:v>159</x:v>
      </x:c>
      <x:c r="F4" s="169"/>
      <x:c r="G4" s="135">
        <x:f>C4*0.0275</x:f>
        <x:v>108130</x:v>
      </x:c>
      <x:c r="H4" s="54" t="s">
        <x:v>20</x:v>
      </x:c>
      <x:c r="I4" s="126">
        <x:f>955200+904000+210600+359290+499040+10+841464</x:f>
        <x:v>3769604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750000</x:v>
      </x:c>
      <x:c r="D5" s="154"/>
      <x:c r="E5" s="153" t="s">
        <x:v>81</x:v>
      </x:c>
      <x:c r="F5" s="153"/>
      <x:c r="G5" s="135">
        <x:f>INT(C5*0.01)</x:f>
        <x:v>7500</x:v>
      </x:c>
      <x:c r="H5" s="54" t="s">
        <x:v>6</x:v>
      </x:c>
      <x:c r="I5" s="126">
        <x:f>59312+72160+25600+20130+7790</x:f>
        <x:v>184992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843000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101250</x:v>
      </x:c>
      <x:c r="D8" s="154"/>
      <x:c r="E8" s="180" t="s">
        <x:v>121</x:v>
      </x:c>
      <x:c r="F8" s="181"/>
      <x:c r="G8" s="186">
        <x:f>C5+G2-G6-C22</x:f>
        <x:v>101250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21.75" customHeight="1">
      <x:c r="A10" s="152" t="s">
        <x:v>155</x:v>
      </x:c>
      <x:c r="B10" s="153"/>
      <x:c r="C10" s="154">
        <x:v>13000</x:v>
      </x:c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21.75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17</x:v>
      </x:c>
      <x:c r="D12" s="180" t="s">
        <x:v>144</x:v>
      </x:c>
      <x:c r="E12" s="181"/>
      <x:c r="F12" s="184">
        <x:v>7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SUM('1:3'!$C$12)</x:f>
        <x:v>61</x:v>
      </x:c>
      <x:c r="D13" s="172"/>
      <x:c r="E13" s="173"/>
      <x:c r="F13" s="182">
        <x:f>SUM('1:3'!$F$12)</x:f>
        <x:v>28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55</x:v>
      </x:c>
      <x:c r="D14" s="180" t="s">
        <x:v>106</x:v>
      </x:c>
      <x:c r="E14" s="181"/>
      <x:c r="F14" s="184">
        <x:v>34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SUM('1:3'!$C$14)</x:f>
        <x:v>120</x:v>
      </x:c>
      <x:c r="D15" s="172"/>
      <x:c r="E15" s="173"/>
      <x:c r="F15" s="182">
        <x:f>SUM('1:3'!$F$14)</x:f>
        <x:v>76</x:v>
      </x:c>
      <x:c r="G15" s="183"/>
      <x:c r="H15" s="54" t="s">
        <x:v>117</x:v>
      </x:c>
      <x:c r="I15" s="58">
        <x:f>5500+9800+104000+3200+9000+24000+52000+11800+17000+19200+2200+13500+3500+6200+4400+4250+26000+6600</x:f>
        <x:v>322150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5</x:v>
      </x:c>
      <x:c r="D16" s="180" t="s">
        <x:v>128</x:v>
      </x:c>
      <x:c r="E16" s="181"/>
      <x:c r="F16" s="178">
        <x:v>19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SUM('1:3'!$C$16)</x:f>
        <x:v>23</x:v>
      </x:c>
      <x:c r="D17" s="172"/>
      <x:c r="E17" s="173"/>
      <x:c r="F17" s="179">
        <x:f>SUM('1:3'!$F$16)</x:f>
        <x:v>43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31</x:v>
      </x:c>
      <x:c r="D18" s="180" t="s">
        <x:v>141</x:v>
      </x:c>
      <x:c r="E18" s="181"/>
      <x:c r="F18" s="188">
        <x:v>32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SUM('1:3'!$C$18)</x:f>
        <x:v>157</x:v>
      </x:c>
      <x:c r="D19" s="172"/>
      <x:c r="E19" s="173"/>
      <x:c r="F19" s="179">
        <x:f>SUM('1:3'!$F$18)</x:f>
        <x:v>74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64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SUM('1:3'!$F$20)</x:f>
        <x:v>214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4276746</x:v>
      </x:c>
      <x:c r="J23" s="61" t="s">
        <x:v>130</x:v>
      </x:c>
      <x:c r="K23" s="62">
        <x:f>SUM(K4:K22)</x:f>
        <x:v>14193.548387096775</x:v>
      </x:c>
      <x:c r="M23" s="90" t="s">
        <x:v>104</x:v>
      </x:c>
      <x:c r="N23" s="175">
        <x:f>C5+C6</x:f>
        <x:v>750000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0.91344425459205469</x:v>
      </x:c>
      <x:c r="J24" s="61" t="s">
        <x:v>8</x:v>
      </x:c>
      <x:c r="K24" s="63">
        <x:f>K23/A25</x:f>
        <x:v>0.0030315139656336555</x:v>
      </x:c>
    </x:row>
    <x:row r="25" spans="1:11" ht="34.149999999999999" customHeight="1">
      <x:c r="A25" s="204">
        <x:f>C2</x:f>
        <x:v>4682000</x:v>
      </x:c>
      <x:c r="B25" s="168"/>
      <x:c r="C25" s="168">
        <x:f>E25/I1</x:f>
        <x:v>5052700</x:v>
      </x:c>
      <x:c r="D25" s="168"/>
      <x:c r="E25" s="168">
        <x:f>SUM('1:3'!$A$25)</x:f>
        <x:v>15158100</x:v>
      </x:c>
      <x:c r="F25" s="168"/>
      <x:c r="G25" s="168"/>
      <x:c r="H25" s="109" t="s">
        <x:v>42</x:v>
      </x:c>
      <x:c r="I25" s="110">
        <x:f>SUM('1:3'!$I$23)</x:f>
        <x:v>7022059</x:v>
      </x:c>
      <x:c r="J25" s="61" t="s">
        <x:v>42</x:v>
      </x:c>
      <x:c r="K25" s="62">
        <x:f>SUM('1:3'!$K$23)</x:f>
        <x:v>372730.64516129036</x:v>
      </x:c>
    </x:row>
    <x:row r="26" spans="1:11" ht="34.149999999999999" customHeight="1">
      <x:c r="A26" s="152" t="s">
        <x:v>154</x:v>
      </x:c>
      <x:c r="B26" s="153"/>
      <x:c r="C26" s="317"/>
      <x:c r="D26" s="153"/>
      <x:c r="E26" s="154"/>
      <x:c r="F26" s="154"/>
      <x:c r="G26" s="154"/>
      <x:c r="H26" s="109" t="s">
        <x:v>139</x:v>
      </x:c>
      <x:c r="I26" s="112">
        <x:f>I25/$E$25</x:f>
        <x:v>0.46325456356667394</x:v>
      </x:c>
      <x:c r="J26" s="64" t="s">
        <x:v>139</x:v>
      </x:c>
      <x:c r="K26" s="65">
        <x:f>K25/$E$25</x:f>
        <x:v>0.024589535968313335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667741.93548387103</x:v>
      </x:c>
      <x:c r="M27" s="66"/>
    </x:row>
    <x:row r="28" spans="1:13" ht="30.949999999999999" customHeight="1">
      <x:c r="A28" s="315"/>
      <x:c r="B28" s="54" t="s">
        <x:v>24</x:v>
      </x:c>
      <x:c r="C28" s="205">
        <x:f>3800000/31</x:f>
        <x:v>122580.64516129032</x:v>
      </x:c>
      <x:c r="D28" s="206"/>
      <x:c r="E28" s="55"/>
      <x:c r="F28" s="207"/>
      <x:c r="G28" s="207"/>
      <x:c r="H28" s="113" t="s">
        <x:v>8</x:v>
      </x:c>
      <x:c r="I28" s="115">
        <x:f>I27/$A$25</x:f>
        <x:v>0.14261895247412879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SUM('1:3'!$I$27)</x:f>
        <x:v>2160225.8064516131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3.2351207729468601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130000</x:v>
      </x:c>
      <x:c r="G31" s="203"/>
    </x:row>
    <x:row r="32" spans="1:7" customHeight="1">
      <x:c r="A32" s="315"/>
      <x:c r="B32" s="54" t="s">
        <x:v>37</x:v>
      </x:c>
      <x:c r="C32" s="200">
        <x:f>14000*5</x:f>
        <x:v>70000</x:v>
      </x:c>
      <x:c r="D32" s="201"/>
      <x:c r="E32" s="55" t="s">
        <x:v>149</x:v>
      </x:c>
      <x:c r="F32" s="202"/>
      <x:c r="G32" s="203"/>
    </x:row>
    <x:row r="33" spans="1:4" customHeight="1">
      <x:c r="A33" s="315"/>
      <x:c r="B33" s="54" t="s">
        <x:v>21</x:v>
      </x:c>
      <x:c r="C33" s="200"/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O34"/>
  <x:sheetViews>
    <x:sheetView topLeftCell="A28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4</x:v>
      </x:c>
      <x:c r="G1" s="68" t="s">
        <x:v>38</x:v>
      </x:c>
      <x:c r="H1" s="52" t="s">
        <x:v>134</x:v>
      </x:c>
      <x:c r="I1" s="52">
        <x:f>F1-K1</x:f>
        <x:v>4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5933000</x:v>
      </x:c>
      <x:c r="D2" s="167"/>
      <x:c r="E2" s="170" t="s">
        <x:v>49</x:v>
      </x:c>
      <x:c r="F2" s="171"/>
      <x:c r="G2" s="159">
        <x:v>101250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5116000</x:v>
      </x:c>
      <x:c r="D4" s="154"/>
      <x:c r="E4" s="169" t="s">
        <x:v>159</x:v>
      </x:c>
      <x:c r="F4" s="169"/>
      <x:c r="G4" s="135">
        <x:f>INT(C4*0.0275)</x:f>
        <x:v>140690</x:v>
      </x:c>
      <x:c r="H4" s="54" t="s">
        <x:v>20</x:v>
      </x:c>
      <x:c r="I4" s="126"/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817000</x:v>
      </x:c>
      <x:c r="D5" s="154"/>
      <x:c r="E5" s="153" t="s">
        <x:v>81</x:v>
      </x:c>
      <x:c r="F5" s="153"/>
      <x:c r="G5" s="135">
        <x:f>INT(C5*0.01)</x:f>
        <x:v>8170</x:v>
      </x:c>
      <x:c r="H5" s="54" t="s">
        <x:v>6</x:v>
      </x:c>
      <x:c r="I5" s="126"/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800000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118250</x:v>
      </x:c>
      <x:c r="D8" s="154"/>
      <x:c r="E8" s="180" t="s">
        <x:v>121</x:v>
      </x:c>
      <x:c r="F8" s="181"/>
      <x:c r="G8" s="186">
        <x:f>C5+G2-G6-C22</x:f>
        <x:v>118250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26</x:v>
      </x:c>
      <x:c r="D12" s="180" t="s">
        <x:v>144</x:v>
      </x:c>
      <x:c r="E12" s="181"/>
      <x:c r="F12" s="184">
        <x:v>21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SUM('1:4'!$C$12)</x:f>
        <x:v>87</x:v>
      </x:c>
      <x:c r="D13" s="172"/>
      <x:c r="E13" s="173"/>
      <x:c r="F13" s="182">
        <x:f>SUM('1:4'!$F$12)</x:f>
        <x:v>49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58</x:v>
      </x:c>
      <x:c r="D14" s="180" t="s">
        <x:v>106</x:v>
      </x:c>
      <x:c r="E14" s="181"/>
      <x:c r="F14" s="184">
        <x:v>51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SUM('1:4'!$C$14)</x:f>
        <x:v>178</x:v>
      </x:c>
      <x:c r="D15" s="172"/>
      <x:c r="E15" s="173"/>
      <x:c r="F15" s="182">
        <x:f>SUM('1:4'!$F$14)</x:f>
        <x:v>127</x:v>
      </x:c>
      <x:c r="G15" s="183"/>
      <x:c r="H15" s="54" t="s">
        <x:v>117</x:v>
      </x:c>
      <x:c r="I15" s="58"/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14</x:v>
      </x:c>
      <x:c r="D16" s="180" t="s">
        <x:v>128</x:v>
      </x:c>
      <x:c r="E16" s="181"/>
      <x:c r="F16" s="178">
        <x:v>0</x:v>
      </x:c>
      <x:c r="G16" s="178"/>
      <x:c r="H16" s="54"/>
      <x:c r="I16" s="58"/>
      <x:c r="J16" s="54" t="s">
        <x:v>108</x:v>
      </x:c>
      <x:c r="K16" s="58">
        <x:v>460300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SUM('1:4'!$C$16)</x:f>
        <x:v>37</x:v>
      </x:c>
      <x:c r="D17" s="172"/>
      <x:c r="E17" s="173"/>
      <x:c r="F17" s="179">
        <x:f>SUM('1:4'!$F$16)</x:f>
        <x:v>43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58</x:v>
      </x:c>
      <x:c r="D18" s="180" t="s">
        <x:v>141</x:v>
      </x:c>
      <x:c r="E18" s="181"/>
      <x:c r="F18" s="188">
        <x:v>25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SUM('1:4'!$C$18)</x:f>
        <x:v>215</x:v>
      </x:c>
      <x:c r="D19" s="172"/>
      <x:c r="E19" s="173"/>
      <x:c r="F19" s="179">
        <x:f>SUM('1:4'!$F$18)</x:f>
        <x:v>99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82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SUM('1:4'!$F$20)</x:f>
        <x:v>296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0</x:v>
      </x:c>
      <x:c r="J23" s="61" t="s">
        <x:v>130</x:v>
      </x:c>
      <x:c r="K23" s="62">
        <x:f>SUM(K4:K22)</x:f>
        <x:v>474493.54838709679</x:v>
      </x:c>
      <x:c r="M23" s="90" t="s">
        <x:v>104</x:v>
      </x:c>
      <x:c r="N23" s="175">
        <x:f>C5+C6</x:f>
        <x:v>817000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</x:v>
      </x:c>
      <x:c r="J24" s="61" t="s">
        <x:v>8</x:v>
      </x:c>
      <x:c r="K24" s="63">
        <x:f>K23/A25</x:f>
        <x:v>0.079975315757137497</x:v>
      </x:c>
    </x:row>
    <x:row r="25" spans="1:11" ht="34.149999999999999" customHeight="1">
      <x:c r="A25" s="204">
        <x:f>C2</x:f>
        <x:v>5933000</x:v>
      </x:c>
      <x:c r="B25" s="168"/>
      <x:c r="C25" s="168">
        <x:f>E25/I1</x:f>
        <x:v>5272775</x:v>
      </x:c>
      <x:c r="D25" s="168"/>
      <x:c r="E25" s="168">
        <x:f>SUM('1:4'!$A$25)</x:f>
        <x:v>21091100</x:v>
      </x:c>
      <x:c r="F25" s="168"/>
      <x:c r="G25" s="168"/>
      <x:c r="H25" s="109" t="s">
        <x:v>42</x:v>
      </x:c>
      <x:c r="I25" s="110">
        <x:f>SUM('1:4'!$I$23)</x:f>
        <x:v>7022059</x:v>
      </x:c>
      <x:c r="J25" s="61" t="s">
        <x:v>42</x:v>
      </x:c>
      <x:c r="K25" s="62">
        <x:f>SUM('1:4'!$K$23)</x:f>
        <x:v>847224.19354838715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0.33293943891025124</x:v>
      </x:c>
      <x:c r="J26" s="64" t="s">
        <x:v>139</x:v>
      </x:c>
      <x:c r="K26" s="65">
        <x:f>K25/$E$25</x:f>
        <x:v>0.040169749019652229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732741.93548387103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0.12350277018099967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SUM('1:4'!$I$27)</x:f>
        <x:v>2892967.7419354841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3.9481399955976229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130000</x:v>
      </x:c>
      <x:c r="G31" s="203"/>
    </x:row>
    <x:row r="32" spans="1:7" customHeight="1">
      <x:c r="A32" s="315"/>
      <x:c r="B32" s="54" t="s">
        <x:v>37</x:v>
      </x:c>
      <x:c r="C32" s="200">
        <x:f>14000*5</x:f>
        <x:v>70000</x:v>
      </x:c>
      <x:c r="D32" s="201"/>
      <x:c r="E32" s="55" t="s">
        <x:v>149</x:v>
      </x:c>
      <x:c r="F32" s="202"/>
      <x:c r="G32" s="203"/>
    </x:row>
    <x:row r="33" spans="1:4" customHeight="1">
      <x:c r="A33" s="315"/>
      <x:c r="B33" s="54" t="s">
        <x:v>21</x:v>
      </x:c>
      <x:c r="C33" s="200">
        <x:f>13000*5</x:f>
        <x:v>65000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O34"/>
  <x:sheetViews>
    <x:sheetView topLeftCell="D19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5</x:v>
      </x:c>
      <x:c r="G1" s="68" t="s">
        <x:v>58</x:v>
      </x:c>
      <x:c r="H1" s="52" t="s">
        <x:v>134</x:v>
      </x:c>
      <x:c r="I1" s="52">
        <x:f>F1-K1</x:f>
        <x:v>5</x:v>
      </x:c>
      <x:c r="J1" s="52" t="s">
        <x:v>109</x:v>
      </x:c>
      <x:c r="K1" s="52"/>
    </x:row>
    <x:row r="2" spans="1:11" ht="20.100000000000001" customHeight="1">
      <x:c r="A2" s="326" t="s">
        <x:v>9</x:v>
      </x:c>
      <x:c r="B2" s="327"/>
      <x:c r="C2" s="330">
        <x:f>SUM(C4:D7)</x:f>
        <x:v>4832000</x:v>
      </x:c>
      <x:c r="D2" s="331"/>
      <x:c r="E2" s="170" t="s">
        <x:v>49</x:v>
      </x:c>
      <x:c r="F2" s="171"/>
      <x:c r="G2" s="159">
        <x:v>118250</x:v>
      </x:c>
      <x:c r="H2" s="334" t="s">
        <x:v>6</x:v>
      </x:c>
      <x:c r="I2" s="335"/>
      <x:c r="J2" s="155" t="s">
        <x:v>85</x:v>
      </x:c>
      <x:c r="K2" s="323"/>
    </x:row>
    <x:row r="3" spans="1:11" ht="20.100000000000001" customHeight="1">
      <x:c r="A3" s="328"/>
      <x:c r="B3" s="329"/>
      <x:c r="C3" s="332"/>
      <x:c r="D3" s="333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337" t="s">
        <x:v>22</x:v>
      </x:c>
      <x:c r="B4" s="338"/>
      <x:c r="C4" s="202">
        <x:v>4017000</x:v>
      </x:c>
      <x:c r="D4" s="203"/>
      <x:c r="E4" s="339" t="s">
        <x:v>159</x:v>
      </x:c>
      <x:c r="F4" s="340"/>
      <x:c r="G4" s="135">
        <x:f>INT(C4*0.0275)</x:f>
        <x:v>110467</x:v>
      </x:c>
      <x:c r="H4" s="54" t="s">
        <x:v>20</x:v>
      </x:c>
      <x:c r="I4" s="126">
        <x:f>56220+955200+904000+405000+372527+424184+554190</x:f>
        <x:v>3671321</x:v>
      </x:c>
      <x:c r="J4" s="83" t="s">
        <x:v>45</x:v>
      </x:c>
      <x:c r="K4" s="58"/>
    </x:row>
    <x:row r="5" spans="1:11" ht="30.949999999999999" customHeight="1">
      <x:c r="A5" s="337" t="s">
        <x:v>70</x:v>
      </x:c>
      <x:c r="B5" s="338"/>
      <x:c r="C5" s="202">
        <x:v>815000</x:v>
      </x:c>
      <x:c r="D5" s="203"/>
      <x:c r="E5" s="184" t="s">
        <x:v>81</x:v>
      </x:c>
      <x:c r="F5" s="185"/>
      <x:c r="G5" s="135">
        <x:f>INT(C5*0.01)</x:f>
        <x:v>8150</x:v>
      </x:c>
      <x:c r="H5" s="54" t="s">
        <x:v>6</x:v>
      </x:c>
      <x:c r="I5" s="126"/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850000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>
        <x:v>12500</x:v>
      </x:c>
    </x:row>
    <x:row r="8" spans="1:11" ht="21.949999999999999" customHeight="1">
      <x:c r="A8" s="344" t="s">
        <x:v>145</x:v>
      </x:c>
      <x:c r="B8" s="181"/>
      <x:c r="C8" s="193">
        <x:v>83250</x:v>
      </x:c>
      <x:c r="D8" s="194"/>
      <x:c r="E8" s="180" t="s">
        <x:v>121</x:v>
      </x:c>
      <x:c r="F8" s="181"/>
      <x:c r="G8" s="186">
        <x:f>C5+G2-G6-C22</x:f>
        <x:v>83250</x:v>
      </x:c>
      <x:c r="H8" s="54" t="s">
        <x:v>54</x:v>
      </x:c>
      <x:c r="I8" s="126"/>
      <x:c r="J8" s="83"/>
      <x:c r="K8" s="58"/>
    </x:row>
    <x:row r="9" spans="1:11" ht="21.949999999999999" customHeight="1">
      <x:c r="A9" s="345"/>
      <x:c r="B9" s="173"/>
      <x:c r="C9" s="195"/>
      <x:c r="D9" s="196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336" t="s">
        <x:v>155</x:v>
      </x:c>
      <x:c r="B10" s="185"/>
      <x:c r="C10" s="202"/>
      <x:c r="D10" s="203"/>
      <x:c r="E10" s="184" t="s">
        <x:v>98</x:v>
      </x:c>
      <x:c r="F10" s="185"/>
      <x:c r="G10" s="55"/>
      <x:c r="H10" s="54"/>
      <x:c r="I10" s="126"/>
      <x:c r="J10" s="54" t="s">
        <x:v>62</x:v>
      </x:c>
      <x:c r="K10" s="58"/>
    </x:row>
    <x:row r="11" spans="1:11" ht="33" customHeight="1">
      <x:c r="A11" s="336" t="s">
        <x:v>114</x:v>
      </x:c>
      <x:c r="B11" s="185"/>
      <x:c r="C11" s="341"/>
      <x:c r="D11" s="342"/>
      <x:c r="E11" s="342"/>
      <x:c r="F11" s="342"/>
      <x:c r="G11" s="343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26</x:v>
      </x:c>
      <x:c r="D12" s="180" t="s">
        <x:v>144</x:v>
      </x:c>
      <x:c r="E12" s="181"/>
      <x:c r="F12" s="184">
        <x:v>56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SUM('1:5'!$C$12)</x:f>
        <x:v>113</x:v>
      </x:c>
      <x:c r="D13" s="172"/>
      <x:c r="E13" s="173"/>
      <x:c r="F13" s="182">
        <x:f>SUM('1:5'!$F$12)</x:f>
        <x:v>105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56</x:v>
      </x:c>
      <x:c r="D14" s="180" t="s">
        <x:v>106</x:v>
      </x:c>
      <x:c r="E14" s="181"/>
      <x:c r="F14" s="184">
        <x:v>27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SUM('1:5'!$C$14)</x:f>
        <x:v>234</x:v>
      </x:c>
      <x:c r="D15" s="172"/>
      <x:c r="E15" s="173"/>
      <x:c r="F15" s="182">
        <x:f>SUM('1:5'!$F$14)</x:f>
        <x:v>154</x:v>
      </x:c>
      <x:c r="G15" s="183"/>
      <x:c r="H15" s="54" t="s">
        <x:v>117</x:v>
      </x:c>
      <x:c r="I15" s="58">
        <x:f>4900+52000+3200+28000+6200+11800+3500+6000+4800+3150+4800</x:f>
        <x:v>128350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10</x:v>
      </x:c>
      <x:c r="D16" s="180" t="s">
        <x:v>128</x:v>
      </x:c>
      <x:c r="E16" s="181"/>
      <x:c r="F16" s="324">
        <x:v>24</x:v>
      </x:c>
      <x:c r="G16" s="325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SUM('1:5'!$C$16)</x:f>
        <x:v>47</x:v>
      </x:c>
      <x:c r="D17" s="172"/>
      <x:c r="E17" s="173"/>
      <x:c r="F17" s="182">
        <x:f>SUM('1:5'!$F$16)</x:f>
        <x:v>67</x:v>
      </x:c>
      <x:c r="G17" s="183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47</x:v>
      </x:c>
      <x:c r="D18" s="180" t="s">
        <x:v>141</x:v>
      </x:c>
      <x:c r="E18" s="181"/>
      <x:c r="F18" s="324">
        <x:v>17</x:v>
      </x:c>
      <x:c r="G18" s="32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SUM('1:5'!$C$18)</x:f>
        <x:v>262</x:v>
      </x:c>
      <x:c r="D19" s="172"/>
      <x:c r="E19" s="173"/>
      <x:c r="F19" s="182">
        <x:f>SUM('1:5'!$F$18)</x:f>
        <x:v>116</x:v>
      </x:c>
      <x:c r="G19" s="1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84" t="s">
        <x:v>124</x:v>
      </x:c>
      <x:c r="E20" s="185"/>
      <x:c r="F20" s="324">
        <x:v>69</x:v>
      </x:c>
      <x:c r="G20" s="325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84" t="s">
        <x:v>125</x:v>
      </x:c>
      <x:c r="E21" s="185"/>
      <x:c r="F21" s="182">
        <x:f>SUM('1:5'!$F$20)</x:f>
        <x:v>365</x:v>
      </x:c>
      <x:c r="G21" s="1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336" t="s">
        <x:v>94</x:v>
      </x:c>
      <x:c r="B22" s="185"/>
      <x:c r="C22" s="346"/>
      <x:c r="D22" s="347"/>
      <x:c r="E22" s="347"/>
      <x:c r="F22" s="347"/>
      <x:c r="G22" s="34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336" t="s">
        <x:v>135</x:v>
      </x:c>
      <x:c r="B23" s="185"/>
      <x:c r="C23" s="320"/>
      <x:c r="D23" s="321"/>
      <x:c r="E23" s="321"/>
      <x:c r="F23" s="321"/>
      <x:c r="G23" s="322"/>
      <x:c r="H23" s="109" t="s">
        <x:v>105</x:v>
      </x:c>
      <x:c r="I23" s="110">
        <x:f>SUM(I4:I22)</x:f>
        <x:v>3799671</x:v>
      </x:c>
      <x:c r="J23" s="61" t="s">
        <x:v>130</x:v>
      </x:c>
      <x:c r="K23" s="62">
        <x:f>SUM(K4:K22)</x:f>
        <x:v>26693.548387096773</x:v>
      </x:c>
      <x:c r="M23" s="90" t="s">
        <x:v>104</x:v>
      </x:c>
      <x:c r="N23" s="175">
        <x:f>C5+C6</x:f>
        <x:v>815000</x:v>
      </x:c>
      <x:c r="O23" s="176"/>
    </x:row>
    <x:row r="24" spans="1:11" ht="34.149999999999999" customHeight="1">
      <x:c r="A24" s="336" t="s">
        <x:v>8</x:v>
      </x:c>
      <x:c r="B24" s="185"/>
      <x:c r="C24" s="184" t="s">
        <x:v>97</x:v>
      </x:c>
      <x:c r="D24" s="185"/>
      <x:c r="E24" s="184" t="s">
        <x:v>112</x:v>
      </x:c>
      <x:c r="F24" s="319"/>
      <x:c r="G24" s="185"/>
      <x:c r="H24" s="109" t="s">
        <x:v>8</x:v>
      </x:c>
      <x:c r="I24" s="111">
        <x:f>I23/A25</x:f>
        <x:v>0.78635575331125829</x:v>
      </x:c>
      <x:c r="J24" s="61" t="s">
        <x:v>8</x:v>
      </x:c>
      <x:c r="K24" s="63">
        <x:f>K23/A25</x:f>
        <x:v>0.0055243270668660542</x:v>
      </x:c>
    </x:row>
    <x:row r="25" spans="1:11" ht="34.149999999999999" customHeight="1">
      <x:c r="A25" s="350">
        <x:f>C2</x:f>
        <x:v>4832000</x:v>
      </x:c>
      <x:c r="B25" s="206"/>
      <x:c r="C25" s="205">
        <x:f>E25/I1</x:f>
        <x:v>5184620</x:v>
      </x:c>
      <x:c r="D25" s="206"/>
      <x:c r="E25" s="205">
        <x:f>SUM('1:5'!$A$25)</x:f>
        <x:v>25923100</x:v>
      </x:c>
      <x:c r="F25" s="318"/>
      <x:c r="G25" s="206"/>
      <x:c r="H25" s="109" t="s">
        <x:v>42</x:v>
      </x:c>
      <x:c r="I25" s="110">
        <x:f>SUM('1:5'!$I$23)</x:f>
        <x:v>10821730</x:v>
      </x:c>
      <x:c r="J25" s="61" t="s">
        <x:v>42</x:v>
      </x:c>
      <x:c r="K25" s="62">
        <x:f>SUM('1:5'!$K$23)</x:f>
        <x:v>873917.74193548388</x:v>
      </x:c>
    </x:row>
    <x:row r="26" spans="1:11" ht="34.149999999999999" customHeight="1">
      <x:c r="A26" s="336" t="s">
        <x:v>154</x:v>
      </x:c>
      <x:c r="B26" s="185"/>
      <x:c r="C26" s="184"/>
      <x:c r="D26" s="185"/>
      <x:c r="E26" s="202"/>
      <x:c r="F26" s="349"/>
      <x:c r="G26" s="203"/>
      <x:c r="H26" s="109" t="s">
        <x:v>139</x:v>
      </x:c>
      <x:c r="I26" s="112">
        <x:f>I25/$E$25</x:f>
        <x:v>0.41745508831891248</x:v>
      </x:c>
      <x:c r="J26" s="64" t="s">
        <x:v>139</x:v>
      </x:c>
      <x:c r="K26" s="65">
        <x:f>K25/$E$25</x:f>
        <x:v>0.033711930360777992</x:v>
      </x:c>
    </x:row>
    <x:row r="27" spans="1:13" ht="30.949999999999999" customHeight="1">
      <x:c r="A27" s="197" t="s">
        <x:v>153</x:v>
      </x:c>
      <x:c r="B27" s="54" t="s">
        <x:v>53</x:v>
      </x:c>
      <x:c r="C27" s="205">
        <x:f>4000000/31</x:f>
        <x:v>129032.25806451614</x:v>
      </x:c>
      <x:c r="D27" s="206"/>
      <x:c r="E27" s="55"/>
      <x:c r="F27" s="202"/>
      <x:c r="G27" s="203"/>
      <x:c r="H27" s="113" t="s">
        <x:v>129</x:v>
      </x:c>
      <x:c r="I27" s="114">
        <x:f>SUM(C27:D34,F27:G32)</x:f>
        <x:v>719741.93548387103</x:v>
      </x:c>
      <x:c r="M27" s="66"/>
    </x:row>
    <x:row r="28" spans="1:13" ht="30.949999999999999" customHeight="1">
      <x:c r="A28" s="198"/>
      <x:c r="B28" s="54" t="s">
        <x:v>24</x:v>
      </x:c>
      <x:c r="C28" s="205">
        <x:f>3800000/31</x:f>
        <x:v>122580.64516129032</x:v>
      </x:c>
      <x:c r="D28" s="206"/>
      <x:c r="E28" s="55"/>
      <x:c r="F28" s="200"/>
      <x:c r="G28" s="201"/>
      <x:c r="H28" s="113" t="s">
        <x:v>8</x:v>
      </x:c>
      <x:c r="I28" s="115">
        <x:f>I27/$A$25</x:f>
        <x:v>0.14895321512497331</x:v>
      </x:c>
      <x:c r="M28" s="66"/>
    </x:row>
    <x:row r="29" spans="1:13" ht="30.949999999999999" customHeight="1">
      <x:c r="A29" s="198"/>
      <x:c r="B29" s="54" t="s">
        <x:v>56</x:v>
      </x:c>
      <x:c r="C29" s="205">
        <x:f>3200000/31</x:f>
        <x:v>103225.80645161291</x:v>
      </x:c>
      <x:c r="D29" s="206"/>
      <x:c r="E29" s="55"/>
      <x:c r="F29" s="202"/>
      <x:c r="G29" s="203"/>
      <x:c r="H29" s="113" t="s">
        <x:v>42</x:v>
      </x:c>
      <x:c r="I29" s="114">
        <x:f>SUM('1:5'!$I$27)</x:f>
        <x:v>3612709.6774193551</x:v>
      </x:c>
      <x:c r="M29" s="66"/>
    </x:row>
    <x:row r="30" spans="1:13" ht="30.949999999999999" customHeight="1">
      <x:c r="A30" s="198"/>
      <x:c r="B30" s="54"/>
      <x:c r="C30" s="205"/>
      <x:c r="D30" s="206"/>
      <x:c r="E30" s="55"/>
      <x:c r="F30" s="202"/>
      <x:c r="G30" s="203"/>
      <x:c r="H30" s="113" t="s">
        <x:v>139</x:v>
      </x:c>
      <x:c r="I30" s="115">
        <x:f>I29/$I$27</x:f>
        <x:v>5.019451416278236</x:v>
      </x:c>
      <x:c r="M30" s="66"/>
    </x:row>
    <x:row r="31" spans="1:7" customHeight="1">
      <x:c r="A31" s="198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130000</x:v>
      </x:c>
      <x:c r="G31" s="203"/>
    </x:row>
    <x:row r="32" spans="1:7" customHeight="1">
      <x:c r="A32" s="198"/>
      <x:c r="B32" s="54" t="s">
        <x:v>37</x:v>
      </x:c>
      <x:c r="C32" s="200">
        <x:f>14000*5</x:f>
        <x:v>70000</x:v>
      </x:c>
      <x:c r="D32" s="201"/>
      <x:c r="E32" s="55" t="s">
        <x:v>149</x:v>
      </x:c>
      <x:c r="F32" s="202"/>
      <x:c r="G32" s="203"/>
    </x:row>
    <x:row r="33" spans="1:4" customHeight="1">
      <x:c r="A33" s="198"/>
      <x:c r="B33" s="54" t="s">
        <x:v>21</x:v>
      </x:c>
      <x:c r="C33" s="200">
        <x:f>13000*4</x:f>
        <x:v>52000</x:v>
      </x:c>
      <x:c r="D33" s="201"/>
    </x:row>
    <x:row r="34" spans="1:4" customHeight="1">
      <x:c r="A34" s="199"/>
      <x:c r="B34" s="54"/>
      <x:c r="C34" s="202"/>
      <x:c r="D34" s="203"/>
    </x:row>
  </x:sheetData>
  <x:mergeCells count="74">
    <x:mergeCell ref="F32:G32"/>
    <x:mergeCell ref="C8:D9"/>
    <x:mergeCell ref="E8:F9"/>
    <x:mergeCell ref="G8:G9"/>
    <x:mergeCell ref="E25:G25"/>
    <x:mergeCell ref="D12:E13"/>
    <x:mergeCell ref="D14:E15"/>
    <x:mergeCell ref="C24:D24"/>
    <x:mergeCell ref="E24:G24"/>
    <x:mergeCell ref="C23:G23"/>
    <x:mergeCell ref="F30:G30"/>
    <x:mergeCell ref="F31:G31"/>
    <x:mergeCell ref="F29:G29"/>
    <x:mergeCell ref="F27:G27"/>
    <x:mergeCell ref="F28:G28"/>
    <x:mergeCell ref="J2:K2"/>
    <x:mergeCell ref="F17:G17"/>
    <x:mergeCell ref="F12:G12"/>
    <x:mergeCell ref="F13:G13"/>
    <x:mergeCell ref="F14:G14"/>
    <x:mergeCell ref="F15:G15"/>
    <x:mergeCell ref="F16:G16"/>
    <x:mergeCell ref="A2:B3"/>
    <x:mergeCell ref="C2:D3"/>
    <x:mergeCell ref="E2:F3"/>
    <x:mergeCell ref="G2:G3"/>
    <x:mergeCell ref="H2:I2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A22:B22"/>
    <x:mergeCell ref="C22:G22"/>
    <x:mergeCell ref="B12:B13"/>
    <x:mergeCell ref="B14:B15"/>
    <x:mergeCell ref="B16:B17"/>
    <x:mergeCell ref="B18:B19"/>
    <x:mergeCell ref="D20:E20"/>
    <x:mergeCell ref="F20:G20"/>
    <x:mergeCell ref="D21:E21"/>
    <x:mergeCell ref="F21:G21"/>
    <x:mergeCell ref="D16:E17"/>
    <x:mergeCell ref="F18:G18"/>
    <x:mergeCell ref="F19:G19"/>
    <x:mergeCell ref="D18:E19"/>
    <x:mergeCell ref="N23:O23"/>
    <x:mergeCell ref="A26:B26"/>
    <x:mergeCell ref="C26:D26"/>
    <x:mergeCell ref="E26:G26"/>
    <x:mergeCell ref="A25:B25"/>
    <x:mergeCell ref="C25:D25"/>
    <x:mergeCell ref="A24:B24"/>
    <x:mergeCell ref="A27:A34"/>
    <x:mergeCell ref="C32:D32"/>
    <x:mergeCell ref="C33:D33"/>
    <x:mergeCell ref="C34:D34"/>
    <x:mergeCell ref="A23:B23"/>
    <x:mergeCell ref="C31:D31"/>
    <x:mergeCell ref="C30:D30"/>
    <x:mergeCell ref="C27:D27"/>
    <x:mergeCell ref="C28:D28"/>
    <x:mergeCell ref="C29:D2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34"/>
  <x:sheetViews>
    <x:sheetView topLeftCell="A31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6</x:v>
      </x:c>
      <x:c r="G1" s="68" t="s">
        <x:v>71</x:v>
      </x:c>
      <x:c r="H1" s="52" t="s">
        <x:v>134</x:v>
      </x:c>
      <x:c r="I1" s="52">
        <x:f>F1-K1</x:f>
        <x:v>6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2567000</x:v>
      </x:c>
      <x:c r="D2" s="167"/>
      <x:c r="E2" s="170" t="s">
        <x:v>49</x:v>
      </x:c>
      <x:c r="F2" s="171"/>
      <x:c r="G2" s="159">
        <x:v>83250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1986000</x:v>
      </x:c>
      <x:c r="D4" s="154"/>
      <x:c r="E4" s="169" t="s">
        <x:v>159</x:v>
      </x:c>
      <x:c r="F4" s="169"/>
      <x:c r="G4" s="135">
        <x:f>INT(C4*0.0275)</x:f>
        <x:v>54615</x:v>
      </x:c>
      <x:c r="H4" s="54" t="s">
        <x:v>20</x:v>
      </x:c>
      <x:c r="I4" s="126"/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581000</x:v>
      </x:c>
      <x:c r="D5" s="154"/>
      <x:c r="E5" s="153" t="s">
        <x:v>81</x:v>
      </x:c>
      <x:c r="F5" s="153"/>
      <x:c r="G5" s="135">
        <x:f>INT(C5*0.01)</x:f>
        <x:v>5810</x:v>
      </x:c>
      <x:c r="H5" s="54" t="s">
        <x:v>6</x:v>
      </x:c>
      <x:c r="I5" s="126"/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580000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84250</x:v>
      </x:c>
      <x:c r="D8" s="154"/>
      <x:c r="E8" s="180" t="s">
        <x:v>121</x:v>
      </x:c>
      <x:c r="F8" s="181"/>
      <x:c r="G8" s="186">
        <x:f>C5+G2-G6-C22</x:f>
        <x:v>84250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>
        <x:v>13000</x:v>
      </x:c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15</x:v>
      </x:c>
      <x:c r="D12" s="180" t="s">
        <x:v>144</x:v>
      </x:c>
      <x:c r="E12" s="181"/>
      <x:c r="F12" s="184">
        <x:v>31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SUM('1:6'!$C$12)</x:f>
        <x:v>128</x:v>
      </x:c>
      <x:c r="D13" s="172"/>
      <x:c r="E13" s="173"/>
      <x:c r="F13" s="182">
        <x:f>SUM('1:6'!$F$12)</x:f>
        <x:v>136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31</x:v>
      </x:c>
      <x:c r="D14" s="180" t="s">
        <x:v>106</x:v>
      </x:c>
      <x:c r="E14" s="181"/>
      <x:c r="F14" s="184">
        <x:v>21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SUM('1:6'!$C$14)</x:f>
        <x:v>265</x:v>
      </x:c>
      <x:c r="D15" s="172"/>
      <x:c r="E15" s="173"/>
      <x:c r="F15" s="182">
        <x:f>SUM('1:6'!$F$14)</x:f>
        <x:v>175</x:v>
      </x:c>
      <x:c r="G15" s="183"/>
      <x:c r="H15" s="54" t="s">
        <x:v>117</x:v>
      </x:c>
      <x:c r="I15" s="58">
        <x:f>3900+11000+9000+9250+13000+9000+19200+1200+13500</x:f>
        <x:v>89050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2</x:v>
      </x:c>
      <x:c r="D16" s="180" t="s">
        <x:v>128</x:v>
      </x:c>
      <x:c r="E16" s="181"/>
      <x:c r="F16" s="178">
        <x:v>4</x:v>
      </x:c>
      <x:c r="G16" s="178"/>
      <x:c r="H16" s="54"/>
      <x:c r="I16" s="58"/>
      <x:c r="J16" s="54" t="s">
        <x:v>108</x:v>
      </x:c>
      <x:c r="K16" s="58">
        <x:v>209680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SUM('1:6'!$C$16)</x:f>
        <x:v>49</x:v>
      </x:c>
      <x:c r="D17" s="172"/>
      <x:c r="E17" s="173"/>
      <x:c r="F17" s="179">
        <x:f>SUM('1:6'!$F$16)</x:f>
        <x:v>71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19</x:v>
      </x:c>
      <x:c r="D18" s="180" t="s">
        <x:v>141</x:v>
      </x:c>
      <x:c r="E18" s="181"/>
      <x:c r="F18" s="188">
        <x:v>8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SUM('1:6'!$C$18)</x:f>
        <x:v>281</x:v>
      </x:c>
      <x:c r="D19" s="172"/>
      <x:c r="E19" s="173"/>
      <x:c r="F19" s="179">
        <x:f>SUM('1:6'!$F$18)</x:f>
        <x:v>124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50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SUM('1:6'!$F$20)</x:f>
        <x:v>415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89050</x:v>
      </x:c>
      <x:c r="J23" s="61" t="s">
        <x:v>130</x:v>
      </x:c>
      <x:c r="K23" s="62">
        <x:f>SUM(K4:K22)</x:f>
        <x:v>236873.54838709679</x:v>
      </x:c>
      <x:c r="M23" s="90" t="s">
        <x:v>104</x:v>
      </x:c>
      <x:c r="N23" s="175">
        <x:f>C5+C6</x:f>
        <x:v>581000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0.034690299961044024</x:v>
      </x:c>
      <x:c r="J24" s="61" t="s">
        <x:v>8</x:v>
      </x:c>
      <x:c r="K24" s="63">
        <x:f>K23/A25</x:f>
        <x:v>0.09227641152594343</x:v>
      </x:c>
    </x:row>
    <x:row r="25" spans="1:11" ht="34.149999999999999" customHeight="1">
      <x:c r="A25" s="204">
        <x:f>C2</x:f>
        <x:v>2567000</x:v>
      </x:c>
      <x:c r="B25" s="168"/>
      <x:c r="C25" s="168">
        <x:f>E25/I1</x:f>
        <x:v>4748350</x:v>
      </x:c>
      <x:c r="D25" s="168"/>
      <x:c r="E25" s="168">
        <x:f>SUM('1:6'!$A$25)</x:f>
        <x:v>28490100</x:v>
      </x:c>
      <x:c r="F25" s="168"/>
      <x:c r="G25" s="168"/>
      <x:c r="H25" s="109" t="s">
        <x:v>42</x:v>
      </x:c>
      <x:c r="I25" s="110">
        <x:f>SUM('1:6'!$I$23)</x:f>
        <x:v>10910780</x:v>
      </x:c>
      <x:c r="J25" s="61" t="s">
        <x:v>42</x:v>
      </x:c>
      <x:c r="K25" s="62">
        <x:f>SUM('1:6'!$K$23)</x:f>
        <x:v>1110791.2903225806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0.38296741675178397</x:v>
      </x:c>
      <x:c r="J26" s="64" t="s">
        <x:v>139</x:v>
      </x:c>
      <x:c r="K26" s="65">
        <x:f>K25/$E$25</x:f>
        <x:v>0.038988676428744741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6">
        <x:f>SUM(C27:D34,F27:G32)</x:f>
        <x:v>768741.93548387103</x:v>
      </x:c>
      <x:c r="M27" s="66"/>
    </x:row>
    <x:row r="28" spans="1:13" ht="30.949999999999999" customHeight="1">
      <x:c r="A28" s="315"/>
      <x:c r="B28" s="54" t="s">
        <x:v>24</x:v>
      </x:c>
      <x:c r="C28" s="205">
        <x:f>3800000/31</x:f>
        <x:v>122580.64516129032</x:v>
      </x:c>
      <x:c r="D28" s="206"/>
      <x:c r="E28" s="55"/>
      <x:c r="F28" s="207"/>
      <x:c r="G28" s="207"/>
      <x:c r="H28" s="113" t="s">
        <x:v>8</x:v>
      </x:c>
      <x:c r="I28" s="115">
        <x:f>I27/$A$25</x:f>
        <x:v>0.29947095266220142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SUM('1:6'!$I$27)</x:f>
        <x:v>4381451.6129032262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5.6995090428433555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130000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>
        <x:f>13000*3</x:f>
        <x:v>39000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O34"/>
  <x:sheetViews>
    <x:sheetView topLeftCell="A1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7.7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7</x:v>
      </x:c>
      <x:c r="G1" s="68" t="s">
        <x:v>34</x:v>
      </x:c>
      <x:c r="H1" s="52" t="s">
        <x:v>134</x:v>
      </x:c>
      <x:c r="I1" s="52">
        <x:f>F1-K1</x:f>
        <x:v>7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2882500</x:v>
      </x:c>
      <x:c r="D2" s="167"/>
      <x:c r="E2" s="170" t="s">
        <x:v>49</x:v>
      </x:c>
      <x:c r="F2" s="171"/>
      <x:c r="G2" s="159">
        <x:v>84250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2554500</x:v>
      </x:c>
      <x:c r="D4" s="154"/>
      <x:c r="E4" s="169" t="s">
        <x:v>159</x:v>
      </x:c>
      <x:c r="F4" s="169"/>
      <x:c r="G4" s="135">
        <x:f>INT(C4*0.0275)</x:f>
        <x:v>70248</x:v>
      </x:c>
      <x:c r="H4" s="54" t="s">
        <x:v>20</x:v>
      </x:c>
      <x:c r="I4" s="126"/>
      <x:c r="J4" s="83" t="s">
        <x:v>45</x:v>
      </x:c>
      <x:c r="K4" s="58">
        <x:v>255000</x:v>
      </x:c>
    </x:row>
    <x:row r="5" spans="1:11" ht="30.949999999999999" customHeight="1">
      <x:c r="A5" s="161" t="s">
        <x:v>70</x:v>
      </x:c>
      <x:c r="B5" s="162"/>
      <x:c r="C5" s="154">
        <x:v>328000</x:v>
      </x:c>
      <x:c r="D5" s="154"/>
      <x:c r="E5" s="153" t="s">
        <x:v>81</x:v>
      </x:c>
      <x:c r="F5" s="153"/>
      <x:c r="G5" s="135">
        <x:f>INT(C5*0.01)</x:f>
        <x:v>3280</x:v>
      </x:c>
      <x:c r="H5" s="54" t="s">
        <x:v>6</x:v>
      </x:c>
      <x:c r="I5" s="126"/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300000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112250</x:v>
      </x:c>
      <x:c r="D8" s="154"/>
      <x:c r="E8" s="180" t="s">
        <x:v>121</x:v>
      </x:c>
      <x:c r="F8" s="181"/>
      <x:c r="G8" s="186">
        <x:f>C5+G2-G6-C22</x:f>
        <x:v>112250</x:v>
      </x:c>
      <x:c r="H8" s="54" t="s">
        <x:v>54</x:v>
      </x:c>
      <x:c r="I8" s="126">
        <x:v>56000</x:v>
      </x:c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5</x:v>
      </x:c>
      <x:c r="D12" s="180" t="s">
        <x:v>144</x:v>
      </x:c>
      <x:c r="E12" s="181"/>
      <x:c r="F12" s="184">
        <x:v>6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SUM('1:7'!$C$12)</x:f>
        <x:v>133</x:v>
      </x:c>
      <x:c r="D13" s="172"/>
      <x:c r="E13" s="173"/>
      <x:c r="F13" s="182">
        <x:f>SUM('1:7'!$F$12)</x:f>
        <x:v>142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27</x:v>
      </x:c>
      <x:c r="D14" s="180" t="s">
        <x:v>106</x:v>
      </x:c>
      <x:c r="E14" s="181"/>
      <x:c r="F14" s="184">
        <x:v>9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SUM('1:7'!$C$14)</x:f>
        <x:v>292</x:v>
      </x:c>
      <x:c r="D15" s="172"/>
      <x:c r="E15" s="173"/>
      <x:c r="F15" s="182">
        <x:f>SUM('1:7'!$F$14)</x:f>
        <x:v>184</x:v>
      </x:c>
      <x:c r="G15" s="183"/>
      <x:c r="H15" s="54" t="s">
        <x:v>117</x:v>
      </x:c>
      <x:c r="I15" s="58">
        <x:f>25500+24000+22000+3200+21000</x:f>
        <x:v>95700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3</x:v>
      </x:c>
      <x:c r="D16" s="180" t="s">
        <x:v>128</x:v>
      </x:c>
      <x:c r="E16" s="181"/>
      <x:c r="F16" s="178">
        <x:v>11</x:v>
      </x:c>
      <x:c r="G16" s="178"/>
      <x:c r="H16" s="54"/>
      <x:c r="I16" s="58"/>
      <x:c r="J16" s="54" t="s">
        <x:v>108</x:v>
      </x:c>
      <x:c r="K16" s="58">
        <x:v>40860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SUM('1:7'!$C$16)</x:f>
        <x:v>52</x:v>
      </x:c>
      <x:c r="D17" s="172"/>
      <x:c r="E17" s="173"/>
      <x:c r="F17" s="179">
        <x:f>SUM('1:7'!$F$16)</x:f>
        <x:v>82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15</x:v>
      </x:c>
      <x:c r="D18" s="180" t="s">
        <x:v>141</x:v>
      </x:c>
      <x:c r="E18" s="181"/>
      <x:c r="F18" s="188">
        <x:v>14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SUM('1:7'!$C$18)</x:f>
        <x:v>296</x:v>
      </x:c>
      <x:c r="D19" s="172"/>
      <x:c r="E19" s="173"/>
      <x:c r="F19" s="179">
        <x:f>SUM('1:7'!$F$18)</x:f>
        <x:v>138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47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SUM('1:7'!$F$20)</x:f>
        <x:v>462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151700</x:v>
      </x:c>
      <x:c r="J23" s="61" t="s">
        <x:v>130</x:v>
      </x:c>
      <x:c r="K23" s="62">
        <x:f>SUM(K4:K22)</x:f>
        <x:v>310053.54838709679</x:v>
      </x:c>
      <x:c r="M23" s="90" t="s">
        <x:v>104</x:v>
      </x:c>
      <x:c r="N23" s="175">
        <x:f>C5+C6</x:f>
        <x:v>328000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0.052627927146574154</x:v>
      </x:c>
      <x:c r="J24" s="61" t="s">
        <x:v>8</x:v>
      </x:c>
      <x:c r="K24" s="63">
        <x:f>K23/A25</x:f>
        <x:v>0.10756411045519403</x:v>
      </x:c>
    </x:row>
    <x:row r="25" spans="1:11" ht="34.149999999999999" customHeight="1">
      <x:c r="A25" s="204">
        <x:f>C2</x:f>
        <x:v>2882500</x:v>
      </x:c>
      <x:c r="B25" s="168"/>
      <x:c r="C25" s="168">
        <x:f>E25/I1</x:f>
        <x:v>4481800</x:v>
      </x:c>
      <x:c r="D25" s="168"/>
      <x:c r="E25" s="168">
        <x:f>SUM('1:7'!$A$25)</x:f>
        <x:v>31372600</x:v>
      </x:c>
      <x:c r="F25" s="168"/>
      <x:c r="G25" s="168"/>
      <x:c r="H25" s="109" t="s">
        <x:v>42</x:v>
      </x:c>
      <x:c r="I25" s="110">
        <x:f>SUM('1:7'!$I$23)</x:f>
        <x:v>11062480</x:v>
      </x:c>
      <x:c r="J25" s="61" t="s">
        <x:v>42</x:v>
      </x:c>
      <x:c r="K25" s="62">
        <x:f>SUM('1:7'!$K$23)</x:f>
        <x:v>1420844.8387096773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0.35261597699903735</x:v>
      </x:c>
      <x:c r="J26" s="64" t="s">
        <x:v>139</x:v>
      </x:c>
      <x:c r="K26" s="65">
        <x:f>K25/$E$25</x:f>
        <x:v>0.045289355638668052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758741.93548387103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0.26322356825112614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SUM('1:7'!$I$27)</x:f>
        <x:v>5140193.5483870972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6.7746269291271632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>
        <x:f>13000*3</x:f>
        <x:v>39000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O34"/>
  <x:sheetViews>
    <x:sheetView topLeftCell="A13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8</x:v>
      </x:c>
      <x:c r="G1" s="68" t="s">
        <x:v>59</x:v>
      </x:c>
      <x:c r="H1" s="52" t="s">
        <x:v>134</x:v>
      </x:c>
      <x:c r="I1" s="52">
        <x:f>F1-K1</x:f>
        <x:v>8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3826500</x:v>
      </x:c>
      <x:c r="D2" s="167"/>
      <x:c r="E2" s="170" t="s">
        <x:v>49</x:v>
      </x:c>
      <x:c r="F2" s="171"/>
      <x:c r="G2" s="159">
        <x:v>112250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3484000</x:v>
      </x:c>
      <x:c r="D4" s="154"/>
      <x:c r="E4" s="169" t="s">
        <x:v>159</x:v>
      </x:c>
      <x:c r="F4" s="169"/>
      <x:c r="G4" s="135">
        <x:f>INT(C4*0.0275)</x:f>
        <x:v>95810</x:v>
      </x:c>
      <x:c r="H4" s="54" t="s">
        <x:v>20</x:v>
      </x:c>
      <x:c r="I4" s="126">
        <x:f>955200+904000+210600+380091+199616+10+282750</x:f>
        <x:v>2932267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342500</x:v>
      </x:c>
      <x:c r="D5" s="154"/>
      <x:c r="E5" s="153" t="s">
        <x:v>81</x:v>
      </x:c>
      <x:c r="F5" s="153"/>
      <x:c r="G5" s="135">
        <x:f>INT(C5*0.01)</x:f>
        <x:v>3425</x:v>
      </x:c>
      <x:c r="H5" s="54" t="s">
        <x:v>6</x:v>
      </x:c>
      <x:c r="I5" s="126">
        <x:f>34540+41250+38940+118624+40700+108240+96600+76800+40260+30300+17060+41780+171500</x:f>
        <x:v>856594</x:v>
      </x:c>
      <x:c r="J5" s="83"/>
      <x:c r="K5" s="58"/>
    </x:row>
    <x:row r="6" spans="1:13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300000</x:v>
      </x:c>
      <x:c r="H6" s="54"/>
      <x:c r="I6" s="126"/>
      <x:c r="J6" s="83" t="s">
        <x:v>138</x:v>
      </x:c>
      <x:c r="K6" s="58"/>
      <x:c r="M6" s="126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154750</x:v>
      </x:c>
      <x:c r="D8" s="154"/>
      <x:c r="E8" s="180" t="s">
        <x:v>121</x:v>
      </x:c>
      <x:c r="F8" s="181"/>
      <x:c r="G8" s="186">
        <x:f>C5+G2-G6-C22</x:f>
        <x:v>154750</x:v>
      </x:c>
      <x:c r="H8" s="54" t="s">
        <x:v>54</x:v>
      </x:c>
      <x:c r="I8" s="126">
        <x:v>56000</x:v>
      </x:c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12</x:v>
      </x:c>
      <x:c r="D12" s="180" t="s">
        <x:v>144</x:v>
      </x:c>
      <x:c r="E12" s="181"/>
      <x:c r="F12" s="184">
        <x:v>4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SUM('1:8'!$C$12)</x:f>
        <x:v>145</x:v>
      </x:c>
      <x:c r="D13" s="172"/>
      <x:c r="E13" s="173"/>
      <x:c r="F13" s="182">
        <x:f>SUM('1:8'!$F$12)</x:f>
        <x:v>146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36</x:v>
      </x:c>
      <x:c r="D14" s="180" t="s">
        <x:v>106</x:v>
      </x:c>
      <x:c r="E14" s="181"/>
      <x:c r="F14" s="184">
        <x:v>19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SUM('1:8'!$C$14)</x:f>
        <x:v>328</x:v>
      </x:c>
      <x:c r="D15" s="172"/>
      <x:c r="E15" s="173"/>
      <x:c r="F15" s="182">
        <x:f>SUM('1:8'!$F$14)</x:f>
        <x:v>203</x:v>
      </x:c>
      <x:c r="G15" s="183"/>
      <x:c r="H15" s="54" t="s">
        <x:v>117</x:v>
      </x:c>
      <x:c r="I15" s="58">
        <x:v>153200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1</x:v>
      </x:c>
      <x:c r="D16" s="180" t="s">
        <x:v>128</x:v>
      </x:c>
      <x:c r="E16" s="181"/>
      <x:c r="F16" s="178">
        <x:v>14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SUM('1:8'!$C$16)</x:f>
        <x:v>53</x:v>
      </x:c>
      <x:c r="D17" s="172"/>
      <x:c r="E17" s="173"/>
      <x:c r="F17" s="179">
        <x:f>SUM('1:8'!$F$16)</x:f>
        <x:v>96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22</x:v>
      </x:c>
      <x:c r="D18" s="180" t="s">
        <x:v>141</x:v>
      </x:c>
      <x:c r="E18" s="181"/>
      <x:c r="F18" s="188">
        <x:v>11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SUM('1:8'!$C$18)</x:f>
        <x:v>318</x:v>
      </x:c>
      <x:c r="D19" s="172"/>
      <x:c r="E19" s="173"/>
      <x:c r="F19" s="179">
        <x:f>SUM('1:8'!$F$18)</x:f>
        <x:v>149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67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SUM('1:8'!$F$20)</x:f>
        <x:v>529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3998061</x:v>
      </x:c>
      <x:c r="J23" s="61" t="s">
        <x:v>130</x:v>
      </x:c>
      <x:c r="K23" s="62">
        <x:f>SUM(K4:K22)</x:f>
        <x:v>14193.548387096775</x:v>
      </x:c>
      <x:c r="M23" s="90" t="s">
        <x:v>104</x:v>
      </x:c>
      <x:c r="N23" s="175">
        <x:f>C5+C6</x:f>
        <x:v>342500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1.0448349666797334</x:v>
      </x:c>
      <x:c r="J24" s="61" t="s">
        <x:v>8</x:v>
      </x:c>
      <x:c r="K24" s="63">
        <x:f>K23/A25</x:f>
        <x:v>0.0037092769860438456</x:v>
      </x:c>
    </x:row>
    <x:row r="25" spans="1:11" ht="34.149999999999999" customHeight="1">
      <x:c r="A25" s="204">
        <x:f>C2</x:f>
        <x:v>3826500</x:v>
      </x:c>
      <x:c r="B25" s="168"/>
      <x:c r="C25" s="168">
        <x:f>E25/I1</x:f>
        <x:v>4399887.5</x:v>
      </x:c>
      <x:c r="D25" s="168"/>
      <x:c r="E25" s="168">
        <x:f>SUM('1:8'!$A$25)</x:f>
        <x:v>35199100</x:v>
      </x:c>
      <x:c r="F25" s="168"/>
      <x:c r="G25" s="168"/>
      <x:c r="H25" s="109" t="s">
        <x:v>42</x:v>
      </x:c>
      <x:c r="I25" s="110">
        <x:f>SUM('1:8'!$I$23)</x:f>
        <x:v>15060541</x:v>
      </x:c>
      <x:c r="J25" s="61" t="s">
        <x:v>42</x:v>
      </x:c>
      <x:c r="K25" s="62">
        <x:f>SUM('1:8'!$K$23)</x:f>
        <x:v>1435038.3870967741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0.42786721819591977</x:v>
      </x:c>
      <x:c r="J26" s="64" t="s">
        <x:v>139</x:v>
      </x:c>
      <x:c r="K26" s="65">
        <x:f>K25/$E$25</x:f>
        <x:v>0.040769178390833119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771741.93548387103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0.20168350594116582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SUM('1:8'!$I$27)</x:f>
        <x:v>5911935.4838709682</x:v>
      </x:c>
      <x:c r="M29" s="66" t="s">
        <x:v>72</x:v>
      </x:c>
    </x:row>
    <x:row r="30" spans="1:13" ht="30.949999999999999" customHeight="1">
      <x:c r="A30" s="315"/>
      <x:c r="B30" s="54"/>
      <x:c r="C30" s="205"/>
      <x:c r="D30" s="206"/>
      <x:c r="E30" s="55"/>
      <x:c r="F30" s="202"/>
      <x:c r="G30" s="203"/>
      <x:c r="H30" s="113" t="s">
        <x:v>139</x:v>
      </x:c>
      <x:c r="I30" s="115">
        <x:f>I29/$I$27</x:f>
        <x:v>7.6605082762079917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O34"/>
  <x:sheetViews>
    <x:sheetView topLeftCell="A22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9</x:v>
      </x:c>
      <x:c r="G1" s="68" t="s">
        <x:v>36</x:v>
      </x:c>
      <x:c r="H1" s="52" t="s">
        <x:v>134</x:v>
      </x:c>
      <x:c r="I1" s="52">
        <x:f>F1-K1</x:f>
        <x:v>9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3273500</x:v>
      </x:c>
      <x:c r="D2" s="167"/>
      <x:c r="E2" s="170" t="s">
        <x:v>49</x:v>
      </x:c>
      <x:c r="F2" s="171"/>
      <x:c r="G2" s="159">
        <x:v>154750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2692000</x:v>
      </x:c>
      <x:c r="D4" s="154"/>
      <x:c r="E4" s="169" t="s">
        <x:v>159</x:v>
      </x:c>
      <x:c r="F4" s="169"/>
      <x:c r="G4" s="135">
        <x:f>INT(C4*0.0275)</x:f>
        <x:v>74030</x:v>
      </x:c>
      <x:c r="H4" s="54" t="s">
        <x:v>20</x:v>
      </x:c>
      <x:c r="I4" s="126">
        <x:f>226800</x:f>
        <x:v>226800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581500</x:v>
      </x:c>
      <x:c r="D5" s="154"/>
      <x:c r="E5" s="153" t="s">
        <x:v>81</x:v>
      </x:c>
      <x:c r="F5" s="153"/>
      <x:c r="G5" s="135">
        <x:f>INT(C5*0.01)</x:f>
        <x:v>5815</x:v>
      </x:c>
      <x:c r="H5" s="54" t="s">
        <x:v>6</x:v>
      </x:c>
      <x:c r="I5" s="126">
        <x:f>59312+16100+25600</x:f>
        <x:v>101012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600000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>
        <x:f>715100-19700</x:f>
        <x:v>695400</x:v>
      </x:c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136250</x:v>
      </x:c>
      <x:c r="D8" s="154"/>
      <x:c r="E8" s="180" t="s">
        <x:v>121</x:v>
      </x:c>
      <x:c r="F8" s="181"/>
      <x:c r="G8" s="186">
        <x:f>C5+G2-G6-C22</x:f>
        <x:v>136250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15</x:v>
      </x:c>
      <x:c r="D12" s="180" t="s">
        <x:v>144</x:v>
      </x:c>
      <x:c r="E12" s="181"/>
      <x:c r="F12" s="184">
        <x:v>7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SUM('1:9'!$C$12)</x:f>
        <x:v>160</x:v>
      </x:c>
      <x:c r="D13" s="172"/>
      <x:c r="E13" s="173"/>
      <x:c r="F13" s="182">
        <x:f>SUM('1:9'!$F$12)</x:f>
        <x:v>153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30</x:v>
      </x:c>
      <x:c r="D14" s="180" t="s">
        <x:v>106</x:v>
      </x:c>
      <x:c r="E14" s="181"/>
      <x:c r="F14" s="184">
        <x:v>8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SUM('1:9'!$C$14)</x:f>
        <x:v>358</x:v>
      </x:c>
      <x:c r="D15" s="172"/>
      <x:c r="E15" s="173"/>
      <x:c r="F15" s="182">
        <x:f>SUM('1:9'!$F$14)</x:f>
        <x:v>211</x:v>
      </x:c>
      <x:c r="G15" s="183"/>
      <x:c r="H15" s="54" t="s">
        <x:v>117</x:v>
      </x:c>
      <x:c r="I15" s="58">
        <x:f>9800+11000+6200+19500+5400+26000+3900+3500+3200</x:f>
        <x:v>88500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2</x:v>
      </x:c>
      <x:c r="D16" s="180" t="s">
        <x:v>128</x:v>
      </x:c>
      <x:c r="E16" s="181"/>
      <x:c r="F16" s="178">
        <x:v>17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SUM('1:9'!$C$16)</x:f>
        <x:v>55</x:v>
      </x:c>
      <x:c r="D17" s="172"/>
      <x:c r="E17" s="173"/>
      <x:c r="F17" s="179">
        <x:f>SUM('1:9'!$F$16)</x:f>
        <x:v>113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29</x:v>
      </x:c>
      <x:c r="D18" s="180" t="s">
        <x:v>141</x:v>
      </x:c>
      <x:c r="E18" s="181"/>
      <x:c r="F18" s="188">
        <x:v>12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SUM('1:9'!$C$18)</x:f>
        <x:v>347</x:v>
      </x:c>
      <x:c r="D19" s="172"/>
      <x:c r="E19" s="173"/>
      <x:c r="F19" s="179">
        <x:f>SUM('1:9'!$F$18)</x:f>
        <x:v>161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56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SUM('1:9'!$F$20)</x:f>
        <x:v>585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1111712</x:v>
      </x:c>
      <x:c r="J23" s="61" t="s">
        <x:v>130</x:v>
      </x:c>
      <x:c r="K23" s="62">
        <x:f>SUM(K4:K22)</x:f>
        <x:v>14193.548387096775</x:v>
      </x:c>
      <x:c r="M23" s="90" t="s">
        <x:v>104</x:v>
      </x:c>
      <x:c r="N23" s="175">
        <x:f>C5+C6</x:f>
        <x:v>581500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0.33960959217962428</x:v>
      </x:c>
      <x:c r="J24" s="61" t="s">
        <x:v>8</x:v>
      </x:c>
      <x:c r="K24" s="63">
        <x:f>K23/A25</x:f>
        <x:v>0.0043358938100188709</x:v>
      </x:c>
    </x:row>
    <x:row r="25" spans="1:11" ht="34.149999999999999" customHeight="1">
      <x:c r="A25" s="204">
        <x:f>C2</x:f>
        <x:v>3273500</x:v>
      </x:c>
      <x:c r="B25" s="168"/>
      <x:c r="C25" s="168">
        <x:f>E25/I1</x:f>
        <x:v>4274733.333333333</x:v>
      </x:c>
      <x:c r="D25" s="168"/>
      <x:c r="E25" s="168">
        <x:f>SUM('1:9'!$A$25)</x:f>
        <x:v>38472600</x:v>
      </x:c>
      <x:c r="F25" s="168"/>
      <x:c r="G25" s="168"/>
      <x:c r="H25" s="109" t="s">
        <x:v>42</x:v>
      </x:c>
      <x:c r="I25" s="110">
        <x:f>SUM('1:9'!$I$23)</x:f>
        <x:v>16172253</x:v>
      </x:c>
      <x:c r="J25" s="61" t="s">
        <x:v>42</x:v>
      </x:c>
      <x:c r="K25" s="62">
        <x:f>SUM('1:9'!$K$23)</x:f>
        <x:v>1449231.9354838708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0.42035768313033173</x:v>
      </x:c>
      <x:c r="J26" s="64" t="s">
        <x:v>139</x:v>
      </x:c>
      <x:c r="K26" s="65">
        <x:f>K25/$E$25</x:f>
        <x:v>0.03766919666162076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771741.93548387103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0.23575437161566246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SUM('1:9'!$I$27)</x:f>
        <x:v>6683677.4193548393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8.6605082762079917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O34"/>
  <x:sheetViews>
    <x:sheetView topLeftCell="A20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9.375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10</x:v>
      </x:c>
      <x:c r="G1" s="68" t="s">
        <x:v>18</x:v>
      </x:c>
      <x:c r="H1" s="52" t="s">
        <x:v>134</x:v>
      </x:c>
      <x:c r="I1" s="52">
        <x:f>F1-K1</x:f>
        <x:v>10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3716000</x:v>
      </x:c>
      <x:c r="D2" s="167"/>
      <x:c r="E2" s="170" t="s">
        <x:v>49</x:v>
      </x:c>
      <x:c r="F2" s="171"/>
      <x:c r="G2" s="159">
        <x:v>136250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3153000</x:v>
      </x:c>
      <x:c r="D4" s="154"/>
      <x:c r="E4" s="169" t="s">
        <x:v>159</x:v>
      </x:c>
      <x:c r="F4" s="169"/>
      <x:c r="G4" s="135">
        <x:f>INT(C4*0.0275)</x:f>
        <x:v>86707</x:v>
      </x:c>
      <x:c r="H4" s="54" t="s">
        <x:v>20</x:v>
      </x:c>
      <x:c r="I4" s="126">
        <x:f>486000+190259+183427+452000</x:f>
        <x:v>1311686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563000</x:v>
      </x:c>
      <x:c r="D5" s="154"/>
      <x:c r="E5" s="153" t="s">
        <x:v>81</x:v>
      </x:c>
      <x:c r="F5" s="153"/>
      <x:c r="G5" s="135">
        <x:f>INT(C5*0.01)</x:f>
        <x:v>5630</x:v>
      </x:c>
      <x:c r="H5" s="54" t="s">
        <x:v>6</x:v>
      </x:c>
      <x:c r="I5" s="126">
        <x:f>48300+25600+88968+20130</x:f>
        <x:v>182998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640000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59250</x:v>
      </x:c>
      <x:c r="D8" s="154"/>
      <x:c r="E8" s="180" t="s">
        <x:v>121</x:v>
      </x:c>
      <x:c r="F8" s="181"/>
      <x:c r="G8" s="186">
        <x:f>C5+G2-G6-C22</x:f>
        <x:v>59250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>
        <x:v>500000</x:v>
      </x:c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 t="s">
        <x:v>160</x:v>
      </x:c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15</x:v>
      </x:c>
      <x:c r="D12" s="180" t="s">
        <x:v>144</x:v>
      </x:c>
      <x:c r="E12" s="181"/>
      <x:c r="F12" s="184">
        <x:v>9</x:v>
      </x:c>
      <x:c r="G12" s="185"/>
      <x:c r="H12" s="54" t="s">
        <x:v>113</x:v>
      </x:c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SUM('1:10'!$C$12)</x:f>
        <x:v>175</x:v>
      </x:c>
      <x:c r="D13" s="172"/>
      <x:c r="E13" s="173"/>
      <x:c r="F13" s="182">
        <x:f>SUM('1:10'!$F$12)</x:f>
        <x:v>162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35</x:v>
      </x:c>
      <x:c r="D14" s="180" t="s">
        <x:v>106</x:v>
      </x:c>
      <x:c r="E14" s="181"/>
      <x:c r="F14" s="184">
        <x:v>23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SUM('1:10'!$C$14)</x:f>
        <x:v>393</x:v>
      </x:c>
      <x:c r="D15" s="172"/>
      <x:c r="E15" s="173"/>
      <x:c r="F15" s="182">
        <x:f>SUM('1:10'!$F$14)</x:f>
        <x:v>234</x:v>
      </x:c>
      <x:c r="G15" s="183"/>
      <x:c r="H15" s="54" t="s">
        <x:v>117</x:v>
      </x:c>
      <x:c r="I15" s="58">
        <x:f>4900+5500+6200+78000+3200+38400+13500+3500+17000+23600+7800+1200+13000</x:f>
        <x:v>215800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5</x:v>
      </x:c>
      <x:c r="D16" s="180" t="s">
        <x:v>128</x:v>
      </x:c>
      <x:c r="E16" s="181"/>
      <x:c r="F16" s="178">
        <x:v>22</x:v>
      </x:c>
      <x:c r="G16" s="178"/>
      <x:c r="H16" s="54"/>
      <x:c r="I16" s="58"/>
      <x:c r="J16" s="54" t="s">
        <x:v>108</x:v>
      </x:c>
      <x:c r="K16" s="58">
        <x:v>68940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SUM('1:10'!$C$16)</x:f>
        <x:v>60</x:v>
      </x:c>
      <x:c r="D17" s="172"/>
      <x:c r="E17" s="173"/>
      <x:c r="F17" s="179">
        <x:f>F19</x:f>
        <x:v>178</x:v>
      </x:c>
      <x:c r="G17" s="179"/>
      <x:c r="H17" s="54" t="s">
        <x:v>7</x:v>
      </x:c>
      <x:c r="I17" s="58">
        <x:v>3200</x:v>
      </x:c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39</x:v>
      </x:c>
      <x:c r="D18" s="180" t="s">
        <x:v>141</x:v>
      </x:c>
      <x:c r="E18" s="181"/>
      <x:c r="F18" s="188">
        <x:v>17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SUM('1:10'!$C$18)</x:f>
        <x:v>386</x:v>
      </x:c>
      <x:c r="D19" s="172"/>
      <x:c r="E19" s="173"/>
      <x:c r="F19" s="179">
        <x:f>SUM('1:10'!$F$18)</x:f>
        <x:v>178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54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SUM('1:10'!$F$20)</x:f>
        <x:v>639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1713684</x:v>
      </x:c>
      <x:c r="J23" s="61" t="s">
        <x:v>130</x:v>
      </x:c>
      <x:c r="K23" s="62">
        <x:f>SUM(K4:K22)</x:f>
        <x:v>83133.548387096773</x:v>
      </x:c>
      <x:c r="M23" s="90" t="s">
        <x:v>104</x:v>
      </x:c>
      <x:c r="N23" s="175">
        <x:f>C5+C6</x:f>
        <x:v>563000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0.46116361679224971</x:v>
      </x:c>
      <x:c r="J24" s="61" t="s">
        <x:v>8</x:v>
      </x:c>
      <x:c r="K24" s="63">
        <x:f>K23/A25</x:f>
        <x:v>0.022371783742491057</x:v>
      </x:c>
    </x:row>
    <x:row r="25" spans="1:11" ht="34.149999999999999" customHeight="1">
      <x:c r="A25" s="204">
        <x:f>C2</x:f>
        <x:v>3716000</x:v>
      </x:c>
      <x:c r="B25" s="168"/>
      <x:c r="C25" s="168">
        <x:f>E25/I1</x:f>
        <x:v>4218860</x:v>
      </x:c>
      <x:c r="D25" s="168"/>
      <x:c r="E25" s="168">
        <x:f>SUM('1:10'!$A$25)</x:f>
        <x:v>42188600</x:v>
      </x:c>
      <x:c r="F25" s="168"/>
      <x:c r="G25" s="168"/>
      <x:c r="H25" s="109" t="s">
        <x:v>42</x:v>
      </x:c>
      <x:c r="I25" s="110">
        <x:f>SUM('1:10'!$I$21)</x:f>
        <x:v>0</x:v>
      </x:c>
      <x:c r="J25" s="61" t="s">
        <x:v>42</x:v>
      </x:c>
      <x:c r="K25" s="62">
        <x:f>SUM('1:10'!$K$21)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667741.93548387103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0.17969373936595023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SUM('1:10'!$I$25)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124.43029797101448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130000</x:v>
      </x:c>
      <x:c r="G31" s="203"/>
    </x:row>
    <x:row r="32" spans="1:7" customHeight="1">
      <x:c r="A32" s="315"/>
      <x:c r="B32" s="54" t="s">
        <x:v>37</x:v>
      </x:c>
      <x:c r="C32" s="200">
        <x:f>14000*5</x:f>
        <x:v>70000</x:v>
      </x:c>
      <x:c r="D32" s="201"/>
      <x:c r="E32" s="55" t="s">
        <x:v>149</x:v>
      </x:c>
      <x:c r="F32" s="202"/>
      <x:c r="G32" s="203"/>
    </x:row>
    <x:row r="33" spans="1:4" customHeight="1">
      <x:c r="A33" s="315"/>
      <x:c r="B33" s="54" t="s">
        <x:v>21</x:v>
      </x:c>
      <x:c r="C33" s="200"/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P34"/>
  <x:sheetViews>
    <x:sheetView topLeftCell="A26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11</x:v>
      </x:c>
      <x:c r="G1" s="68" t="s">
        <x:v>19</x:v>
      </x:c>
      <x:c r="H1" s="52" t="s">
        <x:v>134</x:v>
      </x:c>
      <x:c r="I1" s="52">
        <x:f>F1-K1</x:f>
        <x:v>11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5059500</x:v>
      </x:c>
      <x:c r="D2" s="167"/>
      <x:c r="E2" s="170" t="s">
        <x:v>49</x:v>
      </x:c>
      <x:c r="F2" s="171"/>
      <x:c r="G2" s="159">
        <x:v>59250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4228500</x:v>
      </x:c>
      <x:c r="D4" s="154"/>
      <x:c r="E4" s="169" t="s">
        <x:v>159</x:v>
      </x:c>
      <x:c r="F4" s="169"/>
      <x:c r="G4" s="135">
        <x:f>INT(C4*0.0275)</x:f>
        <x:v>116283</x:v>
      </x:c>
      <x:c r="H4" s="54" t="s">
        <x:v>20</x:v>
      </x:c>
      <x:c r="I4" s="126"/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831000</x:v>
      </x:c>
      <x:c r="D5" s="154"/>
      <x:c r="E5" s="153" t="s">
        <x:v>81</x:v>
      </x:c>
      <x:c r="F5" s="153"/>
      <x:c r="G5" s="135">
        <x:f>INT(C5*0.01)</x:f>
        <x:v>8310</x:v>
      </x:c>
      <x:c r="H5" s="54" t="s">
        <x:v>6</x:v>
      </x:c>
      <x:c r="I5" s="126"/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740000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150250</x:v>
      </x:c>
      <x:c r="D8" s="154"/>
      <x:c r="E8" s="180" t="s">
        <x:v>121</x:v>
      </x:c>
      <x:c r="F8" s="181"/>
      <x:c r="G8" s="186">
        <x:f>C5+G2-G6-C22</x:f>
        <x:v>150250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6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  <x:c r="M11" s="52"/>
      <x:c r="N11" s="52"/>
      <x:c r="O11" s="52"/>
      <x:c r="P11" s="52"/>
    </x:row>
    <x:row r="12" spans="1:12" ht="21.949999999999999" customHeight="1">
      <x:c r="A12" s="59" t="s">
        <x:v>57</x:v>
      </x:c>
      <x:c r="B12" s="190" t="s">
        <x:v>51</x:v>
      </x:c>
      <x:c r="C12" s="81">
        <x:v>29</x:v>
      </x:c>
      <x:c r="D12" s="180" t="s">
        <x:v>144</x:v>
      </x:c>
      <x:c r="E12" s="181"/>
      <x:c r="F12" s="184">
        <x:v>6</x:v>
      </x:c>
      <x:c r="G12" s="185"/>
      <x:c r="H12" s="54" t="s">
        <x:v>113</x:v>
      </x:c>
      <x:c r="I12" s="58"/>
      <x:c r="J12" s="54"/>
      <x:c r="K12" s="58"/>
      <x:c r="L12" s="60"/>
    </x:row>
    <x:row r="13" spans="1:12" ht="21.949999999999999" customHeight="1">
      <x:c r="A13" s="59" t="s">
        <x:v>107</x:v>
      </x:c>
      <x:c r="B13" s="191"/>
      <x:c r="C13" s="136">
        <x:f>SUM('1:11'!$C$12)</x:f>
        <x:v>204</x:v>
      </x:c>
      <x:c r="D13" s="172"/>
      <x:c r="E13" s="173"/>
      <x:c r="F13" s="182">
        <x:f>SUM('1:11'!$F$12)</x:f>
        <x:v>168</x:v>
      </x:c>
      <x:c r="G13" s="183"/>
      <x:c r="H13" s="54" t="s">
        <x:v>137</x:v>
      </x:c>
      <x:c r="I13" s="58"/>
      <x:c r="J13" s="54"/>
      <x:c r="K13" s="58"/>
      <x:c r="L13" s="60"/>
    </x:row>
    <x:row r="14" spans="1:12" ht="21.949999999999999" customHeight="1">
      <x:c r="A14" s="59" t="s">
        <x:v>57</x:v>
      </x:c>
      <x:c r="B14" s="190" t="s">
        <x:v>35</x:v>
      </x:c>
      <x:c r="C14" s="81">
        <x:v>81</x:v>
      </x:c>
      <x:c r="D14" s="180" t="s">
        <x:v>106</x:v>
      </x:c>
      <x:c r="E14" s="181"/>
      <x:c r="F14" s="184">
        <x:v>14</x:v>
      </x:c>
      <x:c r="G14" s="185"/>
      <x:c r="H14" s="54" t="s">
        <x:v>122</x:v>
      </x:c>
      <x:c r="I14" s="58"/>
      <x:c r="J14" s="54"/>
      <x:c r="K14" s="58"/>
      <x:c r="L14" s="60"/>
    </x:row>
    <x:row r="15" spans="1:12" ht="21.949999999999999" customHeight="1">
      <x:c r="A15" s="59" t="s">
        <x:v>107</x:v>
      </x:c>
      <x:c r="B15" s="191"/>
      <x:c r="C15" s="136">
        <x:f>SUM('1:11'!$C$14)</x:f>
        <x:v>474</x:v>
      </x:c>
      <x:c r="D15" s="172"/>
      <x:c r="E15" s="173"/>
      <x:c r="F15" s="182">
        <x:f>SUM('1:11'!$F$14)</x:f>
        <x:v>248</x:v>
      </x:c>
      <x:c r="G15" s="183"/>
      <x:c r="H15" s="54" t="s">
        <x:v>117</x:v>
      </x:c>
      <x:c r="I15" s="58"/>
      <x:c r="J15" s="54" t="s">
        <x:v>85</x:v>
      </x:c>
      <x:c r="K15" s="58"/>
      <x:c r="L15" s="60"/>
    </x:row>
    <x:row r="16" spans="1:12" ht="21.949999999999999" customHeight="1">
      <x:c r="A16" s="59" t="s">
        <x:v>57</x:v>
      </x:c>
      <x:c r="B16" s="190" t="s">
        <x:v>60</x:v>
      </x:c>
      <x:c r="C16" s="81">
        <x:v>6</x:v>
      </x:c>
      <x:c r="D16" s="180" t="s">
        <x:v>128</x:v>
      </x:c>
      <x:c r="E16" s="181"/>
      <x:c r="F16" s="178">
        <x:v>31</x:v>
      </x:c>
      <x:c r="G16" s="178"/>
      <x:c r="H16" s="54"/>
      <x:c r="I16" s="58"/>
      <x:c r="J16" s="54" t="s">
        <x:v>108</x:v>
      </x:c>
      <x:c r="K16" s="58"/>
      <x:c r="L16" s="60"/>
    </x:row>
    <x:row r="17" spans="1:12" ht="21.949999999999999" customHeight="1">
      <x:c r="A17" s="59" t="s">
        <x:v>107</x:v>
      </x:c>
      <x:c r="B17" s="191"/>
      <x:c r="C17" s="136">
        <x:f>SUM('1:11'!$C$16)</x:f>
        <x:v>66</x:v>
      </x:c>
      <x:c r="D17" s="172"/>
      <x:c r="E17" s="173"/>
      <x:c r="F17" s="179">
        <x:f>SUM('1:11'!$F$16)</x:f>
        <x:v>166</x:v>
      </x:c>
      <x:c r="G17" s="179"/>
      <x:c r="H17" s="54" t="s">
        <x:v>7</x:v>
      </x:c>
      <x:c r="I17" s="58"/>
      <x:c r="J17" s="54" t="s">
        <x:v>101</x:v>
      </x:c>
      <x:c r="K17" s="58"/>
      <x:c r="L17" s="60"/>
    </x:row>
    <x:row r="18" spans="1:12" ht="21.949999999999999" customHeight="1">
      <x:c r="A18" s="59" t="s">
        <x:v>57</x:v>
      </x:c>
      <x:c r="B18" s="190" t="s">
        <x:v>102</x:v>
      </x:c>
      <x:c r="C18" s="81">
        <x:v>45</x:v>
      </x:c>
      <x:c r="D18" s="180" t="s">
        <x:v>141</x:v>
      </x:c>
      <x:c r="E18" s="181"/>
      <x:c r="F18" s="188">
        <x:v>13</x:v>
      </x:c>
      <x:c r="G18" s="189"/>
      <x:c r="H18" s="54"/>
      <x:c r="I18" s="58"/>
      <x:c r="J18" s="54"/>
      <x:c r="K18" s="58"/>
      <x:c r="L18" s="60"/>
    </x:row>
    <x:row r="19" spans="1:12" ht="21.949999999999999" customHeight="1">
      <x:c r="A19" s="59" t="s">
        <x:v>107</x:v>
      </x:c>
      <x:c r="B19" s="191"/>
      <x:c r="C19" s="136">
        <x:f>SUM('1:11'!$C$18)</x:f>
        <x:v>431</x:v>
      </x:c>
      <x:c r="D19" s="172"/>
      <x:c r="E19" s="173"/>
      <x:c r="F19" s="179">
        <x:f>SUM('1:11'!$F$18)</x:f>
        <x:v>191</x:v>
      </x:c>
      <x:c r="G19" s="179"/>
      <x:c r="H19" s="54"/>
      <x:c r="I19" s="58"/>
      <x:c r="J19" s="54"/>
      <x:c r="K19" s="58"/>
      <x:c r="L19" s="60"/>
    </x:row>
    <x:row r="20" spans="4:12" ht="21.949999999999999" customHeight="1">
      <x:c r="D20" s="153" t="s">
        <x:v>124</x:v>
      </x:c>
      <x:c r="E20" s="153"/>
      <x:c r="F20" s="178">
        <x:v>60</x:v>
      </x:c>
      <x:c r="G20" s="178"/>
      <x:c r="H20" s="54"/>
      <x:c r="I20" s="58"/>
      <x:c r="J20" s="54"/>
      <x:c r="K20" s="58"/>
      <x:c r="L20" s="60"/>
    </x:row>
    <x:row r="21" spans="4:12" ht="21.949999999999999" customHeight="1">
      <x:c r="D21" s="153" t="s">
        <x:v>125</x:v>
      </x:c>
      <x:c r="E21" s="153"/>
      <x:c r="F21" s="179">
        <x:f>SUM('1:11'!$F$20)</x:f>
        <x:v>699</x:v>
      </x:c>
      <x:c r="G21" s="179"/>
      <x:c r="H21" s="54"/>
      <x:c r="I21" s="58"/>
      <x:c r="J21" s="54"/>
      <x:c r="K21" s="58"/>
      <x:c r="L21" s="60"/>
    </x:row>
    <x:row r="22" spans="1:12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0</x:v>
      </x:c>
      <x:c r="J23" s="61" t="s">
        <x:v>130</x:v>
      </x:c>
      <x:c r="K23" s="62">
        <x:f>SUM(K4:K22)</x:f>
        <x:v>14193.548387096775</x:v>
      </x:c>
      <x:c r="M23" s="90" t="s">
        <x:v>104</x:v>
      </x:c>
      <x:c r="N23" s="175">
        <x:f>C5+C6</x:f>
        <x:v>831000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</x:v>
      </x:c>
      <x:c r="J24" s="61" t="s">
        <x:v>8</x:v>
      </x:c>
      <x:c r="K24" s="63">
        <x:f>K23/A25</x:f>
        <x:v>0.0028053262945146309</x:v>
      </x:c>
    </x:row>
    <x:row r="25" spans="1:11" ht="34.149999999999999" customHeight="1">
      <x:c r="A25" s="204">
        <x:f>C2</x:f>
        <x:v>5059500</x:v>
      </x:c>
      <x:c r="B25" s="168"/>
      <x:c r="C25" s="168">
        <x:f>E25/I1</x:f>
        <x:v>4295281.8181818184</x:v>
      </x:c>
      <x:c r="D25" s="168"/>
      <x:c r="E25" s="168">
        <x:f>SUM('1:11'!$A$25)</x:f>
        <x:v>47248100</x:v>
      </x:c>
      <x:c r="F25" s="168"/>
      <x:c r="G25" s="168"/>
      <x:c r="H25" s="109" t="s">
        <x:v>42</x:v>
      </x:c>
      <x:c r="I25" s="110">
        <x:f>SUM('1:11'!$I$21)</x:f>
        <x:v>0</x:v>
      </x:c>
      <x:c r="J25" s="61" t="s">
        <x:v>42</x:v>
      </x:c>
      <x:c r="K25" s="62">
        <x:f>SUM('1:11'!$K$21)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9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667741.93548387103</x:v>
      </x:c>
    </x:row>
    <x:row r="28" spans="1:9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0.1319778506737565</x:v>
      </x:c>
    </x:row>
    <x:row r="29" spans="1:9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SUM('1:11'!$I$25)</x:f>
        <x:v>83087328</x:v>
      </x:c>
    </x:row>
    <x:row r="30" spans="1:9" ht="30.949999999999999" customHeight="1">
      <x:c r="A30" s="315"/>
      <x:c r="B30" s="54"/>
      <x:c r="C30" s="168"/>
      <x:c r="D30" s="168"/>
      <x:c r="E30" s="55" t="s">
        <x:v>23</x:v>
      </x:c>
      <x:c r="F30" s="202"/>
      <x:c r="G30" s="203"/>
      <x:c r="H30" s="113" t="s">
        <x:v>139</x:v>
      </x:c>
      <x:c r="I30" s="115">
        <x:f>I29/$I$27</x:f>
        <x:v>124.43029797101448</x:v>
      </x:c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130000</x:v>
      </x:c>
      <x:c r="G31" s="203"/>
    </x:row>
    <x:row r="32" spans="1:7" customHeight="1">
      <x:c r="A32" s="315"/>
      <x:c r="B32" s="54" t="s">
        <x:v>37</x:v>
      </x:c>
      <x:c r="C32" s="200">
        <x:f>14000*5</x:f>
        <x:v>70000</x:v>
      </x:c>
      <x:c r="D32" s="201"/>
      <x:c r="E32" s="55" t="s">
        <x:v>149</x:v>
      </x:c>
      <x:c r="F32" s="202"/>
      <x:c r="G32" s="203"/>
    </x:row>
    <x:row r="33" spans="1:4" customHeight="1">
      <x:c r="A33" s="315"/>
      <x:c r="B33" s="54" t="s">
        <x:v>21</x:v>
      </x:c>
      <x:c r="C33" s="200"/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O34"/>
  <x:sheetViews>
    <x:sheetView topLeftCell="A23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12</x:v>
      </x:c>
      <x:c r="G1" s="68" t="s">
        <x:v>58</x:v>
      </x:c>
      <x:c r="H1" s="52" t="s">
        <x:v>134</x:v>
      </x:c>
      <x:c r="I1" s="52">
        <x:f>F1-K1</x:f>
        <x:v>12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3676000</x:v>
      </x:c>
      <x:c r="D2" s="167"/>
      <x:c r="E2" s="170" t="s">
        <x:v>49</x:v>
      </x:c>
      <x:c r="F2" s="171"/>
      <x:c r="G2" s="159">
        <x:v>150250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2918000</x:v>
      </x:c>
      <x:c r="D4" s="154"/>
      <x:c r="E4" s="169" t="s">
        <x:v>159</x:v>
      </x:c>
      <x:c r="F4" s="169"/>
      <x:c r="G4" s="135">
        <x:f>INT(C4*0.0275)</x:f>
        <x:v>80245</x:v>
      </x:c>
      <x:c r="H4" s="54" t="s">
        <x:v>20</x:v>
      </x:c>
      <x:c r="I4" s="126">
        <x:f>30650+477600+452000+216000+183427+282750</x:f>
        <x:v>1642427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758000</x:v>
      </x:c>
      <x:c r="D5" s="154"/>
      <x:c r="E5" s="153" t="s">
        <x:v>81</x:v>
      </x:c>
      <x:c r="F5" s="153"/>
      <x:c r="G5" s="135">
        <x:f>INT(C5*0.01)</x:f>
        <x:v>7580</x:v>
      </x:c>
      <x:c r="H5" s="54" t="s">
        <x:v>6</x:v>
      </x:c>
      <x:c r="I5" s="126">
        <x:f>23440+25600+29656+36080</x:f>
        <x:v>114776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760000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>
        <x:f>7500-48700</x:f>
        <x:v>-41200</x:v>
      </x:c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150250</x:v>
      </x:c>
      <x:c r="D8" s="154"/>
      <x:c r="E8" s="180" t="s">
        <x:v>121</x:v>
      </x:c>
      <x:c r="F8" s="181"/>
      <x:c r="G8" s="186">
        <x:f>C5+G2-G6-C22</x:f>
        <x:v>148250</x:v>
      </x:c>
      <x:c r="H8" s="54" t="s">
        <x:v>54</x:v>
      </x:c>
      <x:c r="I8" s="126">
        <x:v>56000</x:v>
      </x:c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>
        <x:v>6000</x:v>
      </x:c>
    </x:row>
    <x:row r="11" spans="1:11" ht="33" customHeight="1">
      <x:c r="A11" s="152" t="s">
        <x:v>114</x:v>
      </x:c>
      <x:c r="B11" s="153"/>
      <x:c r="C11" s="35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19</x:v>
      </x:c>
      <x:c r="D12" s="180" t="s">
        <x:v>144</x:v>
      </x:c>
      <x:c r="E12" s="181"/>
      <x:c r="F12" s="184">
        <x:v>7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SUM('1:12'!$C$12)</x:f>
        <x:v>223</x:v>
      </x:c>
      <x:c r="D13" s="172"/>
      <x:c r="E13" s="173"/>
      <x:c r="F13" s="182">
        <x:f>SUM('1:12'!$F$12)</x:f>
        <x:v>175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34</x:v>
      </x:c>
      <x:c r="D14" s="180" t="s">
        <x:v>106</x:v>
      </x:c>
      <x:c r="E14" s="181"/>
      <x:c r="F14" s="184">
        <x:v>15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SUM('1:12'!$C$14)</x:f>
        <x:v>508</x:v>
      </x:c>
      <x:c r="D15" s="172"/>
      <x:c r="E15" s="173"/>
      <x:c r="F15" s="182">
        <x:f>SUM('1:12'!$F$14)</x:f>
        <x:v>263</x:v>
      </x:c>
      <x:c r="G15" s="183"/>
      <x:c r="H15" s="54" t="s">
        <x:v>117</x:v>
      </x:c>
      <x:c r="I15" s="58">
        <x:f>19500+5400+8500+6600</x:f>
        <x:v>40000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3</x:v>
      </x:c>
      <x:c r="D16" s="180" t="s">
        <x:v>128</x:v>
      </x:c>
      <x:c r="E16" s="181"/>
      <x:c r="F16" s="178">
        <x:v>11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SUM('1:12'!$C$16)</x:f>
        <x:v>69</x:v>
      </x:c>
      <x:c r="D17" s="172"/>
      <x:c r="E17" s="173"/>
      <x:c r="F17" s="179">
        <x:f>SUM('1:12'!$F$16)</x:f>
        <x:v>177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28</x:v>
      </x:c>
      <x:c r="D18" s="180" t="s">
        <x:v>141</x:v>
      </x:c>
      <x:c r="E18" s="181"/>
      <x:c r="F18" s="188">
        <x:v>11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SUM('1:12'!$C$18)</x:f>
        <x:v>459</x:v>
      </x:c>
      <x:c r="D19" s="172"/>
      <x:c r="E19" s="173"/>
      <x:c r="F19" s="179">
        <x:f>SUM('1:12'!$F$18)</x:f>
        <x:v>202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324">
        <x:v>60</x:v>
      </x:c>
      <x:c r="G20" s="325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SUM('1:12'!$F$20)</x:f>
        <x:v>759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2"/>
      <x:c r="E23" s="312"/>
      <x:c r="F23" s="312"/>
      <x:c r="G23" s="312"/>
      <x:c r="H23" s="109" t="s">
        <x:v>105</x:v>
      </x:c>
      <x:c r="I23" s="110">
        <x:f>SUM(I4:I22)</x:f>
        <x:v>1812003</x:v>
      </x:c>
      <x:c r="J23" s="61" t="s">
        <x:v>130</x:v>
      </x:c>
      <x:c r="K23" s="62">
        <x:f>SUM(K4:K22)</x:f>
        <x:v>20193.548387096773</x:v>
      </x:c>
      <x:c r="M23" s="90" t="s">
        <x:v>104</x:v>
      </x:c>
      <x:c r="N23" s="175">
        <x:f>C5+C6</x:f>
        <x:v>758000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0.49292791077257891</x:v>
      </x:c>
      <x:c r="J24" s="61" t="s">
        <x:v>8</x:v>
      </x:c>
      <x:c r="K24" s="63">
        <x:f>K23/A25</x:f>
        <x:v>0.0054933483098739862</x:v>
      </x:c>
    </x:row>
    <x:row r="25" spans="1:11" ht="34.149999999999999" customHeight="1">
      <x:c r="A25" s="204">
        <x:f>C2</x:f>
        <x:v>3676000</x:v>
      </x:c>
      <x:c r="B25" s="168"/>
      <x:c r="C25" s="168">
        <x:f>E25/I1</x:f>
        <x:v>4243675</x:v>
      </x:c>
      <x:c r="D25" s="168"/>
      <x:c r="E25" s="168">
        <x:f>SUM('1:12'!$A$25)</x:f>
        <x:v>50924100</x:v>
      </x:c>
      <x:c r="F25" s="168"/>
      <x:c r="G25" s="168"/>
      <x:c r="H25" s="109" t="s">
        <x:v>42</x:v>
      </x:c>
      <x:c r="I25" s="110">
        <x:f>SUM('1:12'!$I$21)</x:f>
        <x:v>0</x:v>
      </x:c>
      <x:c r="J25" s="61" t="s">
        <x:v>42</x:v>
      </x:c>
      <x:c r="K25" s="62">
        <x:f>SUM('1:12'!$K$21)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351"/>
      <x:c r="G27" s="351"/>
      <x:c r="H27" s="113" t="s">
        <x:v>129</x:v>
      </x:c>
      <x:c r="I27" s="114">
        <x:f>SUM(C27:D34,F27:G32)</x:f>
        <x:v>771741.93548387103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353"/>
      <x:c r="G28" s="353"/>
      <x:c r="H28" s="113" t="s">
        <x:v>8</x:v>
      </x:c>
      <x:c r="I28" s="115">
        <x:f>I27/$A$25</x:f>
        <x:v>0.20994067885850681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SUM('1:12'!$I$25)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107.66206186256478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A27:A34"/>
    <x:mergeCell ref="C32:D32"/>
    <x:mergeCell ref="C33:D33"/>
    <x:mergeCell ref="C34:D34"/>
    <x:mergeCell ref="F31:G31"/>
    <x:mergeCell ref="F30:G30"/>
    <x:mergeCell ref="C30:D30"/>
    <x:mergeCell ref="C31:D31"/>
    <x:mergeCell ref="C28:D28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0:B10"/>
    <x:mergeCell ref="C10:D10"/>
    <x:mergeCell ref="E10:F10"/>
    <x:mergeCell ref="A11:B11"/>
    <x:mergeCell ref="E2:F3"/>
    <x:mergeCell ref="A4:B4"/>
    <x:mergeCell ref="C4:D4"/>
    <x:mergeCell ref="E4:F4"/>
    <x:mergeCell ref="A2:B3"/>
    <x:mergeCell ref="C2:D3"/>
    <x:mergeCell ref="A5:B5"/>
    <x:mergeCell ref="C5:D5"/>
    <x:mergeCell ref="E5:F5"/>
    <x:mergeCell ref="A8:B9"/>
    <x:mergeCell ref="C8:D9"/>
    <x:mergeCell ref="A6:B7"/>
    <x:mergeCell ref="N23:O23"/>
    <x:mergeCell ref="G6:G7"/>
    <x:mergeCell ref="G8:G9"/>
    <x:mergeCell ref="C11:G11"/>
    <x:mergeCell ref="F18:G18"/>
    <x:mergeCell ref="F19:G19"/>
    <x:mergeCell ref="D18:E19"/>
    <x:mergeCell ref="D16:E17"/>
    <x:mergeCell ref="D21:E21"/>
    <x:mergeCell ref="F21:G21"/>
    <x:mergeCell ref="C29:D29"/>
    <x:mergeCell ref="F29:G29"/>
    <x:mergeCell ref="C26:D26"/>
    <x:mergeCell ref="E26:G26"/>
    <x:mergeCell ref="J2:K2"/>
    <x:mergeCell ref="H2:I2"/>
    <x:mergeCell ref="G2:G3"/>
    <x:mergeCell ref="C6:D7"/>
    <x:mergeCell ref="E6:F7"/>
    <x:mergeCell ref="E8:F9"/>
    <x:mergeCell ref="F28:G28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34"/>
  <x:sheetViews>
    <x:sheetView topLeftCell="A26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13</x:v>
      </x:c>
      <x:c r="G1" s="68" t="s">
        <x:v>71</x:v>
      </x:c>
      <x:c r="H1" s="52" t="s">
        <x:v>134</x:v>
      </x:c>
      <x:c r="I1" s="52">
        <x:f>F1-K1</x:f>
        <x:v>13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4715000</x:v>
      </x:c>
      <x:c r="D2" s="167"/>
      <x:c r="E2" s="170" t="s">
        <x:v>49</x:v>
      </x:c>
      <x:c r="F2" s="171"/>
      <x:c r="G2" s="159">
        <x:v>150250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3988000</x:v>
      </x:c>
      <x:c r="D4" s="154"/>
      <x:c r="E4" s="169" t="s">
        <x:v>159</x:v>
      </x:c>
      <x:c r="F4" s="169"/>
      <x:c r="G4" s="135">
        <x:f>INT(C4*0.0275)</x:f>
        <x:v>109670</x:v>
      </x:c>
      <x:c r="H4" s="54" t="s">
        <x:v>20</x:v>
      </x:c>
      <x:c r="I4" s="126">
        <x:f>477600+452000+210600+275964</x:f>
        <x:v>1416164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727000</x:v>
      </x:c>
      <x:c r="D5" s="154"/>
      <x:c r="E5" s="153" t="s">
        <x:v>81</x:v>
      </x:c>
      <x:c r="F5" s="153"/>
      <x:c r="G5" s="135">
        <x:f>INT(C5*0.01)</x:f>
        <x:v>7270</x:v>
      </x:c>
      <x:c r="H5" s="54" t="s">
        <x:v>6</x:v>
      </x:c>
      <x:c r="I5" s="126">
        <x:f>23650+29656+36080+48300+7790+17650</x:f>
        <x:v>163126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700000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>
        <x:f>165600-4600</x:f>
        <x:v>161000</x:v>
      </x:c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177250</x:v>
      </x:c>
      <x:c r="D8" s="154"/>
      <x:c r="E8" s="180" t="s">
        <x:v>121</x:v>
      </x:c>
      <x:c r="F8" s="181"/>
      <x:c r="G8" s="186">
        <x:f>C5+G2-G6-C22</x:f>
        <x:v>177250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8</x:v>
      </x:c>
      <x:c r="D12" s="180" t="s">
        <x:v>144</x:v>
      </x:c>
      <x:c r="E12" s="181"/>
      <x:c r="F12" s="184">
        <x:v>8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SUM('1:13'!$C$12)</x:f>
        <x:v>231</x:v>
      </x:c>
      <x:c r="D13" s="172"/>
      <x:c r="E13" s="173"/>
      <x:c r="F13" s="182">
        <x:f>SUM('1:13'!$F$12)</x:f>
        <x:v>183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22</x:v>
      </x:c>
      <x:c r="D14" s="180" t="s">
        <x:v>106</x:v>
      </x:c>
      <x:c r="E14" s="181"/>
      <x:c r="F14" s="184">
        <x:v>18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SUM('1:13'!$C$14)</x:f>
        <x:v>530</x:v>
      </x:c>
      <x:c r="D15" s="172"/>
      <x:c r="E15" s="173"/>
      <x:c r="F15" s="182">
        <x:f>SUM('1:13'!$F$14)</x:f>
        <x:v>281</x:v>
      </x:c>
      <x:c r="G15" s="183"/>
      <x:c r="H15" s="54" t="s">
        <x:v>117</x:v>
      </x:c>
      <x:c r="I15" s="58">
        <x:f>32500+19200+11800+4900+3500+13500+4500+9250+3200+2200+3150+8500+12000</x:f>
        <x:v>128200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10</x:v>
      </x:c>
      <x:c r="D16" s="180" t="s">
        <x:v>128</x:v>
      </x:c>
      <x:c r="E16" s="181"/>
      <x:c r="F16" s="178">
        <x:v>33</x:v>
      </x:c>
      <x:c r="G16" s="178"/>
      <x:c r="H16" s="54"/>
      <x:c r="I16" s="58"/>
      <x:c r="J16" s="54" t="s">
        <x:v>108</x:v>
      </x:c>
      <x:c r="K16" s="58">
        <x:v>123873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SUM('1:13'!$C$16)</x:f>
        <x:v>79</x:v>
      </x:c>
      <x:c r="D17" s="172"/>
      <x:c r="E17" s="173"/>
      <x:c r="F17" s="179">
        <x:f>SUM('1:13'!$F$16)</x:f>
        <x:v>210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40</x:v>
      </x:c>
      <x:c r="D18" s="180" t="s">
        <x:v>141</x:v>
      </x:c>
      <x:c r="E18" s="181"/>
      <x:c r="F18" s="188">
        <x:v>5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SUM('1:13'!$C$18)</x:f>
        <x:v>499</x:v>
      </x:c>
      <x:c r="D19" s="172"/>
      <x:c r="E19" s="173"/>
      <x:c r="F19" s="179">
        <x:f>SUM('1:13'!$F$18)</x:f>
        <x:v>207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73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SUM('1:13'!$F$20)</x:f>
        <x:v>832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1868490</x:v>
      </x:c>
      <x:c r="J23" s="61" t="s">
        <x:v>130</x:v>
      </x:c>
      <x:c r="K23" s="62">
        <x:f>SUM(K4:K22)</x:f>
        <x:v>138066.54838709679</x:v>
      </x:c>
      <x:c r="M23" s="90" t="s">
        <x:v>104</x:v>
      </x:c>
      <x:c r="N23" s="175">
        <x:f>C5+C6</x:f>
        <x:v>727000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0.39628632025450689</x:v>
      </x:c>
      <x:c r="J24" s="61" t="s">
        <x:v>8</x:v>
      </x:c>
      <x:c r="K24" s="63">
        <x:f>K23/A25</x:f>
        <x:v>0.029282406868949479</x:v>
      </x:c>
    </x:row>
    <x:row r="25" spans="1:11" ht="34.149999999999999" customHeight="1">
      <x:c r="A25" s="204">
        <x:f>C2</x:f>
        <x:v>4715000</x:v>
      </x:c>
      <x:c r="B25" s="168"/>
      <x:c r="C25" s="168">
        <x:f>E25/I1</x:f>
        <x:v>4279930.769230769</x:v>
      </x:c>
      <x:c r="D25" s="168"/>
      <x:c r="E25" s="168">
        <x:f>SUM('1:13'!$A$25)</x:f>
        <x:v>55639100</x:v>
      </x:c>
      <x:c r="F25" s="168"/>
      <x:c r="G25" s="168"/>
      <x:c r="H25" s="109" t="s">
        <x:v>42</x:v>
      </x:c>
      <x:c r="I25" s="110">
        <x:f>SUM('1:13'!$I$21)</x:f>
        <x:v>0</x:v>
      </x:c>
      <x:c r="J25" s="61" t="s">
        <x:v>42</x:v>
      </x:c>
      <x:c r="K25" s="62">
        <x:f>SUM('1:13'!$K$21)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771741.93548387103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0.16367803509732154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SUM('1:13'!$I$25)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107.66206186256478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O34"/>
  <x:sheetViews>
    <x:sheetView topLeftCell="A24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14</x:v>
      </x:c>
      <x:c r="G1" s="68" t="s">
        <x:v>34</x:v>
      </x:c>
      <x:c r="H1" s="52" t="s">
        <x:v>134</x:v>
      </x:c>
      <x:c r="I1" s="52">
        <x:f>F1-K1</x:f>
        <x:v>14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3861500</x:v>
      </x:c>
      <x:c r="D2" s="167"/>
      <x:c r="E2" s="170" t="s">
        <x:v>49</x:v>
      </x:c>
      <x:c r="F2" s="171"/>
      <x:c r="G2" s="159">
        <x:v>177250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3272500</x:v>
      </x:c>
      <x:c r="D4" s="154"/>
      <x:c r="E4" s="169" t="s">
        <x:v>159</x:v>
      </x:c>
      <x:c r="F4" s="169"/>
      <x:c r="G4" s="135">
        <x:f>INT(C4*0.0275)</x:f>
        <x:v>89993</x:v>
      </x:c>
      <x:c r="H4" s="54" t="s">
        <x:v>20</x:v>
      </x:c>
      <x:c r="I4" s="126">
        <x:f>210600+452000+280488+199616+10</x:f>
        <x:v>1142714</x:v>
      </x:c>
      <x:c r="J4" s="83" t="s">
        <x:v>45</x:v>
      </x:c>
      <x:c r="K4" s="58">
        <x:v>255000</x:v>
      </x:c>
    </x:row>
    <x:row r="5" spans="1:11" ht="30.949999999999999" customHeight="1">
      <x:c r="A5" s="161" t="s">
        <x:v>70</x:v>
      </x:c>
      <x:c r="B5" s="162"/>
      <x:c r="C5" s="154">
        <x:v>589000</x:v>
      </x:c>
      <x:c r="D5" s="154"/>
      <x:c r="E5" s="153" t="s">
        <x:v>81</x:v>
      </x:c>
      <x:c r="F5" s="153"/>
      <x:c r="G5" s="135">
        <x:f>INT(C5*0.01)</x:f>
        <x:v>5890</x:v>
      </x:c>
      <x:c r="H5" s="54" t="s">
        <x:v>6</x:v>
      </x:c>
      <x:c r="I5" s="126">
        <x:f>38940+29656+36080+48300+25600+23440+7790+68600</x:f>
        <x:v>278406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650000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116250</x:v>
      </x:c>
      <x:c r="D8" s="154"/>
      <x:c r="E8" s="180" t="s">
        <x:v>121</x:v>
      </x:c>
      <x:c r="F8" s="181"/>
      <x:c r="G8" s="186">
        <x:f>C5+G2-G6-C22</x:f>
        <x:v>116250</x:v>
      </x:c>
      <x:c r="H8" s="54" t="s">
        <x:v>54</x:v>
      </x:c>
      <x:c r="I8" s="126">
        <x:v>56000</x:v>
      </x:c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18</x:v>
      </x:c>
      <x:c r="D12" s="180" t="s">
        <x:v>144</x:v>
      </x:c>
      <x:c r="E12" s="181"/>
      <x:c r="F12" s="184">
        <x:v>4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SUM('1:14'!$C$12)</x:f>
        <x:v>249</x:v>
      </x:c>
      <x:c r="D13" s="172"/>
      <x:c r="E13" s="173"/>
      <x:c r="F13" s="182">
        <x:f>SUM('1:14'!$F$12)</x:f>
        <x:v>187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33</x:v>
      </x:c>
      <x:c r="D14" s="180" t="s">
        <x:v>106</x:v>
      </x:c>
      <x:c r="E14" s="181"/>
      <x:c r="F14" s="184">
        <x:v>16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SUM('1:14'!$C$14)</x:f>
        <x:v>563</x:v>
      </x:c>
      <x:c r="D15" s="172"/>
      <x:c r="E15" s="173"/>
      <x:c r="F15" s="182">
        <x:f>SUM('1:14'!$F$14)</x:f>
        <x:v>297</x:v>
      </x:c>
      <x:c r="G15" s="183"/>
      <x:c r="H15" s="54" t="s">
        <x:v>117</x:v>
      </x:c>
      <x:c r="I15" s="58">
        <x:v>72000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3</x:v>
      </x:c>
      <x:c r="D16" s="180" t="s">
        <x:v>128</x:v>
      </x:c>
      <x:c r="E16" s="181"/>
      <x:c r="F16" s="178">
        <x:v>18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SUM('1:14'!$C$16)</x:f>
        <x:v>82</x:v>
      </x:c>
      <x:c r="D17" s="172"/>
      <x:c r="E17" s="173"/>
      <x:c r="F17" s="179">
        <x:f>SUM('1:14'!$F$16)</x:f>
        <x:v>228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19</x:v>
      </x:c>
      <x:c r="D18" s="180" t="s">
        <x:v>141</x:v>
      </x:c>
      <x:c r="E18" s="181"/>
      <x:c r="F18" s="188">
        <x:v>9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SUM('1:14'!$C$18)</x:f>
        <x:v>518</x:v>
      </x:c>
      <x:c r="D19" s="172"/>
      <x:c r="E19" s="173"/>
      <x:c r="F19" s="179">
        <x:f>SUM('1:14'!$F$18)</x:f>
        <x:v>216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54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SUM('1:14'!$F$20)</x:f>
        <x:v>886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1549120</x:v>
      </x:c>
      <x:c r="J23" s="61" t="s">
        <x:v>130</x:v>
      </x:c>
      <x:c r="K23" s="62">
        <x:f>SUM(K4:K22)</x:f>
        <x:v>269193.54838709679</x:v>
      </x:c>
      <x:c r="M23" s="90" t="s">
        <x:v>104</x:v>
      </x:c>
      <x:c r="N23" s="175">
        <x:f>C5+C6</x:f>
        <x:v>589000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0.4011705295869481</x:v>
      </x:c>
      <x:c r="J24" s="61" t="s">
        <x:v>8</x:v>
      </x:c>
      <x:c r="K24" s="63">
        <x:f>K23/A25</x:f>
        <x:v>0.069712171018282212</x:v>
      </x:c>
    </x:row>
    <x:row r="25" spans="1:11" ht="34.149999999999999" customHeight="1">
      <x:c r="A25" s="204">
        <x:f>C2</x:f>
        <x:v>3861500</x:v>
      </x:c>
      <x:c r="B25" s="168"/>
      <x:c r="C25" s="168">
        <x:f>E25/I1</x:f>
        <x:v>4250042.8571428573</x:v>
      </x:c>
      <x:c r="D25" s="168"/>
      <x:c r="E25" s="168">
        <x:f>SUM('1:14'!$A$25)</x:f>
        <x:v>59500600</x:v>
      </x:c>
      <x:c r="F25" s="168"/>
      <x:c r="G25" s="168"/>
      <x:c r="H25" s="109" t="s">
        <x:v>42</x:v>
      </x:c>
      <x:c r="I25" s="110">
        <x:f>SUM('1:14'!$I$21)</x:f>
        <x:v>0</x:v>
      </x:c>
      <x:c r="J25" s="61" t="s">
        <x:v>42</x:v>
      </x:c>
      <x:c r="K25" s="62">
        <x:f>SUM('1:14'!$K$21)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771741.93548387103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0.19985547986116042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SUM('1:14'!$I$25)</x:f>
        <x:v>83087328</x:v>
      </x:c>
      <x:c r="M29" s="66" t="s">
        <x:v>72</x:v>
      </x:c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107.66206186256478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O34"/>
  <x:sheetViews>
    <x:sheetView topLeftCell="A10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4" width="8.625" style="53" bestFit="1" customWidth="1"/>
    <x:col min="15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15</x:v>
      </x:c>
      <x:c r="G1" s="68" t="s">
        <x:v>26</x:v>
      </x:c>
      <x:c r="H1" s="52" t="s">
        <x:v>134</x:v>
      </x:c>
      <x:c r="I1" s="52">
        <x:f>F1-K1</x:f>
        <x:v>15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4759000</x:v>
      </x:c>
      <x:c r="D2" s="167"/>
      <x:c r="E2" s="170" t="s">
        <x:v>49</x:v>
      </x:c>
      <x:c r="F2" s="171"/>
      <x:c r="G2" s="159">
        <x:v>116250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4495000</x:v>
      </x:c>
      <x:c r="D4" s="154"/>
      <x:c r="E4" s="169" t="s">
        <x:v>159</x:v>
      </x:c>
      <x:c r="F4" s="169"/>
      <x:c r="G4" s="135">
        <x:f>INT(C4*0.0275)</x:f>
        <x:v>123612</x:v>
      </x:c>
      <x:c r="H4" s="54" t="s">
        <x:v>20</x:v>
      </x:c>
      <x:c r="I4" s="126">
        <x:f>43500+56220+452000+216000+198555+287274</x:f>
        <x:v>1253549</x:v>
      </x:c>
      <x:c r="J4" s="83" t="s">
        <x:v>45</x:v>
      </x:c>
      <x:c r="K4" s="58"/>
    </x:row>
    <x:row r="5" spans="1:13" ht="30.949999999999999" customHeight="1">
      <x:c r="A5" s="161" t="s">
        <x:v>70</x:v>
      </x:c>
      <x:c r="B5" s="162"/>
      <x:c r="C5" s="154">
        <x:v>264000</x:v>
      </x:c>
      <x:c r="D5" s="154"/>
      <x:c r="E5" s="153" t="s">
        <x:v>81</x:v>
      </x:c>
      <x:c r="F5" s="153"/>
      <x:c r="G5" s="135">
        <x:f>INT(C5*0.01)</x:f>
        <x:v>2640</x:v>
      </x:c>
      <x:c r="H5" s="54" t="s">
        <x:v>6</x:v>
      </x:c>
      <x:c r="I5" s="126">
        <x:v>38940</x:v>
      </x:c>
      <x:c r="J5" s="83"/>
      <x:c r="K5" s="58"/>
      <x:c r="M5" s="13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180000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>
        <x:v>324300</x:v>
      </x:c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200250</x:v>
      </x:c>
      <x:c r="D8" s="154"/>
      <x:c r="E8" s="180" t="s">
        <x:v>121</x:v>
      </x:c>
      <x:c r="F8" s="181"/>
      <x:c r="G8" s="186">
        <x:f>C5+G2-G6-C22</x:f>
        <x:v>200250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17</x:v>
      </x:c>
      <x:c r="D12" s="180" t="s">
        <x:v>144</x:v>
      </x:c>
      <x:c r="E12" s="181"/>
      <x:c r="F12" s="184">
        <x:v>19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SUM('1:15'!$C$12)</x:f>
        <x:v>266</x:v>
      </x:c>
      <x:c r="D13" s="172"/>
      <x:c r="E13" s="173"/>
      <x:c r="F13" s="182">
        <x:f>SUM('1:15'!$F$12)</x:f>
        <x:v>206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28</x:v>
      </x:c>
      <x:c r="D14" s="180" t="s">
        <x:v>106</x:v>
      </x:c>
      <x:c r="E14" s="181"/>
      <x:c r="F14" s="184">
        <x:v>12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SUM('1:15'!$C$14)</x:f>
        <x:v>591</x:v>
      </x:c>
      <x:c r="D15" s="172"/>
      <x:c r="E15" s="173"/>
      <x:c r="F15" s="182">
        <x:f>SUM('1:15'!$F$14)</x:f>
        <x:v>309</x:v>
      </x:c>
      <x:c r="G15" s="183"/>
      <x:c r="H15" s="54" t="s">
        <x:v>117</x:v>
      </x:c>
      <x:c r="I15" s="58">
        <x:v>164100</x:v>
      </x:c>
      <x:c r="J15" s="54" t="s">
        <x:v>85</x:v>
      </x:c>
      <x:c r="K15" s="58">
        <x:v>12500</x:v>
      </x:c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12</x:v>
      </x:c>
      <x:c r="D16" s="180" t="s">
        <x:v>128</x:v>
      </x:c>
      <x:c r="E16" s="181"/>
      <x:c r="F16" s="178">
        <x:v>27</x:v>
      </x:c>
      <x:c r="G16" s="178"/>
      <x:c r="H16" s="54"/>
      <x:c r="I16" s="58"/>
      <x:c r="J16" s="54" t="s">
        <x:v>108</x:v>
      </x:c>
      <x:c r="K16" s="58">
        <x:v>17960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SUM('1:15'!$C$16)</x:f>
        <x:v>94</x:v>
      </x:c>
      <x:c r="D17" s="172"/>
      <x:c r="E17" s="173"/>
      <x:c r="F17" s="179">
        <x:f>SUM('1:15'!$F$16)</x:f>
        <x:v>255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38</x:v>
      </x:c>
      <x:c r="D18" s="180" t="s">
        <x:v>141</x:v>
      </x:c>
      <x:c r="E18" s="181"/>
      <x:c r="F18" s="188">
        <x:v>9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SUM('1:15'!$C$18)</x:f>
        <x:v>556</x:v>
      </x:c>
      <x:c r="D19" s="172"/>
      <x:c r="E19" s="173"/>
      <x:c r="F19" s="179">
        <x:f>SUM('1:15'!$F$18)</x:f>
        <x:v>225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51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SUM('1:15'!$F$20)</x:f>
        <x:v>937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1780889</x:v>
      </x:c>
      <x:c r="J23" s="61" t="s">
        <x:v>130</x:v>
      </x:c>
      <x:c r="K23" s="62">
        <x:f>SUM(K4:K22)</x:f>
        <x:v>44653.548387096773</x:v>
      </x:c>
      <x:c r="M23" s="90" t="s">
        <x:v>104</x:v>
      </x:c>
      <x:c r="N23" s="175">
        <x:f>C5+C6</x:f>
        <x:v>264000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0.37421496112628705</x:v>
      </x:c>
      <x:c r="J24" s="61" t="s">
        <x:v>8</x:v>
      </x:c>
      <x:c r="K24" s="63">
        <x:f>K23/A25</x:f>
        <x:v>0.0093829687722413891</x:v>
      </x:c>
    </x:row>
    <x:row r="25" spans="1:11" ht="34.149999999999999" customHeight="1">
      <x:c r="A25" s="204">
        <x:f>C2</x:f>
        <x:v>4759000</x:v>
      </x:c>
      <x:c r="B25" s="168"/>
      <x:c r="C25" s="168">
        <x:f>E25/I1</x:f>
        <x:v>4283973.333333333</x:v>
      </x:c>
      <x:c r="D25" s="168"/>
      <x:c r="E25" s="168">
        <x:f>SUM('1:15'!$A$25)</x:f>
        <x:v>64259600</x:v>
      </x:c>
      <x:c r="F25" s="168"/>
      <x:c r="G25" s="168"/>
      <x:c r="H25" s="109" t="s">
        <x:v>42</x:v>
      </x:c>
      <x:c r="I25" s="110">
        <x:f>SUM('1:15'!$I$21)</x:f>
        <x:v>0</x:v>
      </x:c>
      <x:c r="J25" s="61" t="s">
        <x:v>42</x:v>
      </x:c>
      <x:c r="K25" s="62">
        <x:f>SUM('1:15'!$K$21)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626741.93548387103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0.13169614109768249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SUM('1:15'!$I$25)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132.57023871532243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/>
      <x:c r="G32" s="203"/>
    </x:row>
    <x:row r="33" spans="1:4" customHeight="1">
      <x:c r="A33" s="315"/>
      <x:c r="B33" s="54" t="s">
        <x:v>21</x:v>
      </x:c>
      <x:c r="C33" s="200">
        <x:f>13000*3</x:f>
        <x:v>39000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O34"/>
  <x:sheetViews>
    <x:sheetView topLeftCell="A19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2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16</x:v>
      </x:c>
      <x:c r="G1" s="68" t="s">
        <x:v>33</x:v>
      </x:c>
      <x:c r="H1" s="52" t="s">
        <x:v>134</x:v>
      </x:c>
      <x:c r="I1" s="52">
        <x:f>F1-K1</x:f>
        <x:v>16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3848000</x:v>
      </x:c>
      <x:c r="D2" s="167"/>
      <x:c r="E2" s="170" t="s">
        <x:v>49</x:v>
      </x:c>
      <x:c r="F2" s="171"/>
      <x:c r="G2" s="159">
        <x:v>200250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2" ht="30.949999999999999" customHeight="1">
      <x:c r="A4" s="161" t="s">
        <x:v>22</x:v>
      </x:c>
      <x:c r="B4" s="162"/>
      <x:c r="C4" s="154">
        <x:v>3607000</x:v>
      </x:c>
      <x:c r="D4" s="154"/>
      <x:c r="E4" s="169" t="s">
        <x:v>159</x:v>
      </x:c>
      <x:c r="F4" s="169"/>
      <x:c r="G4" s="135">
        <x:f>INT(C4*0.0275)</x:f>
        <x:v>99192</x:v>
      </x:c>
      <x:c r="H4" s="54" t="s">
        <x:v>20</x:v>
      </x:c>
      <x:c r="I4" s="126">
        <x:f>477600+452000+216000+208010</x:f>
        <x:v>1353610</x:v>
      </x:c>
      <x:c r="J4" s="83" t="s">
        <x:v>45</x:v>
      </x:c>
      <x:c r="K4" s="58"/>
      <x:c r="L4" s="99"/>
    </x:row>
    <x:row r="5" spans="1:11" ht="30.949999999999999" customHeight="1">
      <x:c r="A5" s="161" t="s">
        <x:v>70</x:v>
      </x:c>
      <x:c r="B5" s="162"/>
      <x:c r="C5" s="154">
        <x:v>241000</x:v>
      </x:c>
      <x:c r="D5" s="154"/>
      <x:c r="E5" s="153" t="s">
        <x:v>81</x:v>
      </x:c>
      <x:c r="F5" s="153"/>
      <x:c r="G5" s="135">
        <x:f>INT(C5*0.01)</x:f>
        <x:v>2410</x:v>
      </x:c>
      <x:c r="H5" s="54" t="s">
        <x:v>6</x:v>
      </x:c>
      <x:c r="I5" s="126">
        <x:f>12980+23650+41250+38940</x:f>
        <x:v>116820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290000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151250</x:v>
      </x:c>
      <x:c r="D8" s="154"/>
      <x:c r="E8" s="180" t="s">
        <x:v>121</x:v>
      </x:c>
      <x:c r="F8" s="181"/>
      <x:c r="G8" s="186">
        <x:f>C5+G2-G6-C22</x:f>
        <x:v>151250</x:v>
      </x:c>
      <x:c r="H8" s="54" t="s">
        <x:v>54</x:v>
      </x:c>
      <x:c r="I8" s="126">
        <x:v>56000</x:v>
      </x:c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>
        <x:v>100000</x:v>
      </x:c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15</x:v>
      </x:c>
      <x:c r="D12" s="180" t="s">
        <x:v>144</x:v>
      </x:c>
      <x:c r="E12" s="181"/>
      <x:c r="F12" s="184">
        <x:v>14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SUM('1:16'!$C$12)</x:f>
        <x:v>281</x:v>
      </x:c>
      <x:c r="D13" s="172"/>
      <x:c r="E13" s="173"/>
      <x:c r="F13" s="182">
        <x:f>SUM('1:16'!$F$12)</x:f>
        <x:v>220</x:v>
      </x:c>
      <x:c r="G13" s="183"/>
      <x:c r="H13" s="54" t="s">
        <x:v>137</x:v>
      </x:c>
      <x:c r="I13" s="58">
        <x:v>240000</x:v>
      </x:c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35</x:v>
      </x:c>
      <x:c r="D14" s="180" t="s">
        <x:v>106</x:v>
      </x:c>
      <x:c r="E14" s="181"/>
      <x:c r="F14" s="184">
        <x:v>16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SUM('1:16'!$C$14)</x:f>
        <x:v>626</x:v>
      </x:c>
      <x:c r="D15" s="172"/>
      <x:c r="E15" s="173"/>
      <x:c r="F15" s="182">
        <x:f>SUM('1:16'!$F$14)</x:f>
        <x:v>325</x:v>
      </x:c>
      <x:c r="G15" s="183"/>
      <x:c r="H15" s="54" t="s">
        <x:v>117</x:v>
      </x:c>
      <x:c r="I15" s="58">
        <x:v>108100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5</x:v>
      </x:c>
      <x:c r="D16" s="180" t="s">
        <x:v>128</x:v>
      </x:c>
      <x:c r="E16" s="181"/>
      <x:c r="F16" s="178">
        <x:v>10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SUM('1:16'!$C$16)</x:f>
        <x:v>99</x:v>
      </x:c>
      <x:c r="D17" s="172"/>
      <x:c r="E17" s="173"/>
      <x:c r="F17" s="179">
        <x:f>SUM('1:16'!$F$16)</x:f>
        <x:v>265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39</x:v>
      </x:c>
      <x:c r="D18" s="180" t="s">
        <x:v>141</x:v>
      </x:c>
      <x:c r="E18" s="181"/>
      <x:c r="F18" s="188">
        <x:v>10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SUM('1:16'!$C$18)</x:f>
        <x:v>595</x:v>
      </x:c>
      <x:c r="D19" s="172"/>
      <x:c r="E19" s="173"/>
      <x:c r="F19" s="179">
        <x:f>SUM('1:16'!$F$18)</x:f>
        <x:v>235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48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SUM('1:16'!$F$20)</x:f>
        <x:v>985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1974530</x:v>
      </x:c>
      <x:c r="J23" s="61" t="s">
        <x:v>130</x:v>
      </x:c>
      <x:c r="K23" s="62">
        <x:f>SUM(K4:K22)</x:f>
        <x:v>14193.548387096775</x:v>
      </x:c>
      <x:c r="M23" s="90" t="s">
        <x:v>104</x:v>
      </x:c>
      <x:c r="N23" s="175">
        <x:f>C5+C6</x:f>
        <x:v>241000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0.51313149688149684</x:v>
      </x:c>
      <x:c r="J24" s="61" t="s">
        <x:v>8</x:v>
      </x:c>
      <x:c r="K24" s="63">
        <x:f>K23/A25</x:f>
        <x:v>0.0036885520756488499</x:v>
      </x:c>
    </x:row>
    <x:row r="25" spans="1:11" ht="34.149999999999999" customHeight="1">
      <x:c r="A25" s="204">
        <x:f>C2</x:f>
        <x:v>3848000</x:v>
      </x:c>
      <x:c r="B25" s="168"/>
      <x:c r="C25" s="168">
        <x:f>E25/I1</x:f>
        <x:v>4256725</x:v>
      </x:c>
      <x:c r="D25" s="168"/>
      <x:c r="E25" s="168">
        <x:f>SUM('1:16'!$A$25)</x:f>
        <x:v>68107600</x:v>
      </x:c>
      <x:c r="F25" s="168"/>
      <x:c r="G25" s="168"/>
      <x:c r="H25" s="109" t="s">
        <x:v>42</x:v>
      </x:c>
      <x:c r="I25" s="110">
        <x:f>SUM('1:16'!$I$21)</x:f>
        <x:v>0</x:v>
      </x:c>
      <x:c r="J25" s="61" t="s">
        <x:v>42</x:v>
      </x:c>
      <x:c r="K25" s="62">
        <x:f>SUM('1:16'!$K$21)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771741.93548387103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0.20055663604050702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SUM('1:16'!$I$25)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107.66206186256478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O34"/>
  <x:sheetViews>
    <x:sheetView view="pageBreakPreview" topLeftCell="A13" zoomScale="7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17</x:v>
      </x:c>
      <x:c r="G1" s="68" t="s">
        <x:v>18</x:v>
      </x:c>
      <x:c r="H1" s="52" t="s">
        <x:v>134</x:v>
      </x:c>
      <x:c r="I1" s="52">
        <x:f>F1-K1</x:f>
        <x:v>17</x:v>
      </x:c>
      <x:c r="J1" s="52" t="s">
        <x:v>109</x:v>
      </x:c>
      <x:c r="K1" s="52"/>
    </x:row>
    <x:row r="2" spans="1:11" ht="20.100000000000001" customHeight="1">
      <x:c r="A2" s="326" t="s">
        <x:v>9</x:v>
      </x:c>
      <x:c r="B2" s="327"/>
      <x:c r="C2" s="330">
        <x:f>SUM(C4:D7)</x:f>
        <x:v>4488000</x:v>
      </x:c>
      <x:c r="D2" s="331"/>
      <x:c r="E2" s="170" t="s">
        <x:v>49</x:v>
      </x:c>
      <x:c r="F2" s="171"/>
      <x:c r="G2" s="159">
        <x:v>151250</x:v>
      </x:c>
      <x:c r="H2" s="334" t="s">
        <x:v>6</x:v>
      </x:c>
      <x:c r="I2" s="335"/>
      <x:c r="J2" s="155" t="s">
        <x:v>85</x:v>
      </x:c>
      <x:c r="K2" s="323"/>
    </x:row>
    <x:row r="3" spans="1:11" ht="20.100000000000001" customHeight="1">
      <x:c r="A3" s="328"/>
      <x:c r="B3" s="329"/>
      <x:c r="C3" s="332"/>
      <x:c r="D3" s="333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337" t="s">
        <x:v>22</x:v>
      </x:c>
      <x:c r="B4" s="338"/>
      <x:c r="C4" s="202">
        <x:v>3672000</x:v>
      </x:c>
      <x:c r="D4" s="203"/>
      <x:c r="E4" s="339" t="s">
        <x:v>159</x:v>
      </x:c>
      <x:c r="F4" s="340"/>
      <x:c r="G4" s="135">
        <x:f>INT(C4*0.0275)</x:f>
        <x:v>100980</x:v>
      </x:c>
      <x:c r="H4" s="54" t="s">
        <x:v>20</x:v>
      </x:c>
      <x:c r="I4" s="126">
        <x:f>30650+421200+209901+187140+264654+10</x:f>
        <x:v>1113555</x:v>
      </x:c>
      <x:c r="J4" s="83" t="s">
        <x:v>45</x:v>
      </x:c>
      <x:c r="K4" s="58"/>
    </x:row>
    <x:row r="5" spans="1:11" ht="30.949999999999999" customHeight="1">
      <x:c r="A5" s="337" t="s">
        <x:v>70</x:v>
      </x:c>
      <x:c r="B5" s="338"/>
      <x:c r="C5" s="202">
        <x:v>816000</x:v>
      </x:c>
      <x:c r="D5" s="203"/>
      <x:c r="E5" s="184" t="s">
        <x:v>81</x:v>
      </x:c>
      <x:c r="F5" s="185"/>
      <x:c r="G5" s="135">
        <x:f>INT(C5*0.01)</x:f>
        <x:v>8160</x:v>
      </x:c>
      <x:c r="H5" s="54" t="s">
        <x:v>6</x:v>
      </x:c>
      <x:c r="I5" s="126">
        <x:f>29656+36080+25600+48300</x:f>
        <x:v>139636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850000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344" t="s">
        <x:v>145</x:v>
      </x:c>
      <x:c r="B8" s="181"/>
      <x:c r="C8" s="193">
        <x:v>117250</x:v>
      </x:c>
      <x:c r="D8" s="194"/>
      <x:c r="E8" s="180" t="s">
        <x:v>121</x:v>
      </x:c>
      <x:c r="F8" s="181"/>
      <x:c r="G8" s="186">
        <x:f>C5+G2-G6-C22</x:f>
        <x:v>117250</x:v>
      </x:c>
      <x:c r="H8" s="54" t="s">
        <x:v>54</x:v>
      </x:c>
      <x:c r="I8" s="126"/>
      <x:c r="J8" s="83"/>
      <x:c r="K8" s="58"/>
    </x:row>
    <x:row r="9" spans="1:11" ht="21.949999999999999" customHeight="1">
      <x:c r="A9" s="345"/>
      <x:c r="B9" s="173"/>
      <x:c r="C9" s="195"/>
      <x:c r="D9" s="196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336" t="s">
        <x:v>155</x:v>
      </x:c>
      <x:c r="B10" s="185"/>
      <x:c r="C10" s="202"/>
      <x:c r="D10" s="203"/>
      <x:c r="E10" s="184" t="s">
        <x:v>98</x:v>
      </x:c>
      <x:c r="F10" s="185"/>
      <x:c r="G10" s="55"/>
      <x:c r="H10" s="54"/>
      <x:c r="I10" s="126"/>
      <x:c r="J10" s="54" t="s">
        <x:v>62</x:v>
      </x:c>
      <x:c r="K10" s="58"/>
    </x:row>
    <x:row r="11" spans="1:11" ht="33" customHeight="1">
      <x:c r="A11" s="336" t="s">
        <x:v>114</x:v>
      </x:c>
      <x:c r="B11" s="185"/>
      <x:c r="C11" s="341"/>
      <x:c r="D11" s="342"/>
      <x:c r="E11" s="342"/>
      <x:c r="F11" s="342"/>
      <x:c r="G11" s="343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21</x:v>
      </x:c>
      <x:c r="D12" s="180" t="s">
        <x:v>144</x:v>
      </x:c>
      <x:c r="E12" s="181"/>
      <x:c r="F12" s="184">
        <x:v>5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SUM('1:17'!$C$12)</x:f>
        <x:v>302</x:v>
      </x:c>
      <x:c r="D13" s="172"/>
      <x:c r="E13" s="173"/>
      <x:c r="F13" s="182">
        <x:f>SUM('1:17'!$F$12)</x:f>
        <x:v>225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60</x:v>
      </x:c>
      <x:c r="D14" s="180" t="s">
        <x:v>106</x:v>
      </x:c>
      <x:c r="E14" s="181"/>
      <x:c r="F14" s="184">
        <x:v>30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SUM('1:17'!$C$14)</x:f>
        <x:v>686</x:v>
      </x:c>
      <x:c r="D15" s="172"/>
      <x:c r="E15" s="173"/>
      <x:c r="F15" s="182">
        <x:f>SUM('1:17'!$F$14)</x:f>
        <x:v>355</x:v>
      </x:c>
      <x:c r="G15" s="183"/>
      <x:c r="H15" s="54" t="s">
        <x:v>117</x:v>
      </x:c>
      <x:c r="I15" s="58">
        <x:f>5500+22000+9800+5400+78000+6200+13500+17700+19200+3900+3500+8500+16500+3200+6900</x:f>
        <x:v>219800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3</x:v>
      </x:c>
      <x:c r="D16" s="180" t="s">
        <x:v>128</x:v>
      </x:c>
      <x:c r="E16" s="181"/>
      <x:c r="F16" s="324">
        <x:v>24</x:v>
      </x:c>
      <x:c r="G16" s="325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SUM('1:17'!$C$16)</x:f>
        <x:v>102</x:v>
      </x:c>
      <x:c r="D17" s="172"/>
      <x:c r="E17" s="173"/>
      <x:c r="F17" s="182">
        <x:f>SUM('1:17'!$F$16)</x:f>
        <x:v>289</x:v>
      </x:c>
      <x:c r="G17" s="183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36</x:v>
      </x:c>
      <x:c r="D18" s="180" t="s">
        <x:v>141</x:v>
      </x:c>
      <x:c r="E18" s="181"/>
      <x:c r="F18" s="324">
        <x:v>11</x:v>
      </x:c>
      <x:c r="G18" s="32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SUM('1:17'!$C$18)</x:f>
        <x:v>631</x:v>
      </x:c>
      <x:c r="D19" s="172"/>
      <x:c r="E19" s="173"/>
      <x:c r="F19" s="182">
        <x:f>SUM('1:17'!$F$18)</x:f>
        <x:v>246</x:v>
      </x:c>
      <x:c r="G19" s="1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84" t="s">
        <x:v>124</x:v>
      </x:c>
      <x:c r="E20" s="185"/>
      <x:c r="F20" s="324">
        <x:v>64</x:v>
      </x:c>
      <x:c r="G20" s="325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84" t="s">
        <x:v>125</x:v>
      </x:c>
      <x:c r="E21" s="185"/>
      <x:c r="F21" s="182">
        <x:f>SUM('1:17'!$F$20)</x:f>
        <x:v>1049</x:v>
      </x:c>
      <x:c r="G21" s="1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336" t="s">
        <x:v>94</x:v>
      </x:c>
      <x:c r="B22" s="185"/>
      <x:c r="C22" s="346"/>
      <x:c r="D22" s="347"/>
      <x:c r="E22" s="347"/>
      <x:c r="F22" s="347"/>
      <x:c r="G22" s="34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336" t="s">
        <x:v>135</x:v>
      </x:c>
      <x:c r="B23" s="185"/>
      <x:c r="C23" s="320"/>
      <x:c r="D23" s="321"/>
      <x:c r="E23" s="321"/>
      <x:c r="F23" s="321"/>
      <x:c r="G23" s="322"/>
      <x:c r="H23" s="109" t="s">
        <x:v>105</x:v>
      </x:c>
      <x:c r="I23" s="110">
        <x:f>SUM(I4:I22)</x:f>
        <x:v>1472991</x:v>
      </x:c>
      <x:c r="J23" s="61" t="s">
        <x:v>130</x:v>
      </x:c>
      <x:c r="K23" s="62">
        <x:f>SUM(K4:K22)</x:f>
        <x:v>14193.548387096775</x:v>
      </x:c>
      <x:c r="M23" s="90" t="s">
        <x:v>104</x:v>
      </x:c>
      <x:c r="N23" s="175">
        <x:f>C5+C6</x:f>
        <x:v>816000</x:v>
      </x:c>
      <x:c r="O23" s="176"/>
    </x:row>
    <x:row r="24" spans="1:11" ht="34.149999999999999" customHeight="1">
      <x:c r="A24" s="336" t="s">
        <x:v>8</x:v>
      </x:c>
      <x:c r="B24" s="185"/>
      <x:c r="C24" s="184" t="s">
        <x:v>97</x:v>
      </x:c>
      <x:c r="D24" s="185"/>
      <x:c r="E24" s="184" t="s">
        <x:v>112</x:v>
      </x:c>
      <x:c r="F24" s="319"/>
      <x:c r="G24" s="185"/>
      <x:c r="H24" s="109" t="s">
        <x:v>8</x:v>
      </x:c>
      <x:c r="I24" s="111">
        <x:f>I23/A25</x:f>
        <x:v>0.32820655080213906</x:v>
      </x:c>
      <x:c r="J24" s="61" t="s">
        <x:v>8</x:v>
      </x:c>
      <x:c r="K24" s="63">
        <x:f>K23/A25</x:f>
        <x:v>0.0031625553447185329</x:v>
      </x:c>
    </x:row>
    <x:row r="25" spans="1:11" ht="34.149999999999999" customHeight="1">
      <x:c r="A25" s="350">
        <x:f>C2</x:f>
        <x:v>4488000</x:v>
      </x:c>
      <x:c r="B25" s="206"/>
      <x:c r="C25" s="205">
        <x:f>E25/I1</x:f>
        <x:v>4270329.4117647056</x:v>
      </x:c>
      <x:c r="D25" s="206"/>
      <x:c r="E25" s="205">
        <x:f>SUM('1:17'!$A$25)</x:f>
        <x:v>72595600</x:v>
      </x:c>
      <x:c r="F25" s="318"/>
      <x:c r="G25" s="206"/>
      <x:c r="H25" s="109" t="s">
        <x:v>42</x:v>
      </x:c>
      <x:c r="I25" s="110">
        <x:f>SUM('1:17'!$I$21)</x:f>
        <x:v>0</x:v>
      </x:c>
      <x:c r="J25" s="61" t="s">
        <x:v>42</x:v>
      </x:c>
      <x:c r="K25" s="62">
        <x:f>SUM('1:17'!$K$21)</x:f>
        <x:v>0</x:v>
      </x:c>
    </x:row>
    <x:row r="26" spans="1:11" ht="34.149999999999999" customHeight="1">
      <x:c r="A26" s="336" t="s">
        <x:v>154</x:v>
      </x:c>
      <x:c r="B26" s="185"/>
      <x:c r="C26" s="184"/>
      <x:c r="D26" s="185"/>
      <x:c r="E26" s="202"/>
      <x:c r="F26" s="349"/>
      <x:c r="G26" s="203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197" t="s">
        <x:v>153</x:v>
      </x:c>
      <x:c r="B27" s="54" t="s">
        <x:v>53</x:v>
      </x:c>
      <x:c r="C27" s="205">
        <x:f>4000000/31</x:f>
        <x:v>129032.25806451614</x:v>
      </x:c>
      <x:c r="D27" s="206"/>
      <x:c r="E27" s="55"/>
      <x:c r="F27" s="202"/>
      <x:c r="G27" s="203"/>
      <x:c r="H27" s="113" t="s">
        <x:v>129</x:v>
      </x:c>
      <x:c r="I27" s="114">
        <x:f>SUM(C27:D34,F27:G32)</x:f>
        <x:v>752241.93548387103</x:v>
      </x:c>
      <x:c r="M27" s="66"/>
    </x:row>
    <x:row r="28" spans="1:13" ht="30.949999999999999" customHeight="1">
      <x:c r="A28" s="198"/>
      <x:c r="B28" s="54" t="s">
        <x:v>24</x:v>
      </x:c>
      <x:c r="C28" s="205">
        <x:f>3800000/31</x:f>
        <x:v>122580.64516129032</x:v>
      </x:c>
      <x:c r="D28" s="206"/>
      <x:c r="E28" s="55"/>
      <x:c r="F28" s="200"/>
      <x:c r="G28" s="201"/>
      <x:c r="H28" s="113" t="s">
        <x:v>8</x:v>
      </x:c>
      <x:c r="I28" s="115">
        <x:f>I27/$A$25</x:f>
        <x:v>0.16761183945719052</x:v>
      </x:c>
      <x:c r="M28" s="66"/>
    </x:row>
    <x:row r="29" spans="1:13" ht="30.949999999999999" customHeight="1">
      <x:c r="A29" s="198"/>
      <x:c r="B29" s="54" t="s">
        <x:v>56</x:v>
      </x:c>
      <x:c r="C29" s="205">
        <x:f>3200000/31</x:f>
        <x:v>103225.80645161291</x:v>
      </x:c>
      <x:c r="D29" s="206"/>
      <x:c r="E29" s="55"/>
      <x:c r="F29" s="202"/>
      <x:c r="G29" s="203"/>
      <x:c r="H29" s="113" t="s">
        <x:v>42</x:v>
      </x:c>
      <x:c r="I29" s="114">
        <x:f>SUM('1:17'!$I$25)</x:f>
        <x:v>83087328</x:v>
      </x:c>
      <x:c r="M29" s="66"/>
    </x:row>
    <x:row r="30" spans="1:13" ht="30.949999999999999" customHeight="1">
      <x:c r="A30" s="198"/>
      <x:c r="B30" s="54"/>
      <x:c r="C30" s="205"/>
      <x:c r="D30" s="206"/>
      <x:c r="E30" s="55"/>
      <x:c r="F30" s="202"/>
      <x:c r="G30" s="203"/>
      <x:c r="H30" s="113" t="s">
        <x:v>139</x:v>
      </x:c>
      <x:c r="I30" s="115">
        <x:f>I29/$I$27</x:f>
        <x:v>110.45293286734277</x:v>
      </x:c>
      <x:c r="M30" s="66"/>
    </x:row>
    <x:row r="31" spans="1:7" customHeight="1">
      <x:c r="A31" s="198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130000</x:v>
      </x:c>
      <x:c r="G31" s="203"/>
    </x:row>
    <x:row r="32" spans="1:7" customHeight="1">
      <x:c r="A32" s="198"/>
      <x:c r="B32" s="54" t="s">
        <x:v>37</x:v>
      </x:c>
      <x:c r="C32" s="200">
        <x:f>14000*5</x:f>
        <x:v>70000</x:v>
      </x:c>
      <x:c r="D32" s="201"/>
      <x:c r="E32" s="55" t="s">
        <x:v>149</x:v>
      </x:c>
      <x:c r="F32" s="202"/>
      <x:c r="G32" s="203"/>
    </x:row>
    <x:row r="33" spans="1:4" customHeight="1">
      <x:c r="A33" s="198"/>
      <x:c r="B33" s="54" t="s">
        <x:v>21</x:v>
      </x:c>
      <x:c r="C33" s="200">
        <x:f>13000*6.5</x:f>
        <x:v>84500</x:v>
      </x:c>
      <x:c r="D33" s="201"/>
    </x:row>
    <x:row r="34" spans="1:4" customHeight="1">
      <x:c r="A34" s="199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51" firstPageNumber="1" fitToWidth="1" fitToHeight="1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O34"/>
  <x:sheetViews>
    <x:sheetView topLeftCell="A23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18</x:v>
      </x:c>
      <x:c r="G1" s="68" t="s">
        <x:v>19</x:v>
      </x:c>
      <x:c r="H1" s="52" t="s">
        <x:v>134</x:v>
      </x:c>
      <x:c r="I1" s="52">
        <x:f>F1-K1</x:f>
        <x:v>18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4610000</x:v>
      </x:c>
      <x:c r="D2" s="167"/>
      <x:c r="E2" s="170" t="s">
        <x:v>49</x:v>
      </x:c>
      <x:c r="F2" s="171"/>
      <x:c r="G2" s="159">
        <x:v>117250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3787000</x:v>
      </x:c>
      <x:c r="D4" s="154"/>
      <x:c r="E4" s="169" t="s">
        <x:v>159</x:v>
      </x:c>
      <x:c r="F4" s="169"/>
      <x:c r="G4" s="135">
        <x:f>INT(C4*0.0275)</x:f>
        <x:v>104142</x:v>
      </x:c>
      <x:c r="H4" s="54" t="s">
        <x:v>20</x:v>
      </x:c>
      <x:c r="I4" s="126"/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823000</x:v>
      </x:c>
      <x:c r="D5" s="154"/>
      <x:c r="E5" s="153" t="s">
        <x:v>81</x:v>
      </x:c>
      <x:c r="F5" s="153"/>
      <x:c r="G5" s="135">
        <x:f>INT(C5*0.01)</x:f>
        <x:v>8230</x:v>
      </x:c>
      <x:c r="H5" s="54" t="s">
        <x:v>6</x:v>
      </x:c>
      <x:c r="I5" s="126"/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800000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/>
      <x:c r="D8" s="154"/>
      <x:c r="E8" s="180" t="s">
        <x:v>121</x:v>
      </x:c>
      <x:c r="F8" s="181"/>
      <x:c r="G8" s="186">
        <x:f>C5+G2-G6-C22</x:f>
        <x:v>140250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>
        <x:v>4000</x:v>
      </x:c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 t="s">
        <x:v>73</x:v>
      </x:c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23</x:v>
      </x:c>
      <x:c r="D12" s="180" t="s">
        <x:v>144</x:v>
      </x:c>
      <x:c r="E12" s="181"/>
      <x:c r="F12" s="184">
        <x:v>13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SUM('1:18'!$C$12)</x:f>
        <x:v>325</x:v>
      </x:c>
      <x:c r="D13" s="172"/>
      <x:c r="E13" s="173"/>
      <x:c r="F13" s="182">
        <x:f>SUM('1:18'!$F$12)</x:f>
        <x:v>238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55</x:v>
      </x:c>
      <x:c r="D14" s="180" t="s">
        <x:v>106</x:v>
      </x:c>
      <x:c r="E14" s="181"/>
      <x:c r="F14" s="184">
        <x:v>27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SUM('1:18'!$C$14)</x:f>
        <x:v>741</x:v>
      </x:c>
      <x:c r="D15" s="172"/>
      <x:c r="E15" s="173"/>
      <x:c r="F15" s="182">
        <x:f>SUM('1:18'!$F$14)</x:f>
        <x:v>382</x:v>
      </x:c>
      <x:c r="G15" s="183"/>
      <x:c r="H15" s="54" t="s">
        <x:v>117</x:v>
      </x:c>
      <x:c r="I15" s="58"/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4</x:v>
      </x:c>
      <x:c r="D16" s="180" t="s">
        <x:v>128</x:v>
      </x:c>
      <x:c r="E16" s="181"/>
      <x:c r="F16" s="178">
        <x:v>26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SUM('1:18'!$C$16)</x:f>
        <x:v>106</x:v>
      </x:c>
      <x:c r="D17" s="172"/>
      <x:c r="E17" s="173"/>
      <x:c r="F17" s="179">
        <x:f>SUM('1:18'!$F$16)</x:f>
        <x:v>315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30</x:v>
      </x:c>
      <x:c r="D18" s="180" t="s">
        <x:v>141</x:v>
      </x:c>
      <x:c r="E18" s="181"/>
      <x:c r="F18" s="188">
        <x:v>18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SUM('1:18'!$C$18)</x:f>
        <x:v>661</x:v>
      </x:c>
      <x:c r="D19" s="172"/>
      <x:c r="E19" s="173"/>
      <x:c r="F19" s="179">
        <x:f>SUM('1:18'!$F$18)</x:f>
        <x:v>264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74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SUM('1:18'!$F$20)</x:f>
        <x:v>1123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0</x:v>
      </x:c>
      <x:c r="J23" s="61" t="s">
        <x:v>130</x:v>
      </x:c>
      <x:c r="K23" s="62">
        <x:f>SUM(K4:K22)</x:f>
        <x:v>14193.548387096775</x:v>
      </x:c>
      <x:c r="M23" s="90" t="s">
        <x:v>104</x:v>
      </x:c>
      <x:c r="N23" s="175">
        <x:f>C5+C6</x:f>
        <x:v>823000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</x:v>
      </x:c>
      <x:c r="J24" s="61" t="s">
        <x:v>8</x:v>
      </x:c>
      <x:c r="K24" s="63">
        <x:f>K23/A25</x:f>
        <x:v>0.0030788608214960466</x:v>
      </x:c>
    </x:row>
    <x:row r="25" spans="1:11" ht="34.149999999999999" customHeight="1">
      <x:c r="A25" s="204">
        <x:f>C2</x:f>
        <x:v>4610000</x:v>
      </x:c>
      <x:c r="B25" s="168"/>
      <x:c r="C25" s="168">
        <x:f>E25/I1</x:f>
        <x:v>4289200</x:v>
      </x:c>
      <x:c r="D25" s="168"/>
      <x:c r="E25" s="168">
        <x:f>SUM('1:18'!$A$25)</x:f>
        <x:v>77205600</x:v>
      </x:c>
      <x:c r="F25" s="168"/>
      <x:c r="G25" s="168"/>
      <x:c r="H25" s="109" t="s">
        <x:v>42</x:v>
      </x:c>
      <x:c r="I25" s="110">
        <x:f>SUM('1:18'!$I$21)</x:f>
        <x:v>0</x:v>
      </x:c>
      <x:c r="J25" s="61" t="s">
        <x:v>42</x:v>
      </x:c>
      <x:c r="K25" s="62">
        <x:f>SUM('1:18'!$K$21)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712741.93548387103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0.15460779511580716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SUM('1:18'!$I$25)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116.57420991174473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130000</x:v>
      </x:c>
      <x:c r="G31" s="203"/>
    </x:row>
    <x:row r="32" spans="1:7" customHeight="1">
      <x:c r="A32" s="315"/>
      <x:c r="B32" s="54" t="s">
        <x:v>37</x:v>
      </x:c>
      <x:c r="C32" s="200">
        <x:f>14000*4.5</x:f>
        <x:v>63000</x:v>
      </x:c>
      <x:c r="D32" s="201"/>
      <x:c r="E32" s="55" t="s">
        <x:v>149</x:v>
      </x:c>
      <x:c r="F32" s="202"/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O34"/>
  <x:sheetViews>
    <x:sheetView topLeftCell="A24" zoomScale="85" zoomScaleNormal="85" zoomScaleSheetLayoutView="75" workbookViewId="0">
      <x:selection activeCell="B33" activeCellId="0" sqref="B33:B33"/>
    </x:sheetView>
  </x:sheetViews>
  <x:sheetFormatPr defaultColWidth="8.625" defaultRowHeight="13.199999999999999"/>
  <x:cols>
    <x:col min="1" max="1" width="8.625" style="53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ht="30" customHeight="1">
      <x:c r="A1" s="51"/>
      <x:c r="B1" s="51"/>
      <x:c r="C1" s="68" t="s">
        <x:v>136</x:v>
      </x:c>
      <x:c r="D1" s="68"/>
      <x:c r="E1" s="68">
        <x:v>5</x:v>
      </x:c>
      <x:c r="F1" s="68">
        <x:v>19</x:v>
      </x:c>
      <x:c r="G1" s="68" t="s">
        <x:v>58</x:v>
      </x:c>
      <x:c r="H1" s="52" t="s">
        <x:v>134</x:v>
      </x:c>
      <x:c r="I1" s="52">
        <x:f>F1-K1</x:f>
        <x:v>19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3897000</x:v>
      </x:c>
      <x:c r="D2" s="167"/>
      <x:c r="E2" s="170" t="s">
        <x:v>49</x:v>
      </x:c>
      <x:c r="F2" s="171"/>
      <x:c r="G2" s="159">
        <x:v>140250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3598000</x:v>
      </x:c>
      <x:c r="D4" s="154"/>
      <x:c r="E4" s="169" t="s">
        <x:v>159</x:v>
      </x:c>
      <x:c r="F4" s="169"/>
      <x:c r="G4" s="135">
        <x:f>INT(C4*0.0275)</x:f>
        <x:v>98945</x:v>
      </x:c>
      <x:c r="H4" s="54" t="s">
        <x:v>20</x:v>
      </x:c>
      <x:c r="I4" s="126">
        <x:f>452000+216000+213683+199616+285012</x:f>
        <x:v>1366311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299000</x:v>
      </x:c>
      <x:c r="D5" s="154"/>
      <x:c r="E5" s="153" t="s">
        <x:v>81</x:v>
      </x:c>
      <x:c r="F5" s="153"/>
      <x:c r="G5" s="135">
        <x:f>INT(C5*0.01)</x:f>
        <x:v>2990</x:v>
      </x:c>
      <x:c r="H5" s="54" t="s">
        <x:v>6</x:v>
      </x:c>
      <x:c r="I5" s="126">
        <x:f>38940+88968+72160+22260</x:f>
        <x:v>222328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330000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>
        <x:f>433300-64300</x:f>
        <x:v>369000</x:v>
      </x:c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109250</x:v>
      </x:c>
      <x:c r="D8" s="154"/>
      <x:c r="E8" s="180" t="s">
        <x:v>121</x:v>
      </x:c>
      <x:c r="F8" s="181"/>
      <x:c r="G8" s="186">
        <x:f>C5+G2-G6-C22</x:f>
        <x:v>109250</x:v>
      </x:c>
      <x:c r="H8" s="54" t="s">
        <x:v>54</x:v>
      </x:c>
      <x:c r="I8" s="126">
        <x:v>56000</x:v>
      </x:c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>
        <x:v>83000</x:v>
      </x:c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>
        <x:v>13000</x:v>
      </x:c>
    </x:row>
    <x:row r="11" spans="1:11" ht="33" customHeight="1">
      <x:c r="A11" s="152" t="s">
        <x:v>114</x:v>
      </x:c>
      <x:c r="B11" s="153"/>
      <x:c r="C11" s="192" t="s">
        <x:v>27</x:v>
      </x:c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11</x:v>
      </x:c>
      <x:c r="D12" s="180" t="s">
        <x:v>144</x:v>
      </x:c>
      <x:c r="E12" s="181"/>
      <x:c r="F12" s="184">
        <x:v>6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SUM('1:19'!$C$12)</x:f>
        <x:v>336</x:v>
      </x:c>
      <x:c r="D13" s="172"/>
      <x:c r="E13" s="173"/>
      <x:c r="F13" s="182">
        <x:f>SUM('1:19'!$F$12)</x:f>
        <x:v>244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19</x:v>
      </x:c>
      <x:c r="D14" s="180" t="s">
        <x:v>106</x:v>
      </x:c>
      <x:c r="E14" s="181"/>
      <x:c r="F14" s="184">
        <x:v>13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SUM('1:19'!$C$14)</x:f>
        <x:v>760</x:v>
      </x:c>
      <x:c r="D15" s="172"/>
      <x:c r="E15" s="173"/>
      <x:c r="F15" s="182">
        <x:f>SUM('1:19'!$F$14)</x:f>
        <x:v>395</x:v>
      </x:c>
      <x:c r="G15" s="183"/>
      <x:c r="H15" s="54" t="s">
        <x:v>117</x:v>
      </x:c>
      <x:c r="I15" s="58">
        <x:f>38400+17000+33000+11800+25500</x:f>
        <x:v>125700</x:v>
      </x:c>
      <x:c r="J15" s="54" t="s">
        <x:v>85</x:v>
      </x:c>
      <x:c r="K15" s="58">
        <x:v>286000</x:v>
      </x:c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5</x:v>
      </x:c>
      <x:c r="D16" s="180" t="s">
        <x:v>128</x:v>
      </x:c>
      <x:c r="E16" s="181"/>
      <x:c r="F16" s="178">
        <x:v>20</x:v>
      </x:c>
      <x:c r="G16" s="178"/>
      <x:c r="H16" s="54"/>
      <x:c r="I16" s="58"/>
      <x:c r="J16" s="54" t="s">
        <x:v>108</x:v>
      </x:c>
      <x:c r="K16" s="58">
        <x:v>224230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SUM('1:19'!$C$16)</x:f>
        <x:v>111</x:v>
      </x:c>
      <x:c r="D17" s="172"/>
      <x:c r="E17" s="173"/>
      <x:c r="F17" s="179">
        <x:f>SUM('1:19'!$F$16)</x:f>
        <x:v>335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20</x:v>
      </x:c>
      <x:c r="D18" s="180" t="s">
        <x:v>141</x:v>
      </x:c>
      <x:c r="E18" s="181"/>
      <x:c r="F18" s="188">
        <x:v>23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SUM('1:19'!$C$18)</x:f>
        <x:v>681</x:v>
      </x:c>
      <x:c r="D19" s="172"/>
      <x:c r="E19" s="173"/>
      <x:c r="F19" s="179">
        <x:f>SUM('1:19'!$F$18)</x:f>
        <x:v>287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63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SUM('1:19'!$F$20)</x:f>
        <x:v>1186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2139339</x:v>
      </x:c>
      <x:c r="J23" s="61" t="s">
        <x:v>130</x:v>
      </x:c>
      <x:c r="K23" s="62">
        <x:f>SUM(K4:K22)</x:f>
        <x:v>537423.54838709673</x:v>
      </x:c>
      <x:c r="M23" s="90" t="s">
        <x:v>104</x:v>
      </x:c>
      <x:c r="N23" s="175">
        <x:f>C5+C6</x:f>
        <x:v>299000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0.54897074672825252</x:v>
      </x:c>
      <x:c r="J24" s="61" t="s">
        <x:v>8</x:v>
      </x:c>
      <x:c r="K24" s="63">
        <x:f>K23/A25</x:f>
        <x:v>0.13790699214449492</x:v>
      </x:c>
    </x:row>
    <x:row r="25" spans="1:11" ht="34.149999999999999" customHeight="1">
      <x:c r="A25" s="204">
        <x:f>C2</x:f>
        <x:v>3897000</x:v>
      </x:c>
      <x:c r="B25" s="168"/>
      <x:c r="C25" s="168">
        <x:f>E25/I1</x:f>
        <x:v>4268557.8947368423</x:v>
      </x:c>
      <x:c r="D25" s="168"/>
      <x:c r="E25" s="168">
        <x:f>SUM('1:19'!$A$25)</x:f>
        <x:v>81102600</x:v>
      </x:c>
      <x:c r="F25" s="168"/>
      <x:c r="G25" s="168"/>
      <x:c r="H25" s="109" t="s">
        <x:v>42</x:v>
      </x:c>
      <x:c r="I25" s="110">
        <x:f>SUM('1:18'!$I$21)</x:f>
        <x:v>0</x:v>
      </x:c>
      <x:c r="J25" s="61" t="s">
        <x:v>42</x:v>
      </x:c>
      <x:c r="K25" s="62">
        <x:f>SUM('1:18'!$K$21)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658741.93548387103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0.16903821798405724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SUM('1:18'!$I$25)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126.13031526369912</x:v>
      </x:c>
      <x:c r="M30" s="66"/>
    </x:row>
    <x:row r="31" spans="1:7" ht="30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ht="30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71000</x:v>
      </x:c>
      <x:c r="G32" s="203"/>
    </x:row>
    <x:row r="33" spans="1:4" ht="30" customHeight="1">
      <x:c r="A33" s="315"/>
      <x:c r="B33" s="54" t="s">
        <x:v>21</x:v>
      </x:c>
      <x:c r="C33" s="200"/>
      <x:c r="D33" s="201"/>
    </x:row>
    <x:row r="34" spans="1:4" ht="30" customHeight="1">
      <x:c r="A34" s="316"/>
      <x:c r="B34" s="54"/>
      <x:c r="C34" s="202"/>
      <x:c r="D34" s="203"/>
    </x:row>
  </x:sheetData>
  <x:mergeCells count="74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B14:B15"/>
    <x:mergeCell ref="D14:E15"/>
    <x:mergeCell ref="F14:G14"/>
    <x:mergeCell ref="F15:G15"/>
    <x:mergeCell ref="B12:B13"/>
    <x:mergeCell ref="D12:E13"/>
    <x:mergeCell ref="F12:G12"/>
    <x:mergeCell ref="F13:G13"/>
    <x:mergeCell ref="B16:B17"/>
    <x:mergeCell ref="D16:E17"/>
    <x:mergeCell ref="F16:G16"/>
    <x:mergeCell ref="F17:G17"/>
    <x:mergeCell ref="B18:B19"/>
    <x:mergeCell ref="D18:E19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A25:B25"/>
    <x:mergeCell ref="C25:D25"/>
    <x:mergeCell ref="E25:G25"/>
    <x:mergeCell ref="A26:B26"/>
    <x:mergeCell ref="C26:D26"/>
    <x:mergeCell ref="E26:G2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O34"/>
  <x:sheetViews>
    <x:sheetView topLeftCell="A13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20</x:v>
      </x:c>
      <x:c r="G1" s="68" t="s">
        <x:v>71</x:v>
      </x:c>
      <x:c r="H1" s="52" t="s">
        <x:v>134</x:v>
      </x:c>
      <x:c r="I1" s="52">
        <x:f>F1-K1</x:f>
        <x:v>20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3442500</x:v>
      </x:c>
      <x:c r="D2" s="167"/>
      <x:c r="E2" s="170" t="s">
        <x:v>49</x:v>
      </x:c>
      <x:c r="F2" s="171"/>
      <x:c r="G2" s="159">
        <x:v>109250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3120000</x:v>
      </x:c>
      <x:c r="D4" s="154"/>
      <x:c r="E4" s="169" t="s">
        <x:v>159</x:v>
      </x:c>
      <x:c r="F4" s="169"/>
      <x:c r="G4" s="135">
        <x:f>INT(C4*0.0275)</x:f>
        <x:v>85800</x:v>
      </x:c>
      <x:c r="H4" s="54" t="s">
        <x:v>20</x:v>
      </x:c>
      <x:c r="I4" s="126">
        <x:f>43500+226800+208010</x:f>
        <x:v>478310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322500</x:v>
      </x:c>
      <x:c r="D5" s="154"/>
      <x:c r="E5" s="153" t="s">
        <x:v>81</x:v>
      </x:c>
      <x:c r="F5" s="153"/>
      <x:c r="G5" s="135">
        <x:f>INT(C5*0.01)</x:f>
        <x:v>3225</x:v>
      </x:c>
      <x:c r="H5" s="54" t="s">
        <x:v>6</x:v>
      </x:c>
      <x:c r="I5" s="126">
        <x:f>38940+29656+36080+48300+25600+22260+125340+12360</x:f>
        <x:v>338536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350000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81750</x:v>
      </x:c>
      <x:c r="D8" s="154"/>
      <x:c r="E8" s="180" t="s">
        <x:v>121</x:v>
      </x:c>
      <x:c r="F8" s="181"/>
      <x:c r="G8" s="186">
        <x:f>C5+G2-G6-C22</x:f>
        <x:v>81750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9</x:v>
      </x:c>
      <x:c r="D12" s="180" t="s">
        <x:v>144</x:v>
      </x:c>
      <x:c r="E12" s="181"/>
      <x:c r="F12" s="184">
        <x:v>5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SUM('1:20'!$C$12)</x:f>
        <x:v>345</x:v>
      </x:c>
      <x:c r="D13" s="172"/>
      <x:c r="E13" s="173"/>
      <x:c r="F13" s="182">
        <x:f>SUM('1:20'!$F$12)</x:f>
        <x:v>249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29</x:v>
      </x:c>
      <x:c r="D14" s="180" t="s">
        <x:v>106</x:v>
      </x:c>
      <x:c r="E14" s="181"/>
      <x:c r="F14" s="184">
        <x:v>20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SUM('1:20'!$C$14)</x:f>
        <x:v>789</x:v>
      </x:c>
      <x:c r="D15" s="172"/>
      <x:c r="E15" s="173"/>
      <x:c r="F15" s="182">
        <x:f>SUM('1:20'!$F$14)</x:f>
        <x:v>415</x:v>
      </x:c>
      <x:c r="G15" s="183"/>
      <x:c r="H15" s="54" t="s">
        <x:v>117</x:v>
      </x:c>
      <x:c r="I15" s="58">
        <x:f>11800+10500+33000+1200+3200+4000+3500+3500</x:f>
        <x:v>70700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8</x:v>
      </x:c>
      <x:c r="D16" s="180" t="s">
        <x:v>128</x:v>
      </x:c>
      <x:c r="E16" s="181"/>
      <x:c r="F16" s="178">
        <x:v>9</x:v>
      </x:c>
      <x:c r="G16" s="178"/>
      <x:c r="H16" s="54"/>
      <x:c r="I16" s="58"/>
      <x:c r="J16" s="54" t="s">
        <x:v>108</x:v>
      </x:c>
      <x:c r="K16" s="58">
        <x:v>11112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SUM('1:20'!$C$16)</x:f>
        <x:v>119</x:v>
      </x:c>
      <x:c r="D17" s="172"/>
      <x:c r="E17" s="173"/>
      <x:c r="F17" s="179">
        <x:f>SUM('1:20'!$F$16)</x:f>
        <x:v>344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32</x:v>
      </x:c>
      <x:c r="D18" s="180" t="s">
        <x:v>141</x:v>
      </x:c>
      <x:c r="E18" s="181"/>
      <x:c r="F18" s="188">
        <x:v>11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SUM('1:20'!$C$18)</x:f>
        <x:v>713</x:v>
      </x:c>
      <x:c r="D19" s="172"/>
      <x:c r="E19" s="173"/>
      <x:c r="F19" s="179">
        <x:f>SUM('1:20'!$F$18)</x:f>
        <x:v>298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52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SUM('1:20'!$F$20)</x:f>
        <x:v>1238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887546</x:v>
      </x:c>
      <x:c r="J23" s="61" t="s">
        <x:v>130</x:v>
      </x:c>
      <x:c r="K23" s="62">
        <x:f>SUM(K4:K22)</x:f>
        <x:v>25305.548387096773</x:v>
      </x:c>
      <x:c r="M23" s="90" t="s">
        <x:v>104</x:v>
      </x:c>
      <x:c r="N23" s="175">
        <x:f>C5+C6</x:f>
        <x:v>322500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0.25782018881626723</x:v>
      </x:c>
      <x:c r="J24" s="61" t="s">
        <x:v>8</x:v>
      </x:c>
      <x:c r="K24" s="63">
        <x:f>K23/A25</x:f>
        <x:v>0.0073509218263171456</x:v>
      </x:c>
    </x:row>
    <x:row r="25" spans="1:11" ht="34.149999999999999" customHeight="1">
      <x:c r="A25" s="204">
        <x:f>C2</x:f>
        <x:v>3442500</x:v>
      </x:c>
      <x:c r="B25" s="168"/>
      <x:c r="C25" s="168">
        <x:f>E25/I1</x:f>
        <x:v>4227255</x:v>
      </x:c>
      <x:c r="D25" s="168"/>
      <x:c r="E25" s="168">
        <x:f>SUM('1:20'!$A$25)</x:f>
        <x:v>84545100</x:v>
      </x:c>
      <x:c r="F25" s="168"/>
      <x:c r="G25" s="168"/>
      <x:c r="H25" s="109" t="s">
        <x:v>42</x:v>
      </x:c>
      <x:c r="I25" s="110">
        <x:f>SUM('1:20'!$I$21)</x:f>
        <x:v>0</x:v>
      </x:c>
      <x:c r="J25" s="61" t="s">
        <x:v>42</x:v>
      </x:c>
      <x:c r="K25" s="62">
        <x:f>SUM('1:20'!$K$21)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719741.93548387103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0.20907536252254785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SUM('1:20'!$I$25)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115.44044316959483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/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O34"/>
  <x:sheetViews>
    <x:sheetView topLeftCell="A16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21</x:v>
      </x:c>
      <x:c r="G1" s="68" t="s">
        <x:v>34</x:v>
      </x:c>
      <x:c r="H1" s="52" t="s">
        <x:v>134</x:v>
      </x:c>
      <x:c r="I1" s="52">
        <x:f>F1-K1</x:f>
        <x:v>21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4697500</x:v>
      </x:c>
      <x:c r="D2" s="167"/>
      <x:c r="E2" s="170" t="s">
        <x:v>49</x:v>
      </x:c>
      <x:c r="F2" s="171"/>
      <x:c r="G2" s="159">
        <x:v>81750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4094500</x:v>
      </x:c>
      <x:c r="D4" s="154"/>
      <x:c r="E4" s="169" t="s">
        <x:v>159</x:v>
      </x:c>
      <x:c r="F4" s="169"/>
      <x:c r="G4" s="135">
        <x:f>INT(C4*0.0275)</x:f>
        <x:v>112598</x:v>
      </x:c>
      <x:c r="H4" s="54" t="s">
        <x:v>20</x:v>
      </x:c>
      <x:c r="I4" s="126">
        <x:f>452000</x:f>
        <x:v>452000</x:v>
      </x:c>
      <x:c r="J4" s="83" t="s">
        <x:v>45</x:v>
      </x:c>
      <x:c r="K4" s="58">
        <x:v>217000</x:v>
      </x:c>
    </x:row>
    <x:row r="5" spans="1:11" ht="30.949999999999999" customHeight="1">
      <x:c r="A5" s="161" t="s">
        <x:v>70</x:v>
      </x:c>
      <x:c r="B5" s="162"/>
      <x:c r="C5" s="154">
        <x:v>603000</x:v>
      </x:c>
      <x:c r="D5" s="154"/>
      <x:c r="E5" s="153" t="s">
        <x:v>81</x:v>
      </x:c>
      <x:c r="F5" s="153"/>
      <x:c r="G5" s="135">
        <x:f>INT(C5*0.01)</x:f>
        <x:v>6030</x:v>
      </x:c>
      <x:c r="H5" s="54" t="s">
        <x:v>6</x:v>
      </x:c>
      <x:c r="I5" s="126">
        <x:f>47300+41250+38940+29656+36080+25600+22260+15340+10390</x:f>
        <x:v>266816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570000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>
        <x:v>324000</x:v>
      </x:c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114750</x:v>
      </x:c>
      <x:c r="D8" s="154"/>
      <x:c r="E8" s="180" t="s">
        <x:v>121</x:v>
      </x:c>
      <x:c r="F8" s="181"/>
      <x:c r="G8" s="186">
        <x:f>C5+G2-G6-C22</x:f>
        <x:v>114750</x:v>
      </x:c>
      <x:c r="H8" s="54" t="s">
        <x:v>54</x:v>
      </x:c>
      <x:c r="I8" s="126">
        <x:v>56000</x:v>
      </x:c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16</x:v>
      </x:c>
      <x:c r="D12" s="180" t="s">
        <x:v>144</x:v>
      </x:c>
      <x:c r="E12" s="181"/>
      <x:c r="F12" s="184">
        <x:v>12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SUM('1:21'!$C$12)</x:f>
        <x:v>361</x:v>
      </x:c>
      <x:c r="D13" s="172"/>
      <x:c r="E13" s="173"/>
      <x:c r="F13" s="182">
        <x:f>SUM('1:21'!$F$12)</x:f>
        <x:v>261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42</x:v>
      </x:c>
      <x:c r="D14" s="180" t="s">
        <x:v>106</x:v>
      </x:c>
      <x:c r="E14" s="181"/>
      <x:c r="F14" s="184">
        <x:v>17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SUM('1:21'!$C$14)</x:f>
        <x:v>831</x:v>
      </x:c>
      <x:c r="D15" s="172"/>
      <x:c r="E15" s="173"/>
      <x:c r="F15" s="182">
        <x:f>SUM('1:21'!$F$14)</x:f>
        <x:v>432</x:v>
      </x:c>
      <x:c r="G15" s="183"/>
      <x:c r="H15" s="54" t="s">
        <x:v>117</x:v>
      </x:c>
      <x:c r="I15" s="58">
        <x:v>181750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6</x:v>
      </x:c>
      <x:c r="D16" s="180" t="s">
        <x:v>128</x:v>
      </x:c>
      <x:c r="E16" s="181"/>
      <x:c r="F16" s="178">
        <x:v>17</x:v>
      </x:c>
      <x:c r="G16" s="178"/>
      <x:c r="H16" s="54"/>
      <x:c r="I16" s="58"/>
      <x:c r="J16" s="54" t="s">
        <x:v>108</x:v>
      </x:c>
      <x:c r="K16" s="58">
        <x:v>182752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SUM('1:21'!$C$16)</x:f>
        <x:v>125</x:v>
      </x:c>
      <x:c r="D17" s="172"/>
      <x:c r="E17" s="173"/>
      <x:c r="F17" s="179">
        <x:f>SUM('1:21'!$F$16)</x:f>
        <x:v>361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40</x:v>
      </x:c>
      <x:c r="D18" s="180" t="s">
        <x:v>141</x:v>
      </x:c>
      <x:c r="E18" s="181"/>
      <x:c r="F18" s="188">
        <x:v>11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SUM('1:21'!$C$18)</x:f>
        <x:v>753</x:v>
      </x:c>
      <x:c r="D19" s="172"/>
      <x:c r="E19" s="173"/>
      <x:c r="F19" s="179">
        <x:f>SUM('1:21'!$F$18)</x:f>
        <x:v>309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72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SUM('1:21'!$F$20)</x:f>
        <x:v>1310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1280566</x:v>
      </x:c>
      <x:c r="J23" s="61" t="s">
        <x:v>130</x:v>
      </x:c>
      <x:c r="K23" s="62">
        <x:f>SUM(K4:K22)</x:f>
        <x:v>413945.54838709679</x:v>
      </x:c>
      <x:c r="M23" s="90" t="s">
        <x:v>104</x:v>
      </x:c>
      <x:c r="N23" s="175">
        <x:f>C5+C6</x:f>
        <x:v>603000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0.27260585417775413</x:v>
      </x:c>
      <x:c r="J24" s="61" t="s">
        <x:v>8</x:v>
      </x:c>
      <x:c r="K24" s="63">
        <x:f>K23/A25</x:f>
        <x:v>0.088120393483149928</x:v>
      </x:c>
    </x:row>
    <x:row r="25" spans="1:11" ht="34.149999999999999" customHeight="1">
      <x:c r="A25" s="204">
        <x:f>C2</x:f>
        <x:v>4697500</x:v>
      </x:c>
      <x:c r="B25" s="168"/>
      <x:c r="C25" s="168">
        <x:f>E25/I1</x:f>
        <x:v>4249647.6190476194</x:v>
      </x:c>
      <x:c r="D25" s="168"/>
      <x:c r="E25" s="168">
        <x:f>SUM('1:21'!$A$25)</x:f>
        <x:v>89242600</x:v>
      </x:c>
      <x:c r="F25" s="168"/>
      <x:c r="G25" s="168"/>
      <x:c r="H25" s="109" t="s">
        <x:v>42</x:v>
      </x:c>
      <x:c r="I25" s="110">
        <x:f>SUM('1:21'!$I$21)</x:f>
        <x:v>0</x:v>
      </x:c>
      <x:c r="J25" s="61" t="s">
        <x:v>42</x:v>
      </x:c>
      <x:c r="K25" s="62">
        <x:f>SUM('1:21'!$K$21)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771741.93548387103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0.16428779893217052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SUM('1:21'!$I$25)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107.66206186256478</x:v>
      </x:c>
      <x:c r="M30" s="66"/>
    </x:row>
    <x:row r="31" spans="1:7" customHeight="1">
      <x:c r="A31" s="315"/>
      <x:c r="B31" s="54" t="s">
        <x:v>50</x:v>
      </x:c>
      <x:c r="C31" s="168">
        <x:f>3500000/31</x:f>
        <x:v>112903.22580645161</x:v>
      </x:c>
      <x:c r="D31" s="168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C33:D33"/>
    <x:mergeCell ref="A23:B23"/>
    <x:mergeCell ref="C23:G23"/>
    <x:mergeCell ref="A24:B24"/>
    <x:mergeCell ref="C24:D24"/>
    <x:mergeCell ref="E24:G24"/>
    <x:mergeCell ref="F32:G32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G8:G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34"/>
  <x:sheetViews>
    <x:sheetView topLeftCell="A26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22</x:v>
      </x:c>
      <x:c r="G1" s="68" t="s">
        <x:v>59</x:v>
      </x:c>
      <x:c r="H1" s="52" t="s">
        <x:v>134</x:v>
      </x:c>
      <x:c r="I1" s="52">
        <x:f>F1-K1</x:f>
        <x:v>22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4946000</x:v>
      </x:c>
      <x:c r="D2" s="167"/>
      <x:c r="E2" s="170" t="s">
        <x:v>49</x:v>
      </x:c>
      <x:c r="F2" s="171"/>
      <x:c r="G2" s="159">
        <x:v>114750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4537000</x:v>
      </x:c>
      <x:c r="D4" s="154"/>
      <x:c r="E4" s="169" t="s">
        <x:v>159</x:v>
      </x:c>
      <x:c r="F4" s="169"/>
      <x:c r="G4" s="135">
        <x:f>INT(C4*0.0275)</x:f>
        <x:v>124767</x:v>
      </x:c>
      <x:c r="H4" s="54" t="s">
        <x:v>20</x:v>
      </x:c>
      <x:c r="I4" s="126">
        <x:f>56220+955200+452000+253800+412238+246401+10+547404</x:f>
        <x:v>2923273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409000</x:v>
      </x:c>
      <x:c r="D5" s="154"/>
      <x:c r="E5" s="153" t="s">
        <x:v>81</x:v>
      </x:c>
      <x:c r="F5" s="153"/>
      <x:c r="G5" s="135">
        <x:f>INT(C5*0.01)</x:f>
        <x:v>4090</x:v>
      </x:c>
      <x:c r="H5" s="54" t="s">
        <x:v>6</x:v>
      </x:c>
      <x:c r="I5" s="126"/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400000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123750</x:v>
      </x:c>
      <x:c r="D8" s="154"/>
      <x:c r="E8" s="180" t="s">
        <x:v>121</x:v>
      </x:c>
      <x:c r="F8" s="181"/>
      <x:c r="G8" s="186">
        <x:f>C5+G2-G6-C22</x:f>
        <x:v>123750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13</x:v>
      </x:c>
      <x:c r="D12" s="180" t="s">
        <x:v>144</x:v>
      </x:c>
      <x:c r="E12" s="181"/>
      <x:c r="F12" s="184">
        <x:v>4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SUM('1:22'!$C$12)</x:f>
        <x:v>374</x:v>
      </x:c>
      <x:c r="D13" s="172"/>
      <x:c r="E13" s="173"/>
      <x:c r="F13" s="182">
        <x:f>SUM('1:22'!$F$12)</x:f>
        <x:v>265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36</x:v>
      </x:c>
      <x:c r="D14" s="180" t="s">
        <x:v>106</x:v>
      </x:c>
      <x:c r="E14" s="181"/>
      <x:c r="F14" s="184">
        <x:v>18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SUM('1:22'!$C$14)</x:f>
        <x:v>867</x:v>
      </x:c>
      <x:c r="D15" s="172"/>
      <x:c r="E15" s="173"/>
      <x:c r="F15" s="182">
        <x:f>SUM('1:22'!$F$14)</x:f>
        <x:v>450</x:v>
      </x:c>
      <x:c r="G15" s="183"/>
      <x:c r="H15" s="54" t="s">
        <x:v>117</x:v>
      </x:c>
      <x:c r="I15" s="58">
        <x:f>13500+52000+19200+4900+5500+11800+54400+7800+3200</x:f>
        <x:v>172300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6</x:v>
      </x:c>
      <x:c r="D16" s="180" t="s">
        <x:v>128</x:v>
      </x:c>
      <x:c r="E16" s="181"/>
      <x:c r="F16" s="178">
        <x:v>27</x:v>
      </x:c>
      <x:c r="G16" s="178"/>
      <x:c r="H16" s="54"/>
      <x:c r="I16" s="58"/>
      <x:c r="J16" s="54" t="s">
        <x:v>108</x:v>
      </x:c>
      <x:c r="K16" s="58">
        <x:v>74260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SUM('1:22'!$C$16)</x:f>
        <x:v>131</x:v>
      </x:c>
      <x:c r="D17" s="172"/>
      <x:c r="E17" s="173"/>
      <x:c r="F17" s="179">
        <x:f>SUM('1:22'!$F$16)</x:f>
        <x:v>388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50</x:v>
      </x:c>
      <x:c r="D18" s="180" t="s">
        <x:v>141</x:v>
      </x:c>
      <x:c r="E18" s="181"/>
      <x:c r="F18" s="188">
        <x:v>8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SUM('1:22'!$C$18)</x:f>
        <x:v>803</x:v>
      </x:c>
      <x:c r="D19" s="172"/>
      <x:c r="E19" s="173"/>
      <x:c r="F19" s="179">
        <x:f>SUM('1:22'!$F$18)</x:f>
        <x:v>317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78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SUM('1:22'!$F$20)</x:f>
        <x:v>1388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3095573</x:v>
      </x:c>
      <x:c r="J23" s="61" t="s">
        <x:v>130</x:v>
      </x:c>
      <x:c r="K23" s="62">
        <x:f>SUM(K4:K22)</x:f>
        <x:v>88453.548387096773</x:v>
      </x:c>
      <x:c r="M23" s="90" t="s">
        <x:v>104</x:v>
      </x:c>
      <x:c r="N23" s="175">
        <x:f>C5+C6</x:f>
        <x:v>409000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0.62587403962798216</x:v>
      </x:c>
      <x:c r="J24" s="61" t="s">
        <x:v>8</x:v>
      </x:c>
      <x:c r="K24" s="63">
        <x:f>K23/A25</x:f>
        <x:v>0.017883855314819404</x:v>
      </x:c>
    </x:row>
    <x:row r="25" spans="1:11" ht="34.149999999999999" customHeight="1">
      <x:c r="A25" s="204">
        <x:f>C2</x:f>
        <x:v>4946000</x:v>
      </x:c>
      <x:c r="B25" s="168"/>
      <x:c r="C25" s="168">
        <x:f>E25/I1</x:f>
        <x:v>4281300</x:v>
      </x:c>
      <x:c r="D25" s="168"/>
      <x:c r="E25" s="168">
        <x:f>SUM('1:22'!$A$25)</x:f>
        <x:v>94188600</x:v>
      </x:c>
      <x:c r="F25" s="168"/>
      <x:c r="G25" s="168"/>
      <x:c r="H25" s="109" t="s">
        <x:v>42</x:v>
      </x:c>
      <x:c r="I25" s="110">
        <x:f>SUM('1:22'!$I$21)</x:f>
        <x:v>0</x:v>
      </x:c>
      <x:c r="J25" s="61" t="s">
        <x:v>42</x:v>
      </x:c>
      <x:c r="K25" s="62">
        <x:f>SUM('1:22'!$K$21)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771741.93548387103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0.15603354943062495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SUM('1:22'!$I$25)</x:f>
        <x:v>83087328</x:v>
      </x:c>
      <x:c r="M29" s="66"/>
    </x:row>
    <x:row r="30" spans="1:13" ht="30.949999999999999" customHeight="1">
      <x:c r="A30" s="315"/>
      <x:c r="B30" s="55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107.66206186256478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F27:G27"/>
    <x:mergeCell ref="C27:D27"/>
    <x:mergeCell ref="C29:D29"/>
    <x:mergeCell ref="F29:G29"/>
    <x:mergeCell ref="C30:D30"/>
    <x:mergeCell ref="A24:B24"/>
    <x:mergeCell ref="C24:D24"/>
    <x:mergeCell ref="E24:G24"/>
    <x:mergeCell ref="A22:B22"/>
    <x:mergeCell ref="C22:G22"/>
    <x:mergeCell ref="B16:B17"/>
    <x:mergeCell ref="F15:G15"/>
    <x:mergeCell ref="A23:B23"/>
    <x:mergeCell ref="C23:G23"/>
    <x:mergeCell ref="F16:G16"/>
    <x:mergeCell ref="D14:E15"/>
    <x:mergeCell ref="F17:G17"/>
    <x:mergeCell ref="B18:B19"/>
    <x:mergeCell ref="A6:B7"/>
    <x:mergeCell ref="A11:B11"/>
    <x:mergeCell ref="C11:G11"/>
    <x:mergeCell ref="B12:B13"/>
    <x:mergeCell ref="B14:B15"/>
    <x:mergeCell ref="F12:G12"/>
    <x:mergeCell ref="D12:E13"/>
    <x:mergeCell ref="A10:B10"/>
    <x:mergeCell ref="C10:D10"/>
    <x:mergeCell ref="E10:F10"/>
    <x:mergeCell ref="A8:B9"/>
    <x:mergeCell ref="C8:D9"/>
    <x:mergeCell ref="F14:G14"/>
    <x:mergeCell ref="C6:D7"/>
    <x:mergeCell ref="E6:F7"/>
    <x:mergeCell ref="E8:F9"/>
    <x:mergeCell ref="A5:B5"/>
    <x:mergeCell ref="C5:D5"/>
    <x:mergeCell ref="E5:F5"/>
    <x:mergeCell ref="E2:F3"/>
    <x:mergeCell ref="G2:G3"/>
    <x:mergeCell ref="A4:B4"/>
    <x:mergeCell ref="C4:D4"/>
    <x:mergeCell ref="E4:F4"/>
    <x:mergeCell ref="A2:B3"/>
    <x:mergeCell ref="C2:D3"/>
    <x:mergeCell ref="N23:O23"/>
    <x:mergeCell ref="G6:G7"/>
    <x:mergeCell ref="G8:G9"/>
    <x:mergeCell ref="C26:D26"/>
    <x:mergeCell ref="E26:G26"/>
    <x:mergeCell ref="F13:G13"/>
    <x:mergeCell ref="F18:G18"/>
    <x:mergeCell ref="F19:G19"/>
    <x:mergeCell ref="D18:E19"/>
    <x:mergeCell ref="J2:K2"/>
    <x:mergeCell ref="H2:I2"/>
    <x:mergeCell ref="D16:E17"/>
    <x:mergeCell ref="A27:A34"/>
    <x:mergeCell ref="C32:D32"/>
    <x:mergeCell ref="C33:D33"/>
    <x:mergeCell ref="C34:D34"/>
    <x:mergeCell ref="C31:D31"/>
    <x:mergeCell ref="F31:G31"/>
    <x:mergeCell ref="D20:E20"/>
    <x:mergeCell ref="F20:G20"/>
    <x:mergeCell ref="D21:E21"/>
    <x:mergeCell ref="F21:G21"/>
    <x:mergeCell ref="C28:D28"/>
    <x:mergeCell ref="F28:G28"/>
    <x:mergeCell ref="F30:G30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O34"/>
  <x:sheetViews>
    <x:sheetView topLeftCell="A22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" width="8.625" style="53"/>
    <x:col min="17" max="17" width="8.625" style="53" bestFit="1" customWidth="1"/>
    <x:col min="18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23</x:v>
      </x:c>
      <x:c r="G1" s="68" t="s">
        <x:v>36</x:v>
      </x:c>
      <x:c r="H1" s="52" t="s">
        <x:v>134</x:v>
      </x:c>
      <x:c r="I1" s="52">
        <x:f>F1-K1</x:f>
        <x:v>23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5983500</x:v>
      </x:c>
      <x:c r="D2" s="167"/>
      <x:c r="E2" s="170" t="s">
        <x:v>49</x:v>
      </x:c>
      <x:c r="F2" s="171"/>
      <x:c r="G2" s="159">
        <x:v>123750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5285500</x:v>
      </x:c>
      <x:c r="D4" s="154"/>
      <x:c r="E4" s="169" t="s">
        <x:v>159</x:v>
      </x:c>
      <x:c r="F4" s="169"/>
      <x:c r="G4" s="135">
        <x:f>INT(C4*0.0275)</x:f>
        <x:v>145351</x:v>
      </x:c>
      <x:c r="H4" s="54" t="s">
        <x:v>20</x:v>
      </x:c>
      <x:c r="I4" s="126">
        <x:f>452000+243000+269178</x:f>
        <x:v>964178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698000</x:v>
      </x:c>
      <x:c r="D5" s="154"/>
      <x:c r="E5" s="153" t="s">
        <x:v>81</x:v>
      </x:c>
      <x:c r="F5" s="153"/>
      <x:c r="G5" s="135">
        <x:v>0</x:v>
      </x:c>
      <x:c r="H5" s="54" t="s">
        <x:v>6</x:v>
      </x:c>
      <x:c r="I5" s="126">
        <x:f>22260+13600+9150</x:f>
        <x:v>45010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650000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>
        <x:v>12500</x:v>
      </x:c>
    </x:row>
    <x:row r="8" spans="1:11" ht="21.949999999999999" customHeight="1">
      <x:c r="A8" s="152" t="s">
        <x:v>145</x:v>
      </x:c>
      <x:c r="B8" s="153"/>
      <x:c r="C8" s="154">
        <x:v>173000</x:v>
      </x:c>
      <x:c r="D8" s="154"/>
      <x:c r="E8" s="180" t="s">
        <x:v>121</x:v>
      </x:c>
      <x:c r="F8" s="181"/>
      <x:c r="G8" s="186">
        <x:f>C5+G2-G6-C22</x:f>
        <x:v>171750</x:v>
      </x:c>
      <x:c r="H8" s="54" t="s">
        <x:v>54</x:v>
      </x:c>
      <x:c r="I8" s="126">
        <x:v>56000</x:v>
      </x:c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26</x:v>
      </x:c>
      <x:c r="D12" s="180" t="s">
        <x:v>144</x:v>
      </x:c>
      <x:c r="E12" s="181"/>
      <x:c r="F12" s="184">
        <x:v>7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SUM('1:23'!$C$12)</x:f>
        <x:v>400</x:v>
      </x:c>
      <x:c r="D13" s="172"/>
      <x:c r="E13" s="173"/>
      <x:c r="F13" s="182">
        <x:f>SUM('1:23'!$F$12)</x:f>
        <x:v>272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62</x:v>
      </x:c>
      <x:c r="D14" s="180" t="s">
        <x:v>106</x:v>
      </x:c>
      <x:c r="E14" s="181"/>
      <x:c r="F14" s="184">
        <x:v>23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SUM('1:23'!$C$14)</x:f>
        <x:v>929</x:v>
      </x:c>
      <x:c r="D15" s="172"/>
      <x:c r="E15" s="173"/>
      <x:c r="F15" s="182">
        <x:f>SUM('1:23'!$F$14)</x:f>
        <x:v>473</x:v>
      </x:c>
      <x:c r="G15" s="183"/>
      <x:c r="H15" s="54" t="s">
        <x:v>117</x:v>
      </x:c>
      <x:c r="I15" s="58">
        <x:f>6600+12400+4900+5500+11800+27200</x:f>
        <x:v>68400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7</x:v>
      </x:c>
      <x:c r="D16" s="180" t="s">
        <x:v>128</x:v>
      </x:c>
      <x:c r="E16" s="181"/>
      <x:c r="F16" s="178">
        <x:v>24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SUM('1:23'!$C$16)</x:f>
        <x:v>138</x:v>
      </x:c>
      <x:c r="D17" s="172"/>
      <x:c r="E17" s="173"/>
      <x:c r="F17" s="179">
        <x:f>SUM('1:23'!$F$16)</x:f>
        <x:v>412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52</x:v>
      </x:c>
      <x:c r="D18" s="180" t="s">
        <x:v>141</x:v>
      </x:c>
      <x:c r="E18" s="181"/>
      <x:c r="F18" s="188">
        <x:v>17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SUM('1:23'!$C$18)</x:f>
        <x:v>855</x:v>
      </x:c>
      <x:c r="D19" s="172"/>
      <x:c r="E19" s="173"/>
      <x:c r="F19" s="179">
        <x:f>SUM('1:23'!$F$18)</x:f>
        <x:v>334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78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SUM('1:23'!$F$20)</x:f>
        <x:v>1466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1133588</x:v>
      </x:c>
      <x:c r="J23" s="61" t="s">
        <x:v>130</x:v>
      </x:c>
      <x:c r="K23" s="62">
        <x:f>SUM(K4:K22)</x:f>
        <x:v>26693.548387096773</x:v>
      </x:c>
      <x:c r="M23" s="90" t="s">
        <x:v>104</x:v>
      </x:c>
      <x:c r="N23" s="175">
        <x:f>C5+C6</x:f>
        <x:v>698000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0.18945232723322469</x:v>
      </x:c>
      <x:c r="J24" s="61" t="s">
        <x:v>8</x:v>
      </x:c>
      <x:c r="K24" s="63">
        <x:f>K23/A25</x:f>
        <x:v>0.0044611930119657014</x:v>
      </x:c>
    </x:row>
    <x:row r="25" spans="1:11" ht="34.149999999999999" customHeight="1">
      <x:c r="A25" s="204">
        <x:f>C2</x:f>
        <x:v>5983500</x:v>
      </x:c>
      <x:c r="B25" s="168"/>
      <x:c r="C25" s="168">
        <x:f>E25/I1</x:f>
        <x:v>4355308.6956521738</x:v>
      </x:c>
      <x:c r="D25" s="168"/>
      <x:c r="E25" s="168">
        <x:f>SUM('1:23'!$A$25)</x:f>
        <x:v>100172100</x:v>
      </x:c>
      <x:c r="F25" s="168"/>
      <x:c r="G25" s="168"/>
      <x:c r="H25" s="109" t="s">
        <x:v>42</x:v>
      </x:c>
      <x:c r="I25" s="110">
        <x:f>SUM('1:23'!$I$21)</x:f>
        <x:v>0</x:v>
      </x:c>
      <x:c r="J25" s="61" t="s">
        <x:v>42</x:v>
      </x:c>
      <x:c r="K25" s="62">
        <x:f>SUM('1:23'!$K$21)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771741.93548387103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0.12897834636648633</x:v>
      </x:c>
      <x:c r="M28" s="66" t="s">
        <x:v>72</x:v>
      </x:c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SUM('1:23'!$I$25)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107.66206186256478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O34"/>
  <x:sheetViews>
    <x:sheetView topLeftCell="A16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24</x:v>
      </x:c>
      <x:c r="G1" s="68" t="s">
        <x:v>18</x:v>
      </x:c>
      <x:c r="H1" s="52" t="s">
        <x:v>134</x:v>
      </x:c>
      <x:c r="I1" s="52">
        <x:f>F1-K1</x:f>
        <x:v>24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4555000</x:v>
      </x:c>
      <x:c r="D2" s="167"/>
      <x:c r="E2" s="170" t="s">
        <x:v>49</x:v>
      </x:c>
      <x:c r="F2" s="171"/>
      <x:c r="G2" s="159">
        <x:v>173000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3860000</x:v>
      </x:c>
      <x:c r="D4" s="154"/>
      <x:c r="E4" s="169" t="s">
        <x:v>159</x:v>
      </x:c>
      <x:c r="F4" s="169"/>
      <x:c r="G4" s="135">
        <x:f>INT(C4*0.0275)</x:f>
        <x:v>106150</x:v>
      </x:c>
      <x:c r="H4" s="54" t="s">
        <x:v>20</x:v>
      </x:c>
      <x:c r="I4" s="126">
        <x:f>477600+221400+397110+227687+560976+904000</x:f>
        <x:v>2788773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695000</x:v>
      </x:c>
      <x:c r="D5" s="154"/>
      <x:c r="E5" s="153" t="s">
        <x:v>81</x:v>
      </x:c>
      <x:c r="F5" s="153"/>
      <x:c r="G5" s="135">
        <x:f>INT(C5*0.01)</x:f>
        <x:v>6950</x:v>
      </x:c>
      <x:c r="H5" s="54" t="s">
        <x:v>6</x:v>
      </x:c>
      <x:c r="I5" s="126">
        <x:f>23650+88968+40700+72160+48300+51200+22260+13600+8530</x:f>
        <x:v>369368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680000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188000</x:v>
      </x:c>
      <x:c r="D8" s="154"/>
      <x:c r="E8" s="180" t="s">
        <x:v>121</x:v>
      </x:c>
      <x:c r="F8" s="181"/>
      <x:c r="G8" s="186">
        <x:f>C5+G2-G6-C22</x:f>
        <x:v>188000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17</x:v>
      </x:c>
      <x:c r="D12" s="180" t="s">
        <x:v>144</x:v>
      </x:c>
      <x:c r="E12" s="181"/>
      <x:c r="F12" s="184">
        <x:v>11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SUM('1:24'!$C$12)</x:f>
        <x:v>417</x:v>
      </x:c>
      <x:c r="D13" s="172"/>
      <x:c r="E13" s="173"/>
      <x:c r="F13" s="182">
        <x:f>SUM('1:24'!$F$12)</x:f>
        <x:v>283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65</x:v>
      </x:c>
      <x:c r="D14" s="180" t="s">
        <x:v>106</x:v>
      </x:c>
      <x:c r="E14" s="181"/>
      <x:c r="F14" s="184">
        <x:v>20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SUM('1:24'!$C$14)</x:f>
        <x:v>994</x:v>
      </x:c>
      <x:c r="D15" s="172"/>
      <x:c r="E15" s="173"/>
      <x:c r="F15" s="182">
        <x:f>SUM('1:24'!$F$14)</x:f>
        <x:v>493</x:v>
      </x:c>
      <x:c r="G15" s="183"/>
      <x:c r="H15" s="54" t="s">
        <x:v>117</x:v>
      </x:c>
      <x:c r="I15" s="58">
        <x:v>169600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8</x:v>
      </x:c>
      <x:c r="D16" s="180" t="s">
        <x:v>128</x:v>
      </x:c>
      <x:c r="E16" s="181"/>
      <x:c r="F16" s="178">
        <x:v>22</x:v>
      </x:c>
      <x:c r="G16" s="178"/>
      <x:c r="H16" s="54"/>
      <x:c r="I16" s="58"/>
      <x:c r="J16" s="54" t="s">
        <x:v>108</x:v>
      </x:c>
      <x:c r="K16" s="58">
        <x:v>117200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SUM('1:24'!$C$16)</x:f>
        <x:v>146</x:v>
      </x:c>
      <x:c r="D17" s="172"/>
      <x:c r="E17" s="173"/>
      <x:c r="F17" s="179">
        <x:f>SUM('1:24'!$F$16)</x:f>
        <x:v>434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37</x:v>
      </x:c>
      <x:c r="D18" s="180" t="s">
        <x:v>141</x:v>
      </x:c>
      <x:c r="E18" s="181"/>
      <x:c r="F18" s="188">
        <x:v>17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SUM('1:24'!$C$18)</x:f>
        <x:v>892</x:v>
      </x:c>
      <x:c r="D19" s="172"/>
      <x:c r="E19" s="173"/>
      <x:c r="F19" s="179">
        <x:f>SUM('1:24'!$F$18)</x:f>
        <x:v>351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61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SUM('1:24'!$F$20)</x:f>
        <x:v>1527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3327741</x:v>
      </x:c>
      <x:c r="J23" s="61" t="s">
        <x:v>130</x:v>
      </x:c>
      <x:c r="K23" s="62">
        <x:f>SUM(K4:K22)</x:f>
        <x:v>131393.54838709679</x:v>
      </x:c>
      <x:c r="M23" s="90" t="s">
        <x:v>104</x:v>
      </x:c>
      <x:c r="N23" s="175">
        <x:f>C5+C6</x:f>
        <x:v>695000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0.73056882546652036</x:v>
      </x:c>
      <x:c r="J24" s="61" t="s">
        <x:v>8</x:v>
      </x:c>
      <x:c r="K24" s="63">
        <x:f>K23/A25</x:f>
        <x:v>0.028846004036684258</x:v>
      </x:c>
    </x:row>
    <x:row r="25" spans="1:11" ht="34.149999999999999" customHeight="1">
      <x:c r="A25" s="204">
        <x:f>C2</x:f>
        <x:v>4555000</x:v>
      </x:c>
      <x:c r="B25" s="168"/>
      <x:c r="C25" s="168">
        <x:f>E25/I1</x:f>
        <x:v>4363629.166666667</x:v>
      </x:c>
      <x:c r="D25" s="168"/>
      <x:c r="E25" s="168">
        <x:f>SUM('1:24'!$A$25)</x:f>
        <x:v>104727100</x:v>
      </x:c>
      <x:c r="F25" s="168"/>
      <x:c r="G25" s="168"/>
      <x:c r="H25" s="109" t="s">
        <x:v>42</x:v>
      </x:c>
      <x:c r="I25" s="110">
        <x:f>SUM('1:24'!$I$21)</x:f>
        <x:v>0</x:v>
      </x:c>
      <x:c r="J25" s="61" t="s">
        <x:v>42</x:v>
      </x:c>
      <x:c r="K25" s="62">
        <x:f>SUM('1:24'!$K$21)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758241.93548387103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0.16646365213696401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SUM('1:24'!$I$25)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109.57891421156749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130000</x:v>
      </x:c>
      <x:c r="G31" s="203"/>
    </x:row>
    <x:row r="32" spans="1:7" customHeight="1">
      <x:c r="A32" s="315"/>
      <x:c r="B32" s="54" t="s">
        <x:v>37</x:v>
      </x:c>
      <x:c r="C32" s="200">
        <x:f>14000*4.5</x:f>
        <x:v>63000</x:v>
      </x:c>
      <x:c r="D32" s="201"/>
      <x:c r="E32" s="55" t="s">
        <x:v>149</x:v>
      </x:c>
      <x:c r="F32" s="202"/>
      <x:c r="G32" s="203"/>
    </x:row>
    <x:row r="33" spans="1:4" customHeight="1">
      <x:c r="A33" s="315"/>
      <x:c r="B33" s="54" t="s">
        <x:v>21</x:v>
      </x:c>
      <x:c r="C33" s="200">
        <x:f>13000*7.5</x:f>
        <x:v>97500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1:G31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2:G32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O34"/>
  <x:sheetViews>
    <x:sheetView topLeftCell="A28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25</x:v>
      </x:c>
      <x:c r="G1" s="68" t="s">
        <x:v>19</x:v>
      </x:c>
      <x:c r="H1" s="52" t="s">
        <x:v>134</x:v>
      </x:c>
      <x:c r="I1" s="52">
        <x:f>F1-K1</x:f>
        <x:v>25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4465000</x:v>
      </x:c>
      <x:c r="D2" s="167"/>
      <x:c r="E2" s="170" t="s">
        <x:v>49</x:v>
      </x:c>
      <x:c r="F2" s="171"/>
      <x:c r="G2" s="159">
        <x:v>188000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3715000</x:v>
      </x:c>
      <x:c r="D4" s="154"/>
      <x:c r="E4" s="169" t="s">
        <x:v>159</x:v>
      </x:c>
      <x:c r="F4" s="169"/>
      <x:c r="G4" s="135">
        <x:f>INT(C4*0.0275)</x:f>
        <x:v>102162</x:v>
      </x:c>
      <x:c r="H4" s="54" t="s">
        <x:v>20</x:v>
      </x:c>
      <x:c r="I4" s="126"/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750000</x:v>
      </x:c>
      <x:c r="D5" s="154"/>
      <x:c r="E5" s="153" t="s">
        <x:v>81</x:v>
      </x:c>
      <x:c r="F5" s="153"/>
      <x:c r="G5" s="135">
        <x:f>INT(C5*0.01)</x:f>
        <x:v>7500</x:v>
      </x:c>
      <x:c r="H5" s="54" t="s">
        <x:v>6</x:v>
      </x:c>
      <x:c r="I5" s="126"/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810000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128000</x:v>
      </x:c>
      <x:c r="D8" s="154"/>
      <x:c r="E8" s="180" t="s">
        <x:v>121</x:v>
      </x:c>
      <x:c r="F8" s="181"/>
      <x:c r="G8" s="186">
        <x:f>C5+G2-G6-C22</x:f>
        <x:v>128000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23</x:v>
      </x:c>
      <x:c r="D12" s="180" t="s">
        <x:v>144</x:v>
      </x:c>
      <x:c r="E12" s="181"/>
      <x:c r="F12" s="184">
        <x:v>8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SUM('1:25'!$C$12)</x:f>
        <x:v>440</x:v>
      </x:c>
      <x:c r="D13" s="172"/>
      <x:c r="E13" s="173"/>
      <x:c r="F13" s="182">
        <x:f>SUM('1:25'!$F$12)</x:f>
        <x:v>291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73</x:v>
      </x:c>
      <x:c r="D14" s="180" t="s">
        <x:v>106</x:v>
      </x:c>
      <x:c r="E14" s="181"/>
      <x:c r="F14" s="184">
        <x:v>20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SUM('1:25'!$C$14)</x:f>
        <x:v>1067</x:v>
      </x:c>
      <x:c r="D15" s="172"/>
      <x:c r="E15" s="173"/>
      <x:c r="F15" s="182">
        <x:f>SUM('1:25'!$F$14)</x:f>
        <x:v>513</x:v>
      </x:c>
      <x:c r="G15" s="183"/>
      <x:c r="H15" s="54" t="s">
        <x:v>117</x:v>
      </x:c>
      <x:c r="I15" s="58"/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10</x:v>
      </x:c>
      <x:c r="D16" s="180" t="s">
        <x:v>128</x:v>
      </x:c>
      <x:c r="E16" s="181"/>
      <x:c r="F16" s="178">
        <x:v>12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SUM('1:25'!$C$16)</x:f>
        <x:v>156</x:v>
      </x:c>
      <x:c r="D17" s="172"/>
      <x:c r="E17" s="173"/>
      <x:c r="F17" s="179">
        <x:f>SUM('1:25'!$F$16)</x:f>
        <x:v>446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38</x:v>
      </x:c>
      <x:c r="D18" s="180" t="s">
        <x:v>141</x:v>
      </x:c>
      <x:c r="E18" s="181"/>
      <x:c r="F18" s="188">
        <x:v>11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SUM('1:25'!$C$18)</x:f>
        <x:v>930</x:v>
      </x:c>
      <x:c r="D19" s="172"/>
      <x:c r="E19" s="173"/>
      <x:c r="F19" s="179">
        <x:f>SUM('1:25'!$F$18)</x:f>
        <x:v>362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59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SUM('1:25'!$F$20)</x:f>
        <x:v>1586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0</x:v>
      </x:c>
      <x:c r="J23" s="61" t="s">
        <x:v>130</x:v>
      </x:c>
      <x:c r="K23" s="62">
        <x:f>SUM(K4:K22)</x:f>
        <x:v>14193.548387096775</x:v>
      </x:c>
      <x:c r="M23" s="90" t="s">
        <x:v>104</x:v>
      </x:c>
      <x:c r="N23" s="175">
        <x:f>C5+C6</x:f>
        <x:v>750000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</x:v>
      </x:c>
      <x:c r="J24" s="61" t="s">
        <x:v>8</x:v>
      </x:c>
      <x:c r="K24" s="63">
        <x:f>K23/A25</x:f>
        <x:v>0.0031788462233139471</x:v>
      </x:c>
    </x:row>
    <x:row r="25" spans="1:11" ht="34.149999999999999" customHeight="1">
      <x:c r="A25" s="204">
        <x:f>C2</x:f>
        <x:v>4465000</x:v>
      </x:c>
      <x:c r="B25" s="168"/>
      <x:c r="C25" s="168">
        <x:f>E25/I1</x:f>
        <x:v>4367684</x:v>
      </x:c>
      <x:c r="D25" s="168"/>
      <x:c r="E25" s="168">
        <x:f>SUM('1:25'!$A$25)</x:f>
        <x:v>109192100</x:v>
      </x:c>
      <x:c r="F25" s="168"/>
      <x:c r="G25" s="168"/>
      <x:c r="H25" s="109" t="s">
        <x:v>42</x:v>
      </x:c>
      <x:c r="I25" s="110">
        <x:f>SUM('1:25'!$I$21)</x:f>
        <x:v>0</x:v>
      </x:c>
      <x:c r="J25" s="61" t="s">
        <x:v>42</x:v>
      </x:c>
      <x:c r="K25" s="62">
        <x:f>SUM('1:25'!$K$21)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719741.93548387103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0.16119640212404726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SUM('1:25'!$I$25)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 t="s">
        <x:v>23</x:v>
      </x:c>
      <x:c r="F30" s="202"/>
      <x:c r="G30" s="203"/>
      <x:c r="H30" s="113" t="s">
        <x:v>139</x:v>
      </x:c>
      <x:c r="I30" s="115">
        <x:f>I29/$I$27</x:f>
        <x:v>115.44044316959483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130000</x:v>
      </x:c>
      <x:c r="G31" s="203"/>
    </x:row>
    <x:row r="32" spans="1:7" customHeight="1">
      <x:c r="A32" s="315"/>
      <x:c r="B32" s="54" t="s">
        <x:v>37</x:v>
      </x:c>
      <x:c r="C32" s="200">
        <x:f>14000*5</x:f>
        <x:v>70000</x:v>
      </x:c>
      <x:c r="D32" s="201"/>
      <x:c r="E32" s="55" t="s">
        <x:v>149</x:v>
      </x:c>
      <x:c r="F32" s="202"/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O34"/>
  <x:sheetViews>
    <x:sheetView topLeftCell="A28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1.75" style="53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26</x:v>
      </x:c>
      <x:c r="G1" s="68" t="s">
        <x:v>58</x:v>
      </x:c>
      <x:c r="H1" s="52" t="s">
        <x:v>134</x:v>
      </x:c>
      <x:c r="I1" s="52">
        <x:f>F1-K1</x:f>
        <x:v>26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4160500</x:v>
      </x:c>
      <x:c r="D2" s="167"/>
      <x:c r="E2" s="170" t="s">
        <x:v>49</x:v>
      </x:c>
      <x:c r="F2" s="171"/>
      <x:c r="G2" s="159">
        <x:v>128000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3854500</x:v>
      </x:c>
      <x:c r="D4" s="154"/>
      <x:c r="E4" s="169" t="s">
        <x:v>159</x:v>
      </x:c>
      <x:c r="F4" s="169"/>
      <x:c r="G4" s="135">
        <x:f>INT(C4*0.0275)</x:f>
        <x:v>105998</x:v>
      </x:c>
      <x:c r="H4" s="54" t="s">
        <x:v>20</x:v>
      </x:c>
      <x:c r="I4" s="126">
        <x:f>452000+221400+211792+155950+284274</x:f>
        <x:v>1325416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306000</x:v>
      </x:c>
      <x:c r="D5" s="154"/>
      <x:c r="E5" s="153" t="s">
        <x:v>81</x:v>
      </x:c>
      <x:c r="F5" s="153"/>
      <x:c r="G5" s="135">
        <x:f>INT(C5*0.01)</x:f>
        <x:v>3060</x:v>
      </x:c>
      <x:c r="H5" s="54" t="s">
        <x:v>6</x:v>
      </x:c>
      <x:c r="I5" s="126">
        <x:f>48300+25600+20130+6430+9770+102900+30300</x:f>
        <x:v>243430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300000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>
        <x:v>744940</x:v>
      </x:c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134000</x:v>
      </x:c>
      <x:c r="D8" s="154"/>
      <x:c r="E8" s="180" t="s">
        <x:v>121</x:v>
      </x:c>
      <x:c r="F8" s="181"/>
      <x:c r="G8" s="186">
        <x:f>C5+G2-G6-C22</x:f>
        <x:v>134000</x:v>
      </x:c>
      <x:c r="H8" s="54" t="s">
        <x:v>54</x:v>
      </x:c>
      <x:c r="I8" s="126">
        <x:v>56000</x:v>
      </x:c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>
        <x:v>6000</x:v>
      </x:c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16</x:v>
      </x:c>
      <x:c r="D12" s="180" t="s">
        <x:v>144</x:v>
      </x:c>
      <x:c r="E12" s="181"/>
      <x:c r="F12" s="184">
        <x:v>2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SUM('1:26'!$C$12)</x:f>
        <x:v>456</x:v>
      </x:c>
      <x:c r="D13" s="172"/>
      <x:c r="E13" s="173"/>
      <x:c r="F13" s="182">
        <x:f>SUM('1:26'!$F$12)</x:f>
        <x:v>293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42</x:v>
      </x:c>
      <x:c r="D14" s="180" t="s">
        <x:v>106</x:v>
      </x:c>
      <x:c r="E14" s="181"/>
      <x:c r="F14" s="184">
        <x:v>23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SUM('1:26'!$C$14)</x:f>
        <x:v>1109</x:v>
      </x:c>
      <x:c r="D15" s="172"/>
      <x:c r="E15" s="173"/>
      <x:c r="F15" s="182">
        <x:f>SUM('1:26'!$F$14)</x:f>
        <x:v>536</x:v>
      </x:c>
      <x:c r="G15" s="183"/>
      <x:c r="H15" s="54" t="s">
        <x:v>117</x:v>
      </x:c>
      <x:c r="I15" s="58">
        <x:f>19200+5500+6300+57600+3200+2200+9000+3500+52000+6200+4000+12500</x:f>
        <x:v>181200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10</x:v>
      </x:c>
      <x:c r="D16" s="180" t="s">
        <x:v>128</x:v>
      </x:c>
      <x:c r="E16" s="181"/>
      <x:c r="F16" s="178">
        <x:v>3</x:v>
      </x:c>
      <x:c r="G16" s="178"/>
      <x:c r="H16" s="54"/>
      <x:c r="I16" s="58"/>
      <x:c r="J16" s="54" t="s">
        <x:v>108</x:v>
      </x:c>
      <x:c r="K16" s="58">
        <x:v>23200</x:v>
      </x:c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SUM('1:26'!$C$16)</x:f>
        <x:v>166</x:v>
      </x:c>
      <x:c r="D17" s="172"/>
      <x:c r="E17" s="173"/>
      <x:c r="F17" s="179">
        <x:f>SUM('1:26'!$F$16)</x:f>
        <x:v>449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28</x:v>
      </x:c>
      <x:c r="D18" s="180" t="s">
        <x:v>141</x:v>
      </x:c>
      <x:c r="E18" s="181"/>
      <x:c r="F18" s="188">
        <x:v>11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SUM('1:26'!$C$18)</x:f>
        <x:v>958</x:v>
      </x:c>
      <x:c r="D19" s="172"/>
      <x:c r="E19" s="173"/>
      <x:c r="F19" s="179">
        <x:f>SUM('1:26'!$F$18)</x:f>
        <x:v>373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66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SUM('1:26'!$F$20)</x:f>
        <x:v>1652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2550986</x:v>
      </x:c>
      <x:c r="J23" s="61" t="s">
        <x:v>130</x:v>
      </x:c>
      <x:c r="K23" s="62">
        <x:f>SUM(K4:K22)</x:f>
        <x:v>43393.548387096773</x:v>
      </x:c>
      <x:c r="M23" s="90" t="s">
        <x:v>104</x:v>
      </x:c>
      <x:c r="N23" s="175">
        <x:f>C5+C6</x:f>
        <x:v>306000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0.61314409325802188</x:v>
      </x:c>
      <x:c r="J24" s="61" t="s">
        <x:v>8</x:v>
      </x:c>
      <x:c r="K24" s="63">
        <x:f>K23/A25</x:f>
        <x:v>0.010429887846916662</x:v>
      </x:c>
    </x:row>
    <x:row r="25" spans="1:11" ht="34.149999999999999" customHeight="1">
      <x:c r="A25" s="204">
        <x:f>C2</x:f>
        <x:v>4160500</x:v>
      </x:c>
      <x:c r="B25" s="168"/>
      <x:c r="C25" s="354">
        <x:f>E25/I1</x:f>
        <x:v>4359715.384615385</x:v>
      </x:c>
      <x:c r="D25" s="168"/>
      <x:c r="E25" s="168">
        <x:f>SUM('1:26'!$A$25)</x:f>
        <x:v>113352600</x:v>
      </x:c>
      <x:c r="F25" s="168"/>
      <x:c r="G25" s="168"/>
      <x:c r="H25" s="109" t="s">
        <x:v>42</x:v>
      </x:c>
      <x:c r="I25" s="110">
        <x:f>SUM('1:26'!$I$21)</x:f>
        <x:v>0</x:v>
      </x:c>
      <x:c r="J25" s="61" t="s">
        <x:v>42</x:v>
      </x:c>
      <x:c r="K25" s="62">
        <x:f>SUM('1:26'!$K$21)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875741.93548387103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0.21048958910800891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SUM('1:26'!$I$25)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94.876498010903191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/>
      <x:c r="D33" s="201"/>
    </x:row>
    <x:row r="34" spans="1:4" customHeight="1">
      <x:c r="A34" s="316"/>
      <x:c r="B34" s="54" t="s">
        <x:v>31</x:v>
      </x:c>
      <x:c r="C34" s="202">
        <x:f>13000*12</x:f>
        <x:v>156000</x:v>
      </x:c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O34"/>
  <x:sheetViews>
    <x:sheetView topLeftCell="A25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27</x:v>
      </x:c>
      <x:c r="G1" s="68" t="s">
        <x:v>71</x:v>
      </x:c>
      <x:c r="H1" s="52" t="s">
        <x:v>134</x:v>
      </x:c>
      <x:c r="I1" s="52">
        <x:f>F1-K1</x:f>
        <x:v>27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4729000</x:v>
      </x:c>
      <x:c r="D2" s="167"/>
      <x:c r="E2" s="170" t="s">
        <x:v>49</x:v>
      </x:c>
      <x:c r="F2" s="171"/>
      <x:c r="G2" s="159">
        <x:v>134000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4331000</x:v>
      </x:c>
      <x:c r="D4" s="154"/>
      <x:c r="E4" s="169" t="s">
        <x:v>159</x:v>
      </x:c>
      <x:c r="F4" s="169"/>
      <x:c r="G4" s="135">
        <x:f>INT(C4*0.0275)</x:f>
        <x:v>119102</x:v>
      </x:c>
      <x:c r="H4" s="54" t="s">
        <x:v>20</x:v>
      </x:c>
      <x:c r="I4" s="126">
        <x:f>216000+206119+285012+477600+30650+10</x:f>
        <x:v>1215391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398000</x:v>
      </x:c>
      <x:c r="D5" s="154"/>
      <x:c r="E5" s="153" t="s">
        <x:v>81</x:v>
      </x:c>
      <x:c r="F5" s="153"/>
      <x:c r="G5" s="135">
        <x:f>INT(C5*0.01)</x:f>
        <x:v>3980</x:v>
      </x:c>
      <x:c r="H5" s="54" t="s">
        <x:v>6</x:v>
      </x:c>
      <x:c r="I5" s="126">
        <x:f>60500+34540+43120+59312+40700+36080+20130+6430</x:f>
        <x:v>300812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420000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112000</x:v>
      </x:c>
      <x:c r="D8" s="154"/>
      <x:c r="E8" s="180" t="s">
        <x:v>121</x:v>
      </x:c>
      <x:c r="F8" s="181"/>
      <x:c r="G8" s="186">
        <x:f>C5+G2-G6-C22</x:f>
        <x:v>112000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12</x:v>
      </x:c>
      <x:c r="D12" s="180" t="s">
        <x:v>144</x:v>
      </x:c>
      <x:c r="E12" s="181"/>
      <x:c r="F12" s="184">
        <x:v>6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SUM('1:27'!$C$12)</x:f>
        <x:v>468</x:v>
      </x:c>
      <x:c r="D13" s="172"/>
      <x:c r="E13" s="173"/>
      <x:c r="F13" s="182">
        <x:f>SUM('1:27'!$F$12)</x:f>
        <x:v>299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42</x:v>
      </x:c>
      <x:c r="D14" s="180" t="s">
        <x:v>106</x:v>
      </x:c>
      <x:c r="E14" s="181"/>
      <x:c r="F14" s="184">
        <x:v>16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SUM('1:27'!$C$14)</x:f>
        <x:v>1151</x:v>
      </x:c>
      <x:c r="D15" s="172"/>
      <x:c r="E15" s="173"/>
      <x:c r="F15" s="182">
        <x:f>SUM('1:27'!$F$14)</x:f>
        <x:v>552</x:v>
      </x:c>
      <x:c r="G15" s="183"/>
      <x:c r="H15" s="54" t="s">
        <x:v>117</x:v>
      </x:c>
      <x:c r="I15" s="58">
        <x:f>4900+5500+26000+36000+3500+8500</x:f>
        <x:v>84400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13</x:v>
      </x:c>
      <x:c r="D16" s="180" t="s">
        <x:v>128</x:v>
      </x:c>
      <x:c r="E16" s="181"/>
      <x:c r="F16" s="178">
        <x:v>20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SUM('1:27'!$C$16)</x:f>
        <x:v>179</x:v>
      </x:c>
      <x:c r="D17" s="172"/>
      <x:c r="E17" s="173"/>
      <x:c r="F17" s="179">
        <x:f>SUM('1:27'!$F$16)</x:f>
        <x:v>469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37</x:v>
      </x:c>
      <x:c r="D18" s="180" t="s">
        <x:v>141</x:v>
      </x:c>
      <x:c r="E18" s="181"/>
      <x:c r="F18" s="188">
        <x:v>18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SUM('1:27'!$C$18)</x:f>
        <x:v>995</x:v>
      </x:c>
      <x:c r="D19" s="172"/>
      <x:c r="E19" s="173"/>
      <x:c r="F19" s="179">
        <x:f>SUM('1:27'!$F$18)</x:f>
        <x:v>391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56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SUM('1:27'!$F$20)</x:f>
        <x:v>1708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1600603</x:v>
      </x:c>
      <x:c r="J23" s="61" t="s">
        <x:v>130</x:v>
      </x:c>
      <x:c r="K23" s="62">
        <x:f>SUM(K4:K22)</x:f>
        <x:v>14193.548387096775</x:v>
      </x:c>
      <x:c r="M23" s="90" t="s">
        <x:v>104</x:v>
      </x:c>
      <x:c r="N23" s="175">
        <x:f>C5+C6</x:f>
        <x:v>398000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0.33846542609431168</x:v>
      </x:c>
      <x:c r="J24" s="61" t="s">
        <x:v>8</x:v>
      </x:c>
      <x:c r="K24" s="63">
        <x:f>K23/A25</x:f>
        <x:v>0.0030013847297730547</x:v>
      </x:c>
    </x:row>
    <x:row r="25" spans="1:11" ht="34.149999999999999" customHeight="1">
      <x:c r="A25" s="204">
        <x:f>C2</x:f>
        <x:v>4729000</x:v>
      </x:c>
      <x:c r="B25" s="168"/>
      <x:c r="C25" s="168">
        <x:f>E25/I1</x:f>
        <x:v>4373392.5925925924</x:v>
      </x:c>
      <x:c r="D25" s="168"/>
      <x:c r="E25" s="168">
        <x:f>SUM('1:27'!$A$25)</x:f>
        <x:v>118081600</x:v>
      </x:c>
      <x:c r="F25" s="168"/>
      <x:c r="G25" s="168"/>
      <x:c r="H25" s="109" t="s">
        <x:v>42</x:v>
      </x:c>
      <x:c r="I25" s="110">
        <x:f>SUM('1:27'!$I$21)</x:f>
        <x:v>0</x:v>
      </x:c>
      <x:c r="J25" s="61" t="s">
        <x:v>42</x:v>
      </x:c>
      <x:c r="K25" s="62">
        <x:f>SUM('1:27'!$K$21)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823741.93548387103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0.174189455589738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SUM('1:27'!$I$25)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100.86572556390976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>
        <x:v>132000</x:v>
      </x:c>
      <x:c r="G32" s="203"/>
    </x:row>
    <x:row r="33" spans="1:4" customHeight="1">
      <x:c r="A33" s="315"/>
      <x:c r="B33" s="54" t="s">
        <x:v>21</x:v>
      </x:c>
      <x:c r="C33" s="200"/>
      <x:c r="D33" s="201"/>
    </x:row>
    <x:row r="34" spans="1:4" customHeight="1">
      <x:c r="A34" s="316"/>
      <x:c r="B34" s="54" t="s">
        <x:v>31</x:v>
      </x:c>
      <x:c r="C34" s="202">
        <x:f>13000*8</x:f>
        <x:v>104000</x:v>
      </x:c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O34"/>
  <x:sheetViews>
    <x:sheetView topLeftCell="A22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28</x:v>
      </x:c>
      <x:c r="G1" s="68" t="s">
        <x:v>34</x:v>
      </x:c>
      <x:c r="H1" s="52" t="s">
        <x:v>134</x:v>
      </x:c>
      <x:c r="I1" s="52">
        <x:f>F1-K1</x:f>
        <x:v>28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3852000</x:v>
      </x:c>
      <x:c r="D2" s="167"/>
      <x:c r="E2" s="170" t="s">
        <x:v>49</x:v>
      </x:c>
      <x:c r="F2" s="171"/>
      <x:c r="G2" s="159">
        <x:v>112000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3420000</x:v>
      </x:c>
      <x:c r="D4" s="154"/>
      <x:c r="E4" s="169" t="s">
        <x:v>159</x:v>
      </x:c>
      <x:c r="F4" s="169"/>
      <x:c r="G4" s="135">
        <x:f>INT(C4*0.0275)</x:f>
        <x:v>94050</x:v>
      </x:c>
      <x:c r="H4" s="54" t="s">
        <x:v>20</x:v>
      </x:c>
      <x:c r="I4" s="126">
        <x:f>56220+477600+226800+155950</x:f>
        <x:v>916570</x:v>
      </x:c>
      <x:c r="J4" s="83" t="s">
        <x:v>45</x:v>
      </x:c>
      <x:c r="K4" s="58">
        <x:f>276000</x:f>
        <x:v>276000</x:v>
      </x:c>
    </x:row>
    <x:row r="5" spans="1:11" ht="30.949999999999999" customHeight="1">
      <x:c r="A5" s="161" t="s">
        <x:v>70</x:v>
      </x:c>
      <x:c r="B5" s="162"/>
      <x:c r="C5" s="154">
        <x:v>432000</x:v>
      </x:c>
      <x:c r="D5" s="154"/>
      <x:c r="E5" s="153" t="s">
        <x:v>81</x:v>
      </x:c>
      <x:c r="F5" s="153"/>
      <x:c r="G5" s="135">
        <x:f>INT(C5*0.01)</x:f>
        <x:v>4320</x:v>
      </x:c>
      <x:c r="H5" s="54" t="s">
        <x:v>6</x:v>
      </x:c>
      <x:c r="I5" s="126">
        <x:f>48300+25600+6930+16320</x:f>
        <x:v>97150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420000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>
        <x:f>311500-34000</x:f>
        <x:v>277500</x:v>
      </x:c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124000</x:v>
      </x:c>
      <x:c r="D8" s="154"/>
      <x:c r="E8" s="180" t="s">
        <x:v>121</x:v>
      </x:c>
      <x:c r="F8" s="181"/>
      <x:c r="G8" s="186">
        <x:f>C5+G2-G6-C22</x:f>
        <x:v>124000</x:v>
      </x:c>
      <x:c r="H8" s="54" t="s">
        <x:v>54</x:v>
      </x:c>
      <x:c r="I8" s="126">
        <x:v>56000</x:v>
      </x:c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>
        <x:v>100000</x:v>
      </x:c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18</x:v>
      </x:c>
      <x:c r="D12" s="180" t="s">
        <x:v>144</x:v>
      </x:c>
      <x:c r="E12" s="181"/>
      <x:c r="F12" s="184">
        <x:v>6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SUM('1:28'!$C$12)</x:f>
        <x:v>486</x:v>
      </x:c>
      <x:c r="D13" s="172"/>
      <x:c r="E13" s="173"/>
      <x:c r="F13" s="182">
        <x:f>SUM('1:28'!$F$12)</x:f>
        <x:v>305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43</x:v>
      </x:c>
      <x:c r="D14" s="180" t="s">
        <x:v>106</x:v>
      </x:c>
      <x:c r="E14" s="181"/>
      <x:c r="F14" s="184">
        <x:v>18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SUM('1:28'!$C$14)</x:f>
        <x:v>1194</x:v>
      </x:c>
      <x:c r="D15" s="172"/>
      <x:c r="E15" s="173"/>
      <x:c r="F15" s="182">
        <x:f>SUM('1:28'!$F$14)</x:f>
        <x:v>570</x:v>
      </x:c>
      <x:c r="G15" s="183"/>
      <x:c r="H15" s="54" t="s">
        <x:v>117</x:v>
      </x:c>
      <x:c r="I15" s="58">
        <x:f>6600+19200+23600+57600+10500+13800</x:f>
        <x:v>131300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1</x:v>
      </x:c>
      <x:c r="D16" s="180" t="s">
        <x:v>128</x:v>
      </x:c>
      <x:c r="E16" s="181"/>
      <x:c r="F16" s="178">
        <x:v>11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SUM('1:28'!$C$16)</x:f>
        <x:v>180</x:v>
      </x:c>
      <x:c r="D17" s="172"/>
      <x:c r="E17" s="173"/>
      <x:c r="F17" s="179">
        <x:f>SUM('1:28'!$F$16)</x:f>
        <x:v>480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31</x:v>
      </x:c>
      <x:c r="D18" s="180" t="s">
        <x:v>141</x:v>
      </x:c>
      <x:c r="E18" s="181"/>
      <x:c r="F18" s="188">
        <x:v>7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SUM('1:28'!$C$18)</x:f>
        <x:v>1026</x:v>
      </x:c>
      <x:c r="D19" s="172"/>
      <x:c r="E19" s="173"/>
      <x:c r="F19" s="179">
        <x:f>SUM('1:28'!$F$18)</x:f>
        <x:v>398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66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SUM('1:28'!$F$20)</x:f>
        <x:v>1774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1578520</x:v>
      </x:c>
      <x:c r="J23" s="61" t="s">
        <x:v>130</x:v>
      </x:c>
      <x:c r="K23" s="62">
        <x:f>SUM(K4:K22)</x:f>
        <x:v>290193.54838709679</x:v>
      </x:c>
      <x:c r="M23" s="90" t="s">
        <x:v>104</x:v>
      </x:c>
      <x:c r="N23" s="175">
        <x:f>C5+C6</x:f>
        <x:v>432000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0.40979231568016616</x:v>
      </x:c>
      <x:c r="J24" s="61" t="s">
        <x:v>8</x:v>
      </x:c>
      <x:c r="K24" s="63">
        <x:f>K23/A25</x:f>
        <x:v>0.075335812146182968</x:v>
      </x:c>
    </x:row>
    <x:row r="25" spans="1:11" ht="34.149999999999999" customHeight="1">
      <x:c r="A25" s="204">
        <x:f>C2</x:f>
        <x:v>3852000</x:v>
      </x:c>
      <x:c r="B25" s="168"/>
      <x:c r="C25" s="168">
        <x:f>E25/I1</x:f>
        <x:v>4354771.4285714282</x:v>
      </x:c>
      <x:c r="D25" s="168"/>
      <x:c r="E25" s="168">
        <x:f>SUM('1:28'!$A$25)</x:f>
        <x:v>121933600</x:v>
      </x:c>
      <x:c r="F25" s="168"/>
      <x:c r="G25" s="168"/>
      <x:c r="H25" s="109" t="s">
        <x:v>42</x:v>
      </x:c>
      <x:c r="I25" s="110">
        <x:f>SUM('1:28'!$I$21)</x:f>
        <x:v>0</x:v>
      </x:c>
      <x:c r="J25" s="61" t="s">
        <x:v>42</x:v>
      </x:c>
      <x:c r="K25" s="62">
        <x:f>SUM('1:28'!$K$21)</x:f>
        <x:v>0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795741.93548387103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0.2065789032928014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 t="s">
        <x:v>23</x:v>
      </x:c>
      <x:c r="F29" s="154"/>
      <x:c r="G29" s="154"/>
      <x:c r="H29" s="113" t="s">
        <x:v>42</x:v>
      </x:c>
      <x:c r="I29" s="114">
        <x:f>SUM('1:28'!$I$25)</x:f>
        <x:v>83087328</x:v>
      </x:c>
      <x:c r="M29" s="66"/>
    </x:row>
    <x:row r="30" spans="1:13" ht="30.949999999999999" customHeight="1">
      <x:c r="A30" s="315"/>
      <x:c r="B30" s="54"/>
      <x:c r="C30" s="168"/>
      <x:c r="D30" s="168"/>
      <x:c r="E30" s="55" t="s">
        <x:v>23</x:v>
      </x:c>
      <x:c r="F30" s="202"/>
      <x:c r="G30" s="203"/>
      <x:c r="H30" s="113" t="s">
        <x:v>139</x:v>
      </x:c>
      <x:c r="I30" s="115">
        <x:f>I29/$I$27</x:f>
        <x:v>104.41491681530728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/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 t="s">
        <x:v>31</x:v>
      </x:c>
      <x:c r="C34" s="202">
        <x:f>13000*12</x:f>
        <x:v>156000</x:v>
      </x:c>
      <x:c r="D34" s="203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D14:E15"/>
    <x:mergeCell ref="B12:B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B18:B19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A1:O34"/>
  <x:sheetViews>
    <x:sheetView topLeftCell="A13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29</x:v>
      </x:c>
      <x:c r="G1" s="68" t="s">
        <x:v>59</x:v>
      </x:c>
      <x:c r="H1" s="52" t="s">
        <x:v>134</x:v>
      </x:c>
      <x:c r="I1" s="52">
        <x:f>F1-K1</x:f>
        <x:v>29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4539500</x:v>
      </x:c>
      <x:c r="D2" s="167"/>
      <x:c r="E2" s="170" t="s">
        <x:v>49</x:v>
      </x:c>
      <x:c r="F2" s="171"/>
      <x:c r="G2" s="159">
        <x:v>124000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4018500</x:v>
      </x:c>
      <x:c r="D4" s="154"/>
      <x:c r="E4" s="169" t="s">
        <x:v>159</x:v>
      </x:c>
      <x:c r="F4" s="169"/>
      <x:c r="G4" s="135">
        <x:f>INT(C4*0.0275)</x:f>
        <x:v>110508</x:v>
      </x:c>
      <x:c r="H4" s="54" t="s">
        <x:v>20</x:v>
      </x:c>
      <x:c r="I4" s="126">
        <x:f>30650+216000+213683+10+285012</x:f>
        <x:v>745355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521000</x:v>
      </x:c>
      <x:c r="D5" s="154"/>
      <x:c r="E5" s="153" t="s">
        <x:v>81</x:v>
      </x:c>
      <x:c r="F5" s="153"/>
      <x:c r="G5" s="135">
        <x:f>INT(C5*0.01)</x:f>
        <x:v>5210</x:v>
      </x:c>
      <x:c r="H5" s="54" t="s">
        <x:v>6</x:v>
      </x:c>
      <x:c r="I5" s="126">
        <x:f>20130+14600+23650+29656+36080</x:f>
        <x:v>124116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550000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95000</x:v>
      </x:c>
      <x:c r="D8" s="154"/>
      <x:c r="E8" s="180" t="s">
        <x:v>121</x:v>
      </x:c>
      <x:c r="F8" s="181"/>
      <x:c r="G8" s="186">
        <x:f>C5+G2-G6-C22</x:f>
        <x:v>95000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/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13</x:v>
      </x:c>
      <x:c r="D12" s="180" t="s">
        <x:v>144</x:v>
      </x:c>
      <x:c r="E12" s="181"/>
      <x:c r="F12" s="184">
        <x:v>21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SUM('1:29'!$C$12)</x:f>
        <x:v>499</x:v>
      </x:c>
      <x:c r="D13" s="172"/>
      <x:c r="E13" s="173"/>
      <x:c r="F13" s="182">
        <x:f>SUM('1:29'!$F$12)</x:f>
        <x:v>326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26</x:v>
      </x:c>
      <x:c r="D14" s="180" t="s">
        <x:v>106</x:v>
      </x:c>
      <x:c r="E14" s="181"/>
      <x:c r="F14" s="184">
        <x:v>20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SUM('1:29'!$C$14)</x:f>
        <x:v>1220</x:v>
      </x:c>
      <x:c r="D15" s="172"/>
      <x:c r="E15" s="173"/>
      <x:c r="F15" s="182">
        <x:f>SUM('1:29'!$F$14)</x:f>
        <x:v>590</x:v>
      </x:c>
      <x:c r="G15" s="183"/>
      <x:c r="H15" s="54" t="s">
        <x:v>117</x:v>
      </x:c>
      <x:c r="I15" s="58">
        <x:f>19200+10500+9800+6200+5500+13500+21600+3150+3500+3200+52000+11800+3500+1200+2500</x:f>
        <x:v>167150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3</x:v>
      </x:c>
      <x:c r="D16" s="180" t="s">
        <x:v>128</x:v>
      </x:c>
      <x:c r="E16" s="181"/>
      <x:c r="F16" s="178">
        <x:v>10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SUM('1:29'!$C$16)</x:f>
        <x:v>183</x:v>
      </x:c>
      <x:c r="D17" s="172"/>
      <x:c r="E17" s="173"/>
      <x:c r="F17" s="179">
        <x:f>SUM('1:29'!$F$16)</x:f>
        <x:v>490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21</x:v>
      </x:c>
      <x:c r="D18" s="180" t="s">
        <x:v>141</x:v>
      </x:c>
      <x:c r="E18" s="181"/>
      <x:c r="F18" s="188">
        <x:v>19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SUM('1:29'!$C$18)</x:f>
        <x:v>1047</x:v>
      </x:c>
      <x:c r="D19" s="172"/>
      <x:c r="E19" s="173"/>
      <x:c r="F19" s="179">
        <x:f>SUM('1:29'!$F$18)</x:f>
        <x:v>417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65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SUM('1:29'!$F$20)</x:f>
        <x:v>1839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1036621</x:v>
      </x:c>
      <x:c r="J23" s="61" t="s">
        <x:v>130</x:v>
      </x:c>
      <x:c r="K23" s="62">
        <x:f>SUM(K4:K22)</x:f>
        <x:v>14193.548387096775</x:v>
      </x:c>
      <x:c r="M23" s="90" t="s">
        <x:v>104</x:v>
      </x:c>
      <x:c r="N23" s="175">
        <x:f>C5+C6</x:f>
        <x:v>521000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0.22835576605353011</x:v>
      </x:c>
      <x:c r="J24" s="61" t="s">
        <x:v>8</x:v>
      </x:c>
      <x:c r="K24" s="63">
        <x:f>K23/A25</x:f>
        <x:v>0.0031266765914961503</x:v>
      </x:c>
    </x:row>
    <x:row r="25" spans="1:11" ht="34.149999999999999" customHeight="1">
      <x:c r="A25" s="204">
        <x:f>C2</x:f>
        <x:v>4539500</x:v>
      </x:c>
      <x:c r="B25" s="168"/>
      <x:c r="C25" s="168">
        <x:f>E25/I1</x:f>
        <x:v>4361141.3793103453</x:v>
      </x:c>
      <x:c r="D25" s="168"/>
      <x:c r="E25" s="168">
        <x:f>SUM('1:29'!$A$25)</x:f>
        <x:v>126473100</x:v>
      </x:c>
      <x:c r="F25" s="168"/>
      <x:c r="G25" s="168"/>
      <x:c r="H25" s="109" t="s">
        <x:v>42</x:v>
      </x:c>
      <x:c r="I25" s="110">
        <x:f>SUM('1:29'!$I$21)</x:f>
        <x:v>0</x:v>
      </x:c>
      <x:c r="J25" s="61" t="s">
        <x:v>42</x:v>
      </x:c>
      <x:c r="K25" s="62">
        <x:f>SUM('1:29'!$K$23)</x:f>
        <x:v>3660629.9032258056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</x:v>
      </x:c>
      <x:c r="J26" s="64" t="s">
        <x:v>139</x:v>
      </x:c>
      <x:c r="K26" s="65">
        <x:f>K25/$E$25</x:f>
        <x:v>0.028943940673754383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795741.93548387103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0.17529285945233419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SUM('1:29'!$I$27)</x:f>
        <x:v>21660516.129032269</x:v>
      </x:c>
      <x:c r="M29" s="66"/>
    </x:row>
    <x:row r="30" spans="1:13" ht="30.949999999999999" customHeight="1">
      <x:c r="A30" s="315"/>
      <x:c r="B30" s="54"/>
      <x:c r="C30" s="168"/>
      <x:c r="D30" s="168"/>
      <x:c r="E30" s="55"/>
      <x:c r="F30" s="202"/>
      <x:c r="G30" s="203"/>
      <x:c r="H30" s="113" t="s">
        <x:v>139</x:v>
      </x:c>
      <x:c r="I30" s="115">
        <x:f>I29/$I$27</x:f>
        <x:v>27.220528620074603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/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 t="s">
        <x:v>31</x:v>
      </x:c>
      <x:c r="C34" s="202">
        <x:f>13000*12</x:f>
        <x:v>156000</x:v>
      </x:c>
      <x:c r="D34" s="203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B16:B17"/>
    <x:mergeCell ref="D16:E17"/>
    <x:mergeCell ref="F16:G16"/>
    <x:mergeCell ref="F17:G17"/>
    <x:mergeCell ref="B18:B19"/>
    <x:mergeCell ref="D18:E19"/>
    <x:mergeCell ref="F18:G18"/>
    <x:mergeCell ref="F19:G19"/>
    <x:mergeCell ref="B14:B15"/>
    <x:mergeCell ref="D14:E15"/>
    <x:mergeCell ref="F14:G14"/>
    <x:mergeCell ref="F15:G15"/>
    <x:mergeCell ref="B12:B13"/>
    <x:mergeCell ref="D12:E13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O34"/>
  <x:sheetViews>
    <x:sheetView topLeftCell="A16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30</x:v>
      </x:c>
      <x:c r="G1" s="68" t="s">
        <x:v>33</x:v>
      </x:c>
      <x:c r="H1" s="52" t="s">
        <x:v>134</x:v>
      </x:c>
      <x:c r="I1" s="52">
        <x:f>F1-K1</x:f>
        <x:v>30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5509500</x:v>
      </x:c>
      <x:c r="D2" s="167"/>
      <x:c r="E2" s="170" t="s">
        <x:v>49</x:v>
      </x:c>
      <x:c r="F2" s="171"/>
      <x:c r="G2" s="159">
        <x:v>95000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3830500</x:v>
      </x:c>
      <x:c r="D4" s="154"/>
      <x:c r="E4" s="169" t="s">
        <x:v>159</x:v>
      </x:c>
      <x:c r="F4" s="169"/>
      <x:c r="G4" s="135">
        <x:f>INT(C4*0.0275)</x:f>
        <x:v>105338</x:v>
      </x:c>
      <x:c r="H4" s="54" t="s">
        <x:v>20</x:v>
      </x:c>
      <x:c r="I4" s="126">
        <x:f>452000+216000+143474</x:f>
        <x:v>811474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1679000</x:v>
      </x:c>
      <x:c r="D5" s="154"/>
      <x:c r="E5" s="153" t="s">
        <x:v>81</x:v>
      </x:c>
      <x:c r="F5" s="153"/>
      <x:c r="G5" s="135">
        <x:f>INT(C5*0.01)</x:f>
        <x:v>16790</x:v>
      </x:c>
      <x:c r="H5" s="54" t="s">
        <x:v>6</x:v>
      </x:c>
      <x:c r="I5" s="126">
        <x:f>48300+25600+20130+6930+18300</x:f>
        <x:v>119260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1502000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>
        <x:v>752500</x:v>
      </x:c>
      <x:c r="J7" s="83" t="s">
        <x:v>127</x:v>
      </x:c>
      <x:c r="K7" s="58"/>
    </x:row>
    <x:row r="8" spans="1:11" ht="21.949999999999999" customHeight="1">
      <x:c r="A8" s="152" t="s">
        <x:v>145</x:v>
      </x:c>
      <x:c r="B8" s="153"/>
      <x:c r="C8" s="154">
        <x:v>272000</x:v>
      </x:c>
      <x:c r="D8" s="154"/>
      <x:c r="E8" s="180" t="s">
        <x:v>121</x:v>
      </x:c>
      <x:c r="F8" s="181"/>
      <x:c r="G8" s="186">
        <x:f>C5+G2-G6-C22</x:f>
        <x:v>272000</x:v>
      </x:c>
      <x:c r="H8" s="54" t="s">
        <x:v>54</x:v>
      </x:c>
      <x:c r="I8" s="126">
        <x:v>112000</x:v>
      </x:c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/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 t="s">
        <x:v>77</x:v>
      </x:c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16</x:v>
      </x:c>
      <x:c r="D12" s="180" t="s">
        <x:v>144</x:v>
      </x:c>
      <x:c r="E12" s="181"/>
      <x:c r="F12" s="184">
        <x:v>11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SUM('1:30'!$C$12)</x:f>
        <x:v>515</x:v>
      </x:c>
      <x:c r="D13" s="172"/>
      <x:c r="E13" s="173"/>
      <x:c r="F13" s="182">
        <x:f>SUM('1:30'!$F$12)</x:f>
        <x:v>337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29</x:v>
      </x:c>
      <x:c r="D14" s="180" t="s">
        <x:v>106</x:v>
      </x:c>
      <x:c r="E14" s="181"/>
      <x:c r="F14" s="184">
        <x:v>28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SUM('1:30'!$C$14)</x:f>
        <x:v>1249</x:v>
      </x:c>
      <x:c r="D15" s="172"/>
      <x:c r="E15" s="173"/>
      <x:c r="F15" s="182">
        <x:f>SUM('1:30'!$F$14)</x:f>
        <x:v>618</x:v>
      </x:c>
      <x:c r="G15" s="183"/>
      <x:c r="H15" s="54" t="s">
        <x:v>117</x:v>
      </x:c>
      <x:c r="I15" s="58">
        <x:f>19200+4900+5500+36000+26000+7800+11800</x:f>
        <x:v>111200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3</x:v>
      </x:c>
      <x:c r="D16" s="180" t="s">
        <x:v>128</x:v>
      </x:c>
      <x:c r="E16" s="181"/>
      <x:c r="F16" s="178">
        <x:v>39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SUM('1:30'!$C$16)</x:f>
        <x:v>186</x:v>
      </x:c>
      <x:c r="D17" s="172"/>
      <x:c r="E17" s="173"/>
      <x:c r="F17" s="179">
        <x:f>SUM('1:30'!$F$16)</x:f>
        <x:v>529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44</x:v>
      </x:c>
      <x:c r="D18" s="180" t="s">
        <x:v>141</x:v>
      </x:c>
      <x:c r="E18" s="181"/>
      <x:c r="F18" s="188">
        <x:v>19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SUM('1:30'!$C$18)</x:f>
        <x:v>1091</x:v>
      </x:c>
      <x:c r="D19" s="172"/>
      <x:c r="E19" s="173"/>
      <x:c r="F19" s="179">
        <x:f>SUM('1:30'!$F$18)</x:f>
        <x:v>436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73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SUM('1:30'!$F$20)</x:f>
        <x:v>1912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1906434</x:v>
      </x:c>
      <x:c r="J23" s="61" t="s">
        <x:v>130</x:v>
      </x:c>
      <x:c r="K23" s="62">
        <x:f>SUM(K4:K22)</x:f>
        <x:v>14193.548387096775</x:v>
      </x:c>
      <x:c r="M23" s="90" t="s">
        <x:v>104</x:v>
      </x:c>
      <x:c r="N23" s="175">
        <x:f>C5+C6</x:f>
        <x:v>1679000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0.34602668118704055</x:v>
      </x:c>
      <x:c r="J24" s="61" t="s">
        <x:v>8</x:v>
      </x:c>
      <x:c r="K24" s="63">
        <x:f>K23/A25</x:f>
        <x:v>0.0025761953692888238</x:v>
      </x:c>
    </x:row>
    <x:row r="25" spans="1:11" ht="34.149999999999999" customHeight="1">
      <x:c r="A25" s="204">
        <x:f>C2</x:f>
        <x:v>5509500</x:v>
      </x:c>
      <x:c r="B25" s="168"/>
      <x:c r="C25" s="168">
        <x:f>E25/I1</x:f>
        <x:v>4399420</x:v>
      </x:c>
      <x:c r="D25" s="168"/>
      <x:c r="E25" s="168">
        <x:f>SUM('1:30'!$A$25)</x:f>
        <x:v>131982600</x:v>
      </x:c>
      <x:c r="F25" s="168"/>
      <x:c r="G25" s="168"/>
      <x:c r="H25" s="109" t="s">
        <x:v>42</x:v>
      </x:c>
      <x:c r="I25" s="110">
        <x:f>SUM('1:30'!$I$23)</x:f>
        <x:v>48881477</x:v>
      </x:c>
      <x:c r="J25" s="61" t="s">
        <x:v>42</x:v>
      </x:c>
      <x:c r="K25" s="62">
        <x:f>SUM('1:30'!$K$23)</x:f>
        <x:v>3674823.4516129023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0.37036304027955202</x:v>
      </x:c>
      <x:c r="J26" s="64" t="s">
        <x:v>139</x:v>
      </x:c>
      <x:c r="K26" s="65">
        <x:f>K25/$E$25</x:f>
        <x:v>0.027843241848644461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795741.93548387103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0.14443088038549251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SUM('1:30'!$I$27)</x:f>
        <x:v>22456258.064516142</x:v>
      </x:c>
      <x:c r="M29" s="66"/>
    </x:row>
    <x:row r="30" spans="1:13" ht="30.949999999999999" customHeight="1">
      <x:c r="A30" s="315"/>
      <x:c r="B30" s="54"/>
      <x:c r="C30" s="168"/>
      <x:c r="D30" s="168"/>
      <x:c r="E30" s="55" t="s">
        <x:v>149</x:v>
      </x:c>
      <x:c r="F30" s="202"/>
      <x:c r="G30" s="203"/>
      <x:c r="H30" s="113" t="s">
        <x:v>139</x:v>
      </x:c>
      <x:c r="I30" s="115">
        <x:f>I29/$I$27</x:f>
        <x:v>28.220528620074603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120000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/>
      <x:c r="G32" s="203"/>
    </x:row>
    <x:row r="33" spans="1:4" customHeight="1">
      <x:c r="A33" s="315"/>
      <x:c r="B33" s="54" t="s">
        <x:v>21</x:v>
      </x:c>
      <x:c r="C33" s="200">
        <x:f>13000*4</x:f>
        <x:v>52000</x:v>
      </x:c>
      <x:c r="D33" s="201"/>
    </x:row>
    <x:row r="34" spans="1:4" customHeight="1">
      <x:c r="A34" s="316"/>
      <x:c r="B34" s="54" t="s">
        <x:v>31</x:v>
      </x:c>
      <x:c r="C34" s="202">
        <x:f>13000*12</x:f>
        <x:v>156000</x:v>
      </x:c>
      <x:c r="D34" s="203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B16:B17"/>
    <x:mergeCell ref="D16:E17"/>
    <x:mergeCell ref="F16:G16"/>
    <x:mergeCell ref="F17:G17"/>
    <x:mergeCell ref="B18:B19"/>
    <x:mergeCell ref="D18:E19"/>
    <x:mergeCell ref="F18:G18"/>
    <x:mergeCell ref="F19:G19"/>
    <x:mergeCell ref="B14:B15"/>
    <x:mergeCell ref="D14:E15"/>
    <x:mergeCell ref="F14:G14"/>
    <x:mergeCell ref="F15:G15"/>
    <x:mergeCell ref="B12:B13"/>
    <x:mergeCell ref="D12:E13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3"/>
  <x:dimension ref="A1:O34"/>
  <x:sheetViews>
    <x:sheetView topLeftCell="A22" zoomScale="85" zoomScaleNormal="85" zoomScaleSheetLayoutView="75" workbookViewId="0">
      <x:selection activeCell="B33" activeCellId="0" sqref="B33:B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136</x:v>
      </x:c>
      <x:c r="D1" s="68"/>
      <x:c r="E1" s="68">
        <x:v>5</x:v>
      </x:c>
      <x:c r="F1" s="68">
        <x:v>31</x:v>
      </x:c>
      <x:c r="G1" s="68" t="s">
        <x:v>30</x:v>
      </x:c>
      <x:c r="H1" s="52" t="s">
        <x:v>134</x:v>
      </x:c>
      <x:c r="I1" s="52">
        <x:f>F1-K1</x:f>
        <x:v>31</x:v>
      </x:c>
      <x:c r="J1" s="52" t="s">
        <x:v>109</x:v>
      </x:c>
      <x:c r="K1" s="52"/>
    </x:row>
    <x:row r="2" spans="1:11" ht="20.100000000000001" customHeight="1">
      <x:c r="A2" s="163" t="s">
        <x:v>9</x:v>
      </x:c>
      <x:c r="B2" s="164"/>
      <x:c r="C2" s="167">
        <x:f>SUM(C4:D7)</x:f>
        <x:v>2788000</x:v>
      </x:c>
      <x:c r="D2" s="167"/>
      <x:c r="E2" s="170" t="s">
        <x:v>49</x:v>
      </x:c>
      <x:c r="F2" s="171"/>
      <x:c r="G2" s="159">
        <x:v>272000</x:v>
      </x:c>
      <x:c r="H2" s="157" t="s">
        <x:v>6</x:v>
      </x:c>
      <x:c r="I2" s="158"/>
      <x:c r="J2" s="155" t="s">
        <x:v>85</x:v>
      </x:c>
      <x:c r="K2" s="156"/>
    </x:row>
    <x:row r="3" spans="1:11" ht="20.100000000000001" customHeight="1">
      <x:c r="A3" s="165"/>
      <x:c r="B3" s="166"/>
      <x:c r="C3" s="168"/>
      <x:c r="D3" s="168"/>
      <x:c r="E3" s="172"/>
      <x:c r="F3" s="173"/>
      <x:c r="G3" s="160"/>
      <x:c r="H3" s="54" t="s">
        <x:v>32</x:v>
      </x:c>
      <x:c r="I3" s="56" t="s">
        <x:v>48</x:v>
      </x:c>
      <x:c r="J3" s="57" t="s">
        <x:v>32</x:v>
      </x:c>
      <x:c r="K3" s="56" t="s">
        <x:v>48</x:v>
      </x:c>
    </x:row>
    <x:row r="4" spans="1:11" ht="30.949999999999999" customHeight="1">
      <x:c r="A4" s="161" t="s">
        <x:v>22</x:v>
      </x:c>
      <x:c r="B4" s="162"/>
      <x:c r="C4" s="154">
        <x:v>2064000</x:v>
      </x:c>
      <x:c r="D4" s="154"/>
      <x:c r="E4" s="169" t="s">
        <x:v>159</x:v>
      </x:c>
      <x:c r="F4" s="169"/>
      <x:c r="G4" s="135">
        <x:f>INT(C4*0.0275)</x:f>
        <x:v>56760</x:v>
      </x:c>
      <x:c r="H4" s="54" t="s">
        <x:v>20</x:v>
      </x:c>
      <x:c r="I4" s="126">
        <x:f>56220+452000+216000+159069+291798</x:f>
        <x:v>1175087</x:v>
      </x:c>
      <x:c r="J4" s="83" t="s">
        <x:v>45</x:v>
      </x:c>
      <x:c r="K4" s="58"/>
    </x:row>
    <x:row r="5" spans="1:11" ht="30.949999999999999" customHeight="1">
      <x:c r="A5" s="161" t="s">
        <x:v>70</x:v>
      </x:c>
      <x:c r="B5" s="162"/>
      <x:c r="C5" s="154">
        <x:v>724000</x:v>
      </x:c>
      <x:c r="D5" s="154"/>
      <x:c r="E5" s="153" t="s">
        <x:v>81</x:v>
      </x:c>
      <x:c r="F5" s="153"/>
      <x:c r="G5" s="135">
        <x:f>INT(C5*0.01)</x:f>
        <x:v>7240</x:v>
      </x:c>
      <x:c r="H5" s="54" t="s">
        <x:v>6</x:v>
      </x:c>
      <x:c r="I5" s="126">
        <x:v>36000</x:v>
      </x:c>
      <x:c r="J5" s="83"/>
      <x:c r="K5" s="58"/>
    </x:row>
    <x:row r="6" spans="1:11" ht="21.949999999999999" customHeight="1">
      <x:c r="A6" s="148" t="s">
        <x:v>95</x:v>
      </x:c>
      <x:c r="B6" s="149"/>
      <x:c r="C6" s="193"/>
      <x:c r="D6" s="194"/>
      <x:c r="E6" s="180" t="s">
        <x:v>142</x:v>
      </x:c>
      <x:c r="F6" s="181"/>
      <x:c r="G6" s="174">
        <x:v>800000</x:v>
      </x:c>
      <x:c r="H6" s="54"/>
      <x:c r="I6" s="126"/>
      <x:c r="J6" s="83" t="s">
        <x:v>138</x:v>
      </x:c>
      <x:c r="K6" s="58"/>
    </x:row>
    <x:row r="7" spans="1:11" ht="21.949999999999999" customHeight="1">
      <x:c r="A7" s="150"/>
      <x:c r="B7" s="151"/>
      <x:c r="C7" s="195"/>
      <x:c r="D7" s="196"/>
      <x:c r="E7" s="172"/>
      <x:c r="F7" s="173"/>
      <x:c r="G7" s="160"/>
      <x:c r="H7" s="54" t="s">
        <x:v>25</x:v>
      </x:c>
      <x:c r="I7" s="126"/>
      <x:c r="J7" s="83" t="s">
        <x:v>127</x:v>
      </x:c>
      <x:c r="K7" s="58">
        <x:v>12500</x:v>
      </x:c>
    </x:row>
    <x:row r="8" spans="1:11" ht="21.949999999999999" customHeight="1">
      <x:c r="A8" s="152" t="s">
        <x:v>145</x:v>
      </x:c>
      <x:c r="B8" s="153"/>
      <x:c r="C8" s="154"/>
      <x:c r="D8" s="154"/>
      <x:c r="E8" s="180" t="s">
        <x:v>121</x:v>
      </x:c>
      <x:c r="F8" s="181"/>
      <x:c r="G8" s="186">
        <x:f>C5+G2-G6-C22</x:f>
        <x:v>196000</x:v>
      </x:c>
      <x:c r="H8" s="54" t="s">
        <x:v>54</x:v>
      </x:c>
      <x:c r="I8" s="126"/>
      <x:c r="J8" s="83"/>
      <x:c r="K8" s="58"/>
    </x:row>
    <x:row r="9" spans="1:11" ht="21.949999999999999" customHeight="1">
      <x:c r="A9" s="152"/>
      <x:c r="B9" s="153"/>
      <x:c r="C9" s="154"/>
      <x:c r="D9" s="154"/>
      <x:c r="E9" s="172"/>
      <x:c r="F9" s="173"/>
      <x:c r="G9" s="187"/>
      <x:c r="H9" s="54"/>
      <x:c r="I9" s="126"/>
      <x:c r="J9" s="54" t="s">
        <x:v>16</x:v>
      </x:c>
      <x:c r="K9" s="58"/>
    </x:row>
    <x:row r="10" spans="1:11" ht="30.949999999999999" customHeight="1">
      <x:c r="A10" s="152" t="s">
        <x:v>155</x:v>
      </x:c>
      <x:c r="B10" s="153"/>
      <x:c r="C10" s="154">
        <x:v>85000</x:v>
      </x:c>
      <x:c r="D10" s="154"/>
      <x:c r="E10" s="153" t="s">
        <x:v>98</x:v>
      </x:c>
      <x:c r="F10" s="153"/>
      <x:c r="G10" s="55"/>
      <x:c r="H10" s="54"/>
      <x:c r="I10" s="126"/>
      <x:c r="J10" s="54" t="s">
        <x:v>62</x:v>
      </x:c>
      <x:c r="K10" s="58"/>
    </x:row>
    <x:row r="11" spans="1:11" ht="33" customHeight="1">
      <x:c r="A11" s="152" t="s">
        <x:v>114</x:v>
      </x:c>
      <x:c r="B11" s="153"/>
      <x:c r="C11" s="192" t="s">
        <x:v>158</x:v>
      </x:c>
      <x:c r="D11" s="192"/>
      <x:c r="E11" s="192"/>
      <x:c r="F11" s="192"/>
      <x:c r="G11" s="192"/>
      <x:c r="H11" s="54" t="s">
        <x:v>67</x:v>
      </x:c>
      <x:c r="I11" s="58"/>
      <x:c r="J11" s="54" t="s">
        <x:v>93</x:v>
      </x:c>
      <x:c r="K11" s="137">
        <x:f>440000/31</x:f>
        <x:v>14193.548387096775</x:v>
      </x:c>
    </x:row>
    <x:row r="12" spans="1:13" ht="21.949999999999999" customHeight="1">
      <x:c r="A12" s="59" t="s">
        <x:v>57</x:v>
      </x:c>
      <x:c r="B12" s="190" t="s">
        <x:v>51</x:v>
      </x:c>
      <x:c r="C12" s="81">
        <x:v>14</x:v>
      </x:c>
      <x:c r="D12" s="180" t="s">
        <x:v>144</x:v>
      </x:c>
      <x:c r="E12" s="181"/>
      <x:c r="F12" s="184">
        <x:v>5</x:v>
      </x:c>
      <x:c r="G12" s="185"/>
      <x:c r="H12" s="54" t="s">
        <x:v>113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107</x:v>
      </x:c>
      <x:c r="B13" s="191"/>
      <x:c r="C13" s="136">
        <x:f>SUM('1:31'!$C$12)</x:f>
        <x:v>529</x:v>
      </x:c>
      <x:c r="D13" s="172"/>
      <x:c r="E13" s="173"/>
      <x:c r="F13" s="182">
        <x:f>SUM('1:31'!$F$12)</x:f>
        <x:v>342</x:v>
      </x:c>
      <x:c r="G13" s="183"/>
      <x:c r="H13" s="54" t="s">
        <x:v>137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57</x:v>
      </x:c>
      <x:c r="B14" s="190" t="s">
        <x:v>35</x:v>
      </x:c>
      <x:c r="C14" s="81">
        <x:v>19</x:v>
      </x:c>
      <x:c r="D14" s="180" t="s">
        <x:v>106</x:v>
      </x:c>
      <x:c r="E14" s="181"/>
      <x:c r="F14" s="184">
        <x:v>17</x:v>
      </x:c>
      <x:c r="G14" s="185"/>
      <x:c r="H14" s="54" t="s">
        <x:v>122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107</x:v>
      </x:c>
      <x:c r="B15" s="191"/>
      <x:c r="C15" s="136">
        <x:f>SUM('1:31'!$C$14)</x:f>
        <x:v>1268</x:v>
      </x:c>
      <x:c r="D15" s="172"/>
      <x:c r="E15" s="173"/>
      <x:c r="F15" s="182">
        <x:f>SUM('1:31'!$F$14)</x:f>
        <x:v>635</x:v>
      </x:c>
      <x:c r="G15" s="183"/>
      <x:c r="H15" s="54" t="s">
        <x:v>117</x:v>
      </x:c>
      <x:c r="I15" s="58">
        <x:f>19200+4900+5500+86400+11800+12000+3200+3500+13500+3500+6300+6200+6300+2600</x:f>
        <x:v>184900</x:v>
      </x:c>
      <x:c r="J15" s="54" t="s">
        <x:v>85</x:v>
      </x:c>
      <x:c r="K15" s="58"/>
      <x:c r="L15" s="60"/>
      <x:c r="M15" s="11"/>
    </x:row>
    <x:row r="16" spans="1:13" ht="21.949999999999999" customHeight="1">
      <x:c r="A16" s="59" t="s">
        <x:v>57</x:v>
      </x:c>
      <x:c r="B16" s="190" t="s">
        <x:v>60</x:v>
      </x:c>
      <x:c r="C16" s="81">
        <x:v>5</x:v>
      </x:c>
      <x:c r="D16" s="180" t="s">
        <x:v>128</x:v>
      </x:c>
      <x:c r="E16" s="181"/>
      <x:c r="F16" s="178">
        <x:v>13</x:v>
      </x:c>
      <x:c r="G16" s="178"/>
      <x:c r="H16" s="54"/>
      <x:c r="I16" s="58"/>
      <x:c r="J16" s="54" t="s">
        <x:v>108</x:v>
      </x:c>
      <x:c r="K16" s="58"/>
      <x:c r="L16" s="60"/>
      <x:c r="M16" s="11"/>
    </x:row>
    <x:row r="17" spans="1:13" ht="21.949999999999999" customHeight="1">
      <x:c r="A17" s="59" t="s">
        <x:v>107</x:v>
      </x:c>
      <x:c r="B17" s="191"/>
      <x:c r="C17" s="136">
        <x:f>SUM('1:31'!$C$16)</x:f>
        <x:v>191</x:v>
      </x:c>
      <x:c r="D17" s="172"/>
      <x:c r="E17" s="173"/>
      <x:c r="F17" s="179">
        <x:f>SUM('1:31'!$F$16)</x:f>
        <x:v>542</x:v>
      </x:c>
      <x:c r="G17" s="179"/>
      <x:c r="H17" s="54" t="s">
        <x:v>7</x:v>
      </x:c>
      <x:c r="I17" s="58"/>
      <x:c r="J17" s="54" t="s">
        <x:v>101</x:v>
      </x:c>
      <x:c r="K17" s="58"/>
      <x:c r="L17" s="60"/>
      <x:c r="M17" s="11"/>
    </x:row>
    <x:row r="18" spans="1:13" ht="21.949999999999999" customHeight="1">
      <x:c r="A18" s="59" t="s">
        <x:v>57</x:v>
      </x:c>
      <x:c r="B18" s="190" t="s">
        <x:v>102</x:v>
      </x:c>
      <x:c r="C18" s="81">
        <x:v>31</x:v>
      </x:c>
      <x:c r="D18" s="180" t="s">
        <x:v>141</x:v>
      </x:c>
      <x:c r="E18" s="181"/>
      <x:c r="F18" s="188">
        <x:v>12</x:v>
      </x:c>
      <x:c r="G18" s="189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107</x:v>
      </x:c>
      <x:c r="B19" s="191"/>
      <x:c r="C19" s="136">
        <x:f>SUM('1:31'!$C$18)</x:f>
        <x:v>1122</x:v>
      </x:c>
      <x:c r="D19" s="172"/>
      <x:c r="E19" s="173"/>
      <x:c r="F19" s="179">
        <x:f>SUM('1:31'!$F$18)</x:f>
        <x:v>448</x:v>
      </x:c>
      <x:c r="G19" s="179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153" t="s">
        <x:v>124</x:v>
      </x:c>
      <x:c r="E20" s="153"/>
      <x:c r="F20" s="178">
        <x:v>49</x:v>
      </x:c>
      <x:c r="G20" s="178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153" t="s">
        <x:v>125</x:v>
      </x:c>
      <x:c r="E21" s="153"/>
      <x:c r="F21" s="179">
        <x:f>SUM('1:31'!$F$20)</x:f>
        <x:v>1961</x:v>
      </x:c>
      <x:c r="G21" s="179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152" t="s">
        <x:v>94</x:v>
      </x:c>
      <x:c r="B22" s="153"/>
      <x:c r="C22" s="177"/>
      <x:c r="D22" s="177"/>
      <x:c r="E22" s="177"/>
      <x:c r="F22" s="177"/>
      <x:c r="G22" s="177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152" t="s">
        <x:v>135</x:v>
      </x:c>
      <x:c r="B23" s="153"/>
      <x:c r="C23" s="312"/>
      <x:c r="D23" s="313"/>
      <x:c r="E23" s="313"/>
      <x:c r="F23" s="313"/>
      <x:c r="G23" s="313"/>
      <x:c r="H23" s="109" t="s">
        <x:v>105</x:v>
      </x:c>
      <x:c r="I23" s="110">
        <x:f>SUM(I4:I22)</x:f>
        <x:v>1395987</x:v>
      </x:c>
      <x:c r="J23" s="61" t="s">
        <x:v>130</x:v>
      </x:c>
      <x:c r="K23" s="62">
        <x:f>SUM(K4:K22)</x:f>
        <x:v>26693.548387096773</x:v>
      </x:c>
      <x:c r="M23" s="90" t="s">
        <x:v>104</x:v>
      </x:c>
      <x:c r="N23" s="175">
        <x:f>C5+C6</x:f>
        <x:v>724000</x:v>
      </x:c>
      <x:c r="O23" s="176"/>
    </x:row>
    <x:row r="24" spans="1:11" ht="34.149999999999999" customHeight="1">
      <x:c r="A24" s="152" t="s">
        <x:v>8</x:v>
      </x:c>
      <x:c r="B24" s="153"/>
      <x:c r="C24" s="153" t="s">
        <x:v>97</x:v>
      </x:c>
      <x:c r="D24" s="153"/>
      <x:c r="E24" s="153" t="s">
        <x:v>112</x:v>
      </x:c>
      <x:c r="F24" s="153"/>
      <x:c r="G24" s="153"/>
      <x:c r="H24" s="109" t="s">
        <x:v>8</x:v>
      </x:c>
      <x:c r="I24" s="111">
        <x:f>I23/A25</x:f>
        <x:v>0.50071269727403156</x:v>
      </x:c>
      <x:c r="J24" s="61" t="s">
        <x:v>8</x:v>
      </x:c>
      <x:c r="K24" s="63">
        <x:f>K23/A25</x:f>
        <x:v>0.0095744434673948244</x:v>
      </x:c>
    </x:row>
    <x:row r="25" spans="1:11" ht="34.149999999999999" customHeight="1">
      <x:c r="A25" s="204">
        <x:f>C2</x:f>
        <x:v>2788000</x:v>
      </x:c>
      <x:c r="B25" s="168"/>
      <x:c r="C25" s="168">
        <x:f>E25/I1</x:f>
        <x:v>4347438.7096774196</x:v>
      </x:c>
      <x:c r="D25" s="168"/>
      <x:c r="E25" s="168">
        <x:f>SUM('1:31'!$A$25)</x:f>
        <x:v>134770600</x:v>
      </x:c>
      <x:c r="F25" s="168"/>
      <x:c r="G25" s="168"/>
      <x:c r="H25" s="109" t="s">
        <x:v>42</x:v>
      </x:c>
      <x:c r="I25" s="110">
        <x:f>SUM('1:31'!$I$23)</x:f>
        <x:v>50277464</x:v>
      </x:c>
      <x:c r="J25" s="61" t="s">
        <x:v>42</x:v>
      </x:c>
      <x:c r="K25" s="62">
        <x:f>SUM('1:31'!$K$23)</x:f>
        <x:v>3701516.9999999991</x:v>
      </x:c>
    </x:row>
    <x:row r="26" spans="1:11" ht="34.149999999999999" customHeight="1">
      <x:c r="A26" s="152" t="s">
        <x:v>154</x:v>
      </x:c>
      <x:c r="B26" s="153"/>
      <x:c r="C26" s="153"/>
      <x:c r="D26" s="153"/>
      <x:c r="E26" s="154"/>
      <x:c r="F26" s="154"/>
      <x:c r="G26" s="154"/>
      <x:c r="H26" s="109" t="s">
        <x:v>139</x:v>
      </x:c>
      <x:c r="I26" s="112">
        <x:f>I25/$E$25</x:f>
        <x:v>0.37305958421198687</x:v>
      </x:c>
      <x:c r="J26" s="64" t="s">
        <x:v>139</x:v>
      </x:c>
      <x:c r="K26" s="65">
        <x:f>K25/$E$25</x:f>
        <x:v>0.027465315135496902</x:v>
      </x:c>
    </x:row>
    <x:row r="27" spans="1:13" ht="30.949999999999999" customHeight="1">
      <x:c r="A27" s="314" t="s">
        <x:v>153</x:v>
      </x:c>
      <x:c r="B27" s="54" t="s">
        <x:v>53</x:v>
      </x:c>
      <x:c r="C27" s="168">
        <x:f>4000000/31</x:f>
        <x:v>129032.25806451614</x:v>
      </x:c>
      <x:c r="D27" s="168"/>
      <x:c r="E27" s="55"/>
      <x:c r="F27" s="154"/>
      <x:c r="G27" s="154"/>
      <x:c r="H27" s="113" t="s">
        <x:v>129</x:v>
      </x:c>
      <x:c r="I27" s="114">
        <x:f>SUM(C27:D34,F27:G32)</x:f>
        <x:v>623741.93548387103</x:v>
      </x:c>
      <x:c r="M27" s="66"/>
    </x:row>
    <x:row r="28" spans="1:13" ht="30.949999999999999" customHeight="1">
      <x:c r="A28" s="315"/>
      <x:c r="B28" s="54" t="s">
        <x:v>24</x:v>
      </x:c>
      <x:c r="C28" s="168">
        <x:f>3800000/31</x:f>
        <x:v>122580.64516129032</x:v>
      </x:c>
      <x:c r="D28" s="168"/>
      <x:c r="E28" s="55"/>
      <x:c r="F28" s="207"/>
      <x:c r="G28" s="207"/>
      <x:c r="H28" s="113" t="s">
        <x:v>8</x:v>
      </x:c>
      <x:c r="I28" s="115">
        <x:f>I27/$A$25</x:f>
        <x:v>0.22372379321516178</x:v>
      </x:c>
      <x:c r="M28" s="66"/>
    </x:row>
    <x:row r="29" spans="1:13" ht="30.949999999999999" customHeight="1">
      <x:c r="A29" s="315"/>
      <x:c r="B29" s="54" t="s">
        <x:v>56</x:v>
      </x:c>
      <x:c r="C29" s="168">
        <x:f>3200000/31</x:f>
        <x:v>103225.80645161291</x:v>
      </x:c>
      <x:c r="D29" s="168"/>
      <x:c r="E29" s="55"/>
      <x:c r="F29" s="154"/>
      <x:c r="G29" s="154"/>
      <x:c r="H29" s="113" t="s">
        <x:v>42</x:v>
      </x:c>
      <x:c r="I29" s="114">
        <x:f>SUM('1:31'!$I$27)</x:f>
        <x:v>23080000.000000015</x:v>
      </x:c>
      <x:c r="M29" s="66"/>
    </x:row>
    <x:row r="30" spans="1:13" ht="30.949999999999999" customHeight="1">
      <x:c r="A30" s="315"/>
      <x:c r="B30" s="54"/>
      <x:c r="C30" s="168"/>
      <x:c r="D30" s="168"/>
      <x:c r="E30" s="55" t="s">
        <x:v>149</x:v>
      </x:c>
      <x:c r="F30" s="202"/>
      <x:c r="G30" s="203"/>
      <x:c r="H30" s="113" t="s">
        <x:v>139</x:v>
      </x:c>
      <x:c r="I30" s="115">
        <x:f>I29/$I$27</x:f>
        <x:v>37.00248241621847</x:v>
      </x:c>
      <x:c r="M30" s="66"/>
    </x:row>
    <x:row r="31" spans="1:7" customHeight="1">
      <x:c r="A31" s="315"/>
      <x:c r="B31" s="54" t="s">
        <x:v>50</x:v>
      </x:c>
      <x:c r="C31" s="205">
        <x:f>3500000/31</x:f>
        <x:v>112903.22580645161</x:v>
      </x:c>
      <x:c r="D31" s="206"/>
      <x:c r="E31" s="55" t="s">
        <x:v>4</x:v>
      </x:c>
      <x:c r="F31" s="202">
        <x:v>130000</x:v>
      </x:c>
      <x:c r="G31" s="203"/>
    </x:row>
    <x:row r="32" spans="1:7" customHeight="1">
      <x:c r="A32" s="315"/>
      <x:c r="B32" s="54" t="s">
        <x:v>37</x:v>
      </x:c>
      <x:c r="C32" s="200"/>
      <x:c r="D32" s="201"/>
      <x:c r="E32" s="55" t="s">
        <x:v>149</x:v>
      </x:c>
      <x:c r="F32" s="202"/>
      <x:c r="G32" s="203"/>
    </x:row>
    <x:row r="33" spans="1:4" customHeight="1">
      <x:c r="A33" s="315"/>
      <x:c r="B33" s="54" t="s">
        <x:v>21</x:v>
      </x:c>
      <x:c r="C33" s="200">
        <x:f>13000*2</x:f>
        <x:v>26000</x:v>
      </x:c>
      <x:c r="D33" s="201"/>
    </x:row>
    <x:row r="34" spans="1:4" customHeight="1">
      <x:c r="A34" s="316"/>
      <x:c r="B34" s="54"/>
      <x:c r="C34" s="202"/>
      <x:c r="D34" s="203"/>
    </x:row>
  </x:sheetData>
  <x:mergeCells count="74">
    <x:mergeCell ref="J2:K2"/>
    <x:mergeCell ref="F32:G32"/>
    <x:mergeCell ref="A2:B3"/>
    <x:mergeCell ref="C2:D3"/>
    <x:mergeCell ref="E2:F3"/>
    <x:mergeCell ref="G2:G3"/>
    <x:mergeCell ref="H2:I2"/>
    <x:mergeCell ref="A4:B4"/>
    <x:mergeCell ref="C4:D4"/>
    <x:mergeCell ref="E4:F4"/>
    <x:mergeCell ref="A5:B5"/>
    <x:mergeCell ref="C5:D5"/>
    <x:mergeCell ref="E5:F5"/>
    <x:mergeCell ref="B12:B13"/>
    <x:mergeCell ref="D12:E13"/>
    <x:mergeCell ref="F12:G12"/>
    <x:mergeCell ref="F13:G13"/>
    <x:mergeCell ref="A6:B7"/>
    <x:mergeCell ref="C6:D7"/>
    <x:mergeCell ref="E6:F7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C11:G11"/>
    <x:mergeCell ref="B14:B15"/>
    <x:mergeCell ref="D14:E15"/>
    <x:mergeCell ref="F14:G14"/>
    <x:mergeCell ref="F15:G15"/>
    <x:mergeCell ref="B16:B17"/>
    <x:mergeCell ref="D16:E17"/>
    <x:mergeCell ref="F16:G16"/>
    <x:mergeCell ref="F17:G17"/>
    <x:mergeCell ref="B18:B19"/>
    <x:mergeCell ref="D18:E19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C32:D32"/>
    <x:mergeCell ref="N23:O23"/>
    <x:mergeCell ref="A24:B24"/>
    <x:mergeCell ref="C24:D24"/>
    <x:mergeCell ref="E24:G24"/>
    <x:mergeCell ref="A25:B25"/>
    <x:mergeCell ref="C25:D25"/>
    <x:mergeCell ref="E25:G25"/>
    <x:mergeCell ref="C33:D33"/>
    <x:mergeCell ref="A26:B26"/>
    <x:mergeCell ref="C26:D26"/>
    <x:mergeCell ref="E26:G2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A1"/>
  <x:sheetViews>
    <x:sheetView topLeftCell="A1" zoomScale="66" zoomScaleNormal="66" zoomScaleSheetLayoutView="75" workbookViewId="0">
      <x:selection activeCell="A1" activeCellId="0" sqref="A1:A1"/>
    </x:sheetView>
  </x:sheetViews>
  <x:sheetFormatPr defaultColWidth="9" defaultRowHeight="16.5"/>
  <x:sheetData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4" baseType="lpstr">
      <vt:lpstr>월합산</vt:lpstr>
      <vt:lpstr>결산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Chart1</vt:lpstr>
    </vt:vector>
  </ep:TitlesOfParts>
  <ep:TotalTime>243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</dc:creator>
  <cp:lastModifiedBy>신재호</cp:lastModifiedBy>
  <cp:revision>31</cp:revision>
  <cp:lastPrinted>2020-08-02T09:11:11.000</cp:lastPrinted>
  <dcterms:created xsi:type="dcterms:W3CDTF">2017-10-12T05:43:00.000</dcterms:created>
  <dcterms:modified xsi:type="dcterms:W3CDTF">2026-04-27T17:01:19.737</dcterms:modified>
  <cp:version>1000.0100.01</cp:version>
</cp:coreProperties>
</file>