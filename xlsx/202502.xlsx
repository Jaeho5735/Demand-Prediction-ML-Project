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mand_prediction_MLproject\xlxs\"/>
    </mc:Choice>
  </mc:AlternateContent>
  <x:bookViews>
    <x:workbookView xWindow="0" yWindow="0" windowWidth="13965" windowHeight="11715" firstSheet="1" activeTab="2"/>
  </x:bookViews>
  <x:sheets>
    <x:sheet name="월합산" sheetId="1" state="hidden" r:id="rId4"/>
    <x:sheet name="결산" sheetId="2" r:id="rId5"/>
    <x:sheet name="1" sheetId="3" r:id="rId6"/>
    <x:sheet name="2" sheetId="4" r:id="rId7"/>
    <x:sheet name="3" sheetId="5" r:id="rId8"/>
    <x:sheet name="4" sheetId="6" r:id="rId9"/>
    <x:sheet name="5" sheetId="7" r:id="rId10"/>
    <x:sheet name="6" sheetId="8" r:id="rId11"/>
    <x:sheet name="7" sheetId="9" r:id="rId12"/>
    <x:sheet name="8" sheetId="10" r:id="rId13"/>
    <x:sheet name="9" sheetId="11" r:id="rId14"/>
    <x:sheet name="10" sheetId="12" r:id="rId15"/>
    <x:sheet name="11" sheetId="13" r:id="rId16"/>
    <x:sheet name="12" sheetId="14" r:id="rId17"/>
    <x:sheet name="13" sheetId="15" r:id="rId18"/>
    <x:sheet name="14" sheetId="16" r:id="rId19"/>
    <x:sheet name="15" sheetId="17" r:id="rId20"/>
    <x:sheet name="16" sheetId="18" r:id="rId21"/>
    <x:sheet name="17" sheetId="19" r:id="rId22"/>
    <x:sheet name="18" sheetId="20" r:id="rId23"/>
    <x:sheet name="19" sheetId="21" r:id="rId24"/>
    <x:sheet name="20" sheetId="22" r:id="rId25"/>
    <x:sheet name="21" sheetId="23" r:id="rId26"/>
    <x:sheet name="22" sheetId="24" r:id="rId27"/>
    <x:sheet name="23" sheetId="25" r:id="rId28"/>
    <x:sheet name="24" sheetId="26" r:id="rId29"/>
    <x:sheet name="25" sheetId="27" r:id="rId30"/>
    <x:sheet name="26" sheetId="28" r:id="rId31"/>
    <x:sheet name="27" sheetId="29" r:id="rId32"/>
    <x:sheet name="28" sheetId="30" r:id="rId33"/>
    <x:sheet name="Chart1" sheetId="31" state="hidden" r:id="rId3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<x:sst xmlns:r="http://schemas.openxmlformats.org/officeDocument/2006/relationships" xmlns:c="http://schemas.openxmlformats.org/drawingml/2006/chart" xmlns:x="http://schemas.openxmlformats.org/spreadsheetml/2006/main" count="2694" uniqueCount="156">
  <x:si>
    <x:t>육회</x:t>
  </x:si>
  <x:si>
    <x:t>월</x:t>
  </x:si>
  <x:si>
    <x:t>발매트</x:t>
  </x:si>
  <x:si>
    <x:t>총매출</x:t>
  </x:si>
  <x:si>
    <x:t>V/S</x:t>
  </x:si>
  <x:si>
    <x:t>금액</x:t>
  </x:si>
  <x:si>
    <x:t>매출액</x:t>
  </x:si>
  <x:si>
    <x:t>시재</x:t>
  </x:si>
  <x:si>
    <x:t>천</x:t>
  </x:si>
  <x:si>
    <x:t>2월</x:t>
  </x:si>
  <x:si>
    <x:t>카드</x:t>
  </x:si>
  <x:si>
    <x:t>직원C</x:t>
  </x:si>
  <x:si>
    <x:t>세무사</x:t>
  </x:si>
  <x:si>
    <x:t>고정비</x:t>
  </x:si>
  <x:si>
    <x:t>급여</x:t>
  </x:si>
  <x:si>
    <x:t>쌀</x:t>
  </x:si>
  <x:si>
    <x:t>수도</x:t>
  </x:si>
  <x:si>
    <x:t>햇반</x:t>
  </x:si>
  <x:si>
    <x:t>숯</x:t>
  </x:si>
  <x:si>
    <x:t>누계</x:t>
  </x:si>
  <x:si>
    <x:t>목</x:t>
  </x:si>
  <x:si>
    <x:t>직원D</x:t>
  </x:si>
  <x:si>
    <x:t>목살</x:t>
  </x:si>
  <x:si>
    <x:t>월세</x:t>
  </x:si>
  <x:si>
    <x:t>매출</x:t>
  </x:si>
  <x:si>
    <x:t>총비용</x:t>
  </x:si>
  <x:si>
    <x:t>인터넷</x:t>
  </x:si>
  <x:si>
    <x:t>항목</x:t>
  </x:si>
  <x:si>
    <x:t>합계</x:t>
  </x:si>
  <x:si>
    <x:t>직원B</x:t>
  </x:si>
  <x:si>
    <x:t>토요일</x:t>
  </x:si>
  <x:si>
    <x:t>업체</x:t>
  </x:si>
  <x:si>
    <x:t>금</x:t>
  </x:si>
  <x:si>
    <x:t>홀파출</x:t>
  </x:si>
  <x:si>
    <x:t>일</x:t>
  </x:si>
  <x:si>
    <x:t>생갈비</x:t>
  </x:si>
  <x:si>
    <x:t>주류</x:t>
  </x:si>
  <x:si>
    <x:t>배달</x:t>
  </x:si>
  <x:si>
    <x:t>참기름</x:t>
  </x:si>
  <x:si>
    <x:t>수</x:t>
  </x:si>
  <x:si>
    <x:t>개수</x:t>
  </x:si>
  <x:si>
    <x:t>알바A</x:t>
  </x:si>
  <x:si>
    <x:t>직원E</x:t>
  </x:si>
  <x:si>
    <x:t>뚝배기</x:t>
  </x:si>
  <x:si>
    <x:t>고기</x:t>
  </x:si>
  <x:si>
    <x:t>직원A</x:t>
  </x:si>
  <x:si>
    <x:t>백이하</x:t>
  </x:si>
  <x:si>
    <x:t>일요일</x:t>
  </x:si>
  <x:si>
    <x:t>시제</x:t>
  </x:si>
  <x:si>
    <x:t>입금</x:t>
  </x:si>
  <x:si>
    <x:t>화</x:t>
  </x:si>
  <x:si>
    <x:t>토</x:t>
  </x:si>
  <x:si>
    <x:t>현금</x:t>
  </x:si>
  <x:si>
    <x:t>마케팅</x:t>
  </x:si>
  <x:si>
    <x:t>알바X</x:t>
  </x:si>
  <x:si>
    <x:t>오백</x:t>
  </x:si>
  <x:si>
    <x:t>금요일</x:t>
  </x:si>
  <x:si>
    <x:t>`</x:t>
  </x:si>
  <x:si>
    <x:t>V</x:t>
  </x:si>
  <x:si>
    <x:t>막걸리</x:t>
  </x:si>
  <x:si>
    <x:t>전기세</x:t>
  </x:si>
  <x:si>
    <x:t>만</x:t>
  </x:si>
  <x:si>
    <x:t>일매출</x:t>
  </x:si>
  <x:si>
    <x:t>식자재</x:t>
  </x:si>
  <x:si>
    <x:t>잔금</x:t>
  </x:si>
  <x:si>
    <x:t>파출</x:t>
  </x:si>
  <x:si>
    <x:t>가스비</x:t>
  </x:si>
  <x:si>
    <x:t>F</x:t>
  </x:si>
  <x:si>
    <x:t>포스</x:t>
  </x:si>
  <x:si>
    <x:t>S</x:t>
  </x:si>
  <x:si>
    <x:t>변동비</x:t>
  </x:si>
  <x:si>
    <x:t>인
건
비</x:t>
  </x:si>
  <x:si>
    <x:t>카드할인</x:t>
  </x:si>
  <x:si>
    <x:t>4대보험료</x:t>
  </x:si>
  <x:si>
    <x:t>전   월</x:t>
  </x:si>
  <x:si>
    <x:t>다이소 구매</x:t>
  </x:si>
  <x:si>
    <x:t>종합소득세</x:t>
  </x:si>
  <x:si>
    <x:t>소     계</x:t>
  </x:si>
  <x:si>
    <x:t>통장입금</x:t>
  </x:si>
  <x:si>
    <x:t>금고잔액</x:t>
  </x:si>
  <x:si>
    <x:t>중간출금</x:t>
  </x:si>
  <x:si>
    <x:t>인터넷 주문</x:t>
  </x:si>
  <x:si>
    <x:t>쿠쿠(블루문)</x:t>
  </x:si>
  <x:si>
    <x:t>부탄가스</x:t>
  </x:si>
  <x:si>
    <x:t>목표월매출</x:t>
  </x:si>
  <x:si>
    <x:t>매출대비 비율</x:t>
  </x:si>
  <x:si>
    <x:t>페이결제</x:t>
  </x:si>
  <x:si>
    <x:t>돼지양념갈비</x:t>
  </x:si>
  <x:si>
    <x:t>인건비합계</x:t>
  </x:si>
  <x:si>
    <x:t>화재보험</x:t>
  </x:si>
  <x:si>
    <x:t>식자재2</x:t>
  </x:si>
  <x:si>
    <x:t>세전이익</x:t>
  </x:si>
  <x:si>
    <x:t>2025년</x:t>
  </x:si>
  <x:si>
    <x:t>손익분기점</x:t>
  </x:si>
  <x:si>
    <x:t>일평균매출</x:t>
  </x:si>
  <x:si>
    <x:t>카드매출</x:t>
  </x:si>
  <x:si>
    <x:t>휴무일수</x:t>
  </x:si>
  <x:si>
    <x:t>항목별 소계</x:t>
  </x:si>
  <x:si>
    <x:t>테이블수</x:t>
  </x:si>
  <x:si>
    <x:t>변동비용</x:t>
  </x:si>
  <x:si>
    <x:t>종량재봉투</x:t>
  </x:si>
  <x:si>
    <x:t>할인금액</x:t>
  </x:si>
  <x:si>
    <x:t>기타경비합계</x:t>
  </x:si>
  <x:si>
    <x:t>홀종일파출</x:t>
  </x:si>
  <x:si>
    <x:t>LA갈비</x:t>
  </x:si>
  <x:si>
    <x:t>변동비율</x:t>
  </x:si>
  <x:si>
    <x:t>불판세척</x:t>
  </x:si>
  <x:si>
    <x:t>실영업일수</x:t>
  </x:si>
  <x:si>
    <x:t>깍두기,계란</x:t>
  </x:si>
  <x:si>
    <x:t>항목 비율</x:t>
  </x:si>
  <x:si>
    <x:t>할인내역</x:t>
  </x:si>
  <x:si>
    <x:t>현금합계</x:t>
  </x:si>
  <x:si>
    <x:t>금고 실잔액</x:t>
  </x:si>
  <x:si>
    <x:t>세후이익</x:t>
  </x:si>
  <x:si>
    <x:t>누적매출</x:t>
  </x:si>
  <x:si>
    <x:t>한우업진살</x:t>
  </x:si>
  <x:si>
    <x:t>매출누계</x:t>
  </x:si>
  <x:si>
    <x:t>페이매출</x:t>
  </x:si>
  <x:si>
    <x:t>음식물스티커</x:t>
  </x:si>
  <x:si>
    <x:t>매출 비율</x:t>
  </x:si>
  <x:si>
    <x:t>세금부가세</x:t>
  </x:si>
  <x:si>
    <x:t>입금내역</x:t>
  </x:si>
  <x:si>
    <x:t>종량제봉투</x:t>
  </x:si>
  <x:si>
    <x:t>합    계</x:t>
  </x:si>
  <x:si>
    <x:t>소갈비살</x:t>
  </x:si>
  <x:si>
    <x:t>출금내역</x:t>
  </x:si>
  <x:si>
    <x:t>LA양념갈비</x:t>
  </x:si>
  <x:si>
    <x:t>코카콜라</x:t>
  </x:si>
  <x:si>
    <x:t>현금매출</x:t>
  </x:si>
  <x:si>
    <x:t>영업일수</x:t>
  </x:si>
  <x:si>
    <x:t>고정비용</x:t>
  </x:si>
  <x:si>
    <x:t>식자재합계</x:t>
  </x:si>
  <x:si>
    <x:t>마감잔금</x:t>
  </x:si>
  <x:si>
    <x:t>2월 테이블수</x:t>
  </x:si>
  <x:si>
    <x:t>현금할인</x:t>
  </x:si>
  <x:si>
    <x:t>중간입금</x:t>
  </x:si>
  <x:si>
    <x:t>코카콜라음료</x:t>
  </x:si>
  <x:si>
    <x:t>누적테이블</x:t>
  </x:si>
  <x:si>
    <x:t>배달료누계</x:t>
  </x:si>
  <x:si>
    <x:t>목표일매출</x:t>
  </x:si>
  <x:si>
    <x:t>누적총매출</x:t>
  </x:si>
  <x:si>
    <x:t xml:space="preserve">잔돈교환 (간식) 500원 </x:t>
  </x:si>
  <x:si>
    <x:t>선결제 105,000원</x:t>
  </x:si>
  <x:si>
    <x:t>X=F/(1-(V/S))</x:t>
  </x:si>
  <x:si>
    <x:t>카드수수료(2.75%)</x:t>
  </x:si>
  <x:si>
    <x:t>손익분기점 매출액</x:t>
  </x:si>
  <x:si>
    <x:t>월   합  산</x:t>
  </x:si>
  <x:si>
    <x:t>비품 및 기타경비</x:t>
  </x:si>
  <x:si>
    <x:t>비       고</x:t>
  </x:si>
  <x:si>
    <x:t>비품 및 
기타경비</x:t>
  </x:si>
  <x:si>
    <x:t>take
out</x:t>
  </x:si>
  <x:si>
    <x:t>마  감  잔  금</x:t>
  </x:si>
  <x:si>
    <x:t>퇴직금(10%)</x:t>
  </x:si>
  <x:si>
    <x:t>현금수수료(1%)</x:t>
  </x:si>
  <x:si>
    <x:t>손익분기점 매출액 X</x:t>
  </x:si>
  <x:si>
    <x:t>현금수수료 (1%)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</x:si>
</x:sst>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0.0%"/>
    <x:numFmt numFmtId="165" formatCode="#,##0_ "/>
    <x:numFmt numFmtId="166" formatCode="#,##0.00_ "/>
    <x:numFmt numFmtId="167" formatCode="_-* #,##0_-;\-* #,##0_-;_-* &quot;-&quot;???_-;_-@_-"/>
    <x:numFmt numFmtId="168" formatCode="&quot;₩&quot;#,##0_);[Red]\(&quot;₩&quot;#,##0\)"/>
  </x:numFmts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배달의민족 도현"/>
      <x:sz val="10"/>
      <x:color rgb="ff000000"/>
    </x:font>
    <x:font>
      <x:name val="맑은 고딕"/>
      <x:sz val="11"/>
      <x:color rgb="ff000000"/>
      <x:b val="1"/>
    </x:font>
    <x:font>
      <x:name val="맑은 고딕"/>
      <x:sz val="14"/>
      <x:color rgb="ff000000"/>
      <x:b val="1"/>
    </x:font>
    <x:font>
      <x:name val="맑은 고딕"/>
      <x:sz val="14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d0d0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d0d0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24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2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9"/>
          <x:color rgb="ff000000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e6b8b7"/>
        <x:bgColor indexed="64"/>
      </x:patternFill>
    </x:fill>
    <x:fill>
      <x:patternFill patternType="solid">
        <x:fgColor rgb="ff8cb3e4"/>
        <x:bgColor indexed="64"/>
      </x:patternFill>
    </x:fill>
    <x:fill>
      <x:patternFill patternType="solid">
        <x:fgColor rgb="fffadb8e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92cddd"/>
        <x:bgColor indexed="64"/>
      </x:patternFill>
    </x:fill>
    <x:fill>
      <x:patternFill patternType="solid">
        <x:fgColor rgb="ffb7dee8"/>
        <x:bgColor indexed="64"/>
      </x:patternFill>
    </x:fill>
  </x:fills>
  <x:borders count="7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hair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</x:borders>
  <x:cellStyleXfs count="4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1" fontId="0" fillId="0" borderId="0">
      <x:alignment horizontal="general" vertical="center"/>
    </x:xf>
  </x:cellStyleXfs>
  <x:cellXfs count="359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2" applyNumberFormat="1" applyFont="1" applyBorder="1" applyAlignment="1">
          <x:alignment horizontal="center" vertical="center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41" fontId="0" fillId="0" borderId="1" xfId="2" applyNumberFormat="1" applyBorder="1">
      <x:alignment horizontal="general" vertical="center"/>
    </x:xf>
    <x:xf numFmtId="164" fontId="0" fillId="0" borderId="8" xfId="1" applyNumberFormat="1" applyBorder="1">
      <x:alignment horizontal="general" vertical="center"/>
    </x:xf>
    <x:xf numFmtId="0" fontId="0" fillId="0" borderId="1" xfId="0" applyNumberFormat="1" applyBorder="1">
      <x:alignment horizontal="general" vertical="center"/>
    </x:xf>
    <x:xf numFmtId="165" fontId="0" fillId="0" borderId="1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9" xfId="1" applyNumberFormat="1" applyBorder="1" applyAlignment="1">
          <x:alignment horizontal="center" vertical="center"/>
        </x:xf>
      </mc:Fallback>
    </mc:AlternateContent>
    <x:xf numFmtId="164" fontId="8" fillId="0" borderId="9" xfId="1" applyNumberFormat="1" applyFont="1" applyBorder="1">
      <x:alignment horizontal="general" vertical="center"/>
    </x:xf>
    <x:xf numFmtId="164" fontId="9" fillId="0" borderId="10" xfId="1" applyNumberFormat="1" applyFont="1" applyBorder="1">
      <x:alignment horizontal="general" vertical="center"/>
    </x:xf>
    <x:xf numFmtId="0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Border="1" applyAlignment="1">
          <x:alignment horizontal="center" vertical="center"/>
        </x:xf>
      </mc:Fallback>
    </mc:AlternateContent>
    <x:xf numFmtId="41" fontId="12" fillId="0" borderId="14" xfId="2" applyNumberFormat="1" applyFont="1" applyBorder="1">
      <x:alignment horizontal="general" vertical="center"/>
    </x:xf>
    <x:xf numFmtId="41" fontId="12" fillId="0" borderId="15" xfId="2" applyNumberFormat="1" applyFont="1" applyBorder="1">
      <x:alignment horizontal="general" vertical="center"/>
    </x:xf>
    <x:xf numFmtId="41" fontId="10" fillId="0" borderId="16" xfId="2" applyNumberFormat="1" applyFont="1" applyBorder="1">
      <x:alignment horizontal="general" vertical="center"/>
    </x:xf>
    <x:xf numFmtId="165" fontId="13" fillId="0" borderId="17" xfId="0" applyNumberFormat="1" applyFont="1" applyBorder="1">
      <x:alignment horizontal="general" vertical="center"/>
    </x:xf>
    <x:xf numFmtId="164" fontId="13" fillId="0" borderId="18" xfId="1" applyNumberFormat="1" applyFont="1" applyBorder="1">
      <x:alignment horizontal="general" vertical="center"/>
    </x:xf>
    <x:xf numFmtId="164" fontId="13" fillId="0" borderId="19" xfId="1" applyNumberFormat="1" applyFont="1" applyBorder="1">
      <x:alignment horizontal="general" vertical="center"/>
    </x:xf>
    <x:xf numFmtId="41" fontId="12" fillId="0" borderId="7" xfId="2" applyNumberFormat="1" applyFont="1" applyBorder="1">
      <x:alignment horizontal="general" vertical="center"/>
    </x:xf>
    <x:xf numFmtId="41" fontId="12" fillId="0" borderId="1" xfId="2" applyNumberFormat="1" applyFont="1" applyBorder="1">
      <x:alignment horizontal="general" vertical="center"/>
    </x:xf>
    <x:xf numFmtId="165" fontId="13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8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8" xfId="2" applyNumberFormat="1" applyFont="1" applyBorder="1" applyAlignment="1">
          <x:alignment horizontal="right" vertical="center"/>
        </x:xf>
      </mc:Fallback>
    </mc:AlternateContent>
    <x:xf numFmtId="165" fontId="13" fillId="0" borderId="2" xfId="0" applyNumberFormat="1" applyFont="1" applyBorder="1">
      <x:alignment horizontal="general" vertical="center"/>
    </x:xf>
    <x:xf numFmtId="164" fontId="13" fillId="0" borderId="20" xfId="1" applyNumberFormat="1" applyFont="1" applyBorder="1">
      <x:alignment horizontal="general" vertical="center"/>
    </x:xf>
    <x:xf numFmtId="41" fontId="12" fillId="0" borderId="8" xfId="2" applyNumberFormat="1" applyFont="1" applyBorder="1">
      <x:alignment horizontal="general" vertical="center"/>
    </x:xf>
    <x:xf numFmtId="164" fontId="13" fillId="0" borderId="21" xfId="1" applyNumberFormat="1" applyFont="1" applyBorder="1">
      <x:alignment horizontal="general" vertical="center"/>
    </x:xf>
    <x:xf numFmtId="164" fontId="13" fillId="0" borderId="8" xfId="1" applyNumberFormat="1" applyFont="1" applyBorder="1">
      <x:alignment horizontal="general" vertical="center"/>
    </x:xf>
    <x:xf numFmtId="10" fontId="12" fillId="0" borderId="8" xfId="2" applyNumberFormat="1" applyFont="1" applyBorder="1">
      <x:alignment horizontal="general" vertical="center"/>
    </x:xf>
    <x:xf numFmtId="41" fontId="14" fillId="0" borderId="22" xfId="2" applyNumberFormat="1" applyFont="1" applyBorder="1">
      <x:alignment horizontal="general" vertical="center"/>
    </x:xf>
    <x:xf numFmtId="41" fontId="14" fillId="0" borderId="2" xfId="2" applyNumberFormat="1" applyFont="1" applyBorder="1">
      <x:alignment horizontal="general" vertical="center"/>
    </x:xf>
    <x:xf numFmtId="41" fontId="14" fillId="0" borderId="20" xfId="2" applyNumberFormat="1" applyFont="1" applyBorder="1">
      <x:alignment horizontal="general" vertical="center"/>
    </x:xf>
    <x:xf numFmtId="165" fontId="13" fillId="0" borderId="23" xfId="0" applyNumberFormat="1" applyFont="1" applyBorder="1">
      <x:alignment horizontal="general" vertical="center"/>
    </x:xf>
    <x:xf numFmtId="164" fontId="13" fillId="0" borderId="24" xfId="1" applyNumberFormat="1" applyFont="1" applyBorder="1">
      <x:alignment horizontal="general" vertical="center"/>
    </x:xf>
    <x:xf numFmtId="165" fontId="13" fillId="0" borderId="25" xfId="0" applyNumberFormat="1" applyFont="1" applyBorder="1">
      <x:alignment horizontal="general" vertical="center"/>
    </x:xf>
    <x:xf numFmtId="164" fontId="13" fillId="0" borderId="25" xfId="1" applyNumberFormat="1" applyFont="1" applyBorder="1">
      <x:alignment horizontal="general" vertical="center"/>
    </x:xf>
    <x:xf numFmtId="164" fontId="13" fillId="0" borderId="2" xfId="1" applyNumberFormat="1" applyFont="1" applyBorder="1">
      <x:alignment horizontal="general" vertical="center"/>
    </x:xf>
    <x:xf numFmtId="0" fontId="15" fillId="0" borderId="26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x:xf numFmtId="0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x:xf numFmtId="41" fontId="15" fillId="0" borderId="8" xfId="2" applyNumberFormat="1" applyFont="1" applyBorder="1">
      <x:alignment horizontal="general" vertical="center"/>
    </x:xf>
    <x:xf numFmtId="0" fontId="15" fillId="0" borderId="1" xfId="0" applyNumberFormat="1" applyFont="1" applyBorder="1" applyAlignment="1">
      <x:alignment horizontal="left" vertical="center"/>
    </x:xf>
    <x:xf numFmtId="41" fontId="7" fillId="0" borderId="0" xfId="3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" xfId="0" applyNumberFormat="1" applyFont="1" applyFill="1" applyBorder="1" applyAlignment="1">
          <x:alignment horizontal="center" vertical="center"/>
        </x:xf>
      </mc:Fallback>
    </mc:AlternateContent>
    <x:xf numFmtId="41" fontId="15" fillId="2" borderId="8" xfId="2" applyNumberFormat="1" applyFont="1" applyFill="1" applyBorder="1">
      <x:alignment horizontal="general" vertical="center"/>
    </x:xf>
    <x:xf numFmtId="9" fontId="15" fillId="2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5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2" borderId="20" xfId="0" applyNumberFormat="1" applyFont="1" applyFill="1" applyBorder="1" applyAlignment="1">
          <x:alignment horizontal="right" vertical="center"/>
        </x:xf>
      </mc:Fallback>
    </mc:AlternateContent>
    <x:xf numFmtId="41" fontId="15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" xfId="0" applyNumberFormat="1" applyFont="1" applyBorder="1" applyAlignment="1">
          <x:alignment horizontal="center" vertical="center"/>
        </x:xf>
      </mc:Fallback>
    </mc:AlternateContent>
    <x:xf numFmtId="0" fontId="0" fillId="0" borderId="0" xfId="0" applyNumberFormat="1" applyAlignment="1">
      <x:alignment horizontal="general" vertical="top" wrapText="1"/>
    </x:xf>
    <x:xf numFmtId="164" fontId="0" fillId="0" borderId="27" xfId="1" applyNumberFormat="1" applyBorder="1">
      <x:alignment horizontal="general" vertical="center"/>
    </x:xf>
    <x:xf numFmtId="164" fontId="0" fillId="0" borderId="23" xfId="1" applyNumberFormat="1" applyBorder="1">
      <x:alignment horizontal="general" vertical="center"/>
    </x:xf>
    <x:xf numFmtId="164" fontId="0" fillId="0" borderId="2" xfId="1" applyNumberFormat="1" applyBorder="1">
      <x:alignment horizontal="general" vertical="center"/>
    </x:xf>
    <x:xf numFmtId="164" fontId="13" fillId="0" borderId="28" xfId="1" applyNumberFormat="1" applyFont="1" applyBorder="1">
      <x:alignment horizontal="general" vertical="center"/>
    </x:xf>
    <x:xf numFmtId="0" fontId="10" fillId="0" borderId="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top" wrapText="1"/>
        </x:xf>
      </mc:Fallback>
    </mc:AlternateContent>
    <x:xf numFmtId="164" fontId="13" fillId="0" borderId="2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/>
        </x:xf>
      </mc:Fallback>
    </mc:AlternateContent>
    <x:xf numFmtId="41" fontId="0" fillId="0" borderId="0" xfId="0" applyNumberFormat="1" applyAlignment="1">
      <x:alignment horizontal="general" vertical="top" wrapText="1"/>
    </x:xf>
    <x:xf numFmtId="165" fontId="0" fillId="0" borderId="27" xfId="0" applyNumberFormat="1" applyBorder="1">
      <x:alignment horizontal="general" vertical="center"/>
    </x:xf>
    <x:xf numFmtId="165" fontId="0" fillId="0" borderId="25" xfId="0" applyNumberFormat="1" applyBorder="1">
      <x:alignment horizontal="general" vertical="center"/>
    </x:xf>
    <x:xf numFmtId="164" fontId="0" fillId="0" borderId="21" xfId="1" applyNumberFormat="1" applyBorder="1">
      <x:alignment horizontal="general" vertical="center"/>
    </x:xf>
    <x:xf numFmtId="165" fontId="0" fillId="0" borderId="2" xfId="0" applyNumberFormat="1" applyBorder="1">
      <x:alignment horizontal="general" vertical="center"/>
    </x:xf>
    <x:xf numFmtId="164" fontId="0" fillId="0" borderId="20" xfId="1" applyNumberFormat="1" applyBorder="1">
      <x:alignment horizontal="general" vertical="center"/>
    </x:xf>
    <x:xf numFmtId="0" fontId="15" fillId="0" borderId="3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3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1" xfId="0" applyNumberFormat="1" applyFont="1" applyBorder="1" applyAlignment="1">
          <x:alignment horizontal="center" vertical="center"/>
        </x:xf>
      </mc:Fallback>
    </mc:AlternateContent>
    <x:xf numFmtId="164" fontId="0" fillId="0" borderId="9" xfId="1" applyNumberFormat="1" applyBorder="1">
      <x:alignment horizontal="general" vertical="center"/>
    </x:xf>
    <x:xf numFmtId="41" fontId="0" fillId="0" borderId="2" xfId="2" applyNumberFormat="1" applyBorder="1">
      <x:alignment horizontal="general" vertical="center"/>
    </x:xf>
    <x:xf numFmtId="41" fontId="0" fillId="0" borderId="0" xfId="2" applyNumberFormat="1">
      <x:alignment horizontal="general" vertical="center"/>
    </x:xf>
    <x:xf numFmtId="165" fontId="0" fillId="0" borderId="0" xfId="0" applyNumberFormat="1">
      <x:alignment horizontal="general" vertical="center"/>
    </x:xf>
    <x:xf numFmtId="165" fontId="10" fillId="0" borderId="0" xfId="0" applyNumberFormat="1" applyFont="1">
      <x:alignment horizontal="general" vertical="center"/>
    </x:xf>
    <x:xf numFmtId="0" fontId="15" fillId="0" borderId="0" xfId="0" applyNumberFormat="1" applyFont="1" applyAlignment="1">
      <x:alignment horizontal="left" vertical="center"/>
    </x:xf>
    <x:xf numFmtId="0" fontId="0" fillId="0" borderId="17" xfId="0" applyNumberFormat="1" applyBorder="1">
      <x:alignment horizontal="general" vertical="center"/>
    </x:xf>
    <x:xf numFmtId="0" fontId="15" fillId="0" borderId="32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0" applyNumberFormat="1" applyFont="1" applyBorder="1" applyAlignment="1">
          <x:alignment horizontal="center" vertical="center"/>
        </x:xf>
      </mc:Fallback>
    </mc:AlternateContent>
    <x:xf numFmtId="166" fontId="9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x:xf numFmtId="0" fontId="18" fillId="0" borderId="27" xfId="0" applyNumberFormat="1" applyFont="1" applyBorder="1">
      <x:alignment horizontal="general" vertical="center"/>
    </x:xf>
    <x:xf numFmtId="41" fontId="0" fillId="0" borderId="0" xfId="0" applyNumberFormat="1">
      <x:alignment horizontal="general" vertical="center"/>
    </x:xf>
    <x:xf numFmtId="167" fontId="0" fillId="0" borderId="0" xfId="0" applyNumberFormat="1">
      <x:alignment horizontal="general" vertical="center"/>
    </x:xf>
    <x:xf numFmtId="41" fontId="0" fillId="0" borderId="17" xfId="2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1" xfId="0" applyNumberFormat="1" applyFont="1" applyFill="1" applyBorder="1" applyAlignment="1">
          <x:alignment horizontal="center" vertical="center"/>
        </x:xf>
      </mc:Fallback>
    </mc:AlternateContent>
    <x:xf numFmtId="41" fontId="15" fillId="3" borderId="8" xfId="2" applyNumberFormat="1" applyFont="1" applyFill="1" applyBorder="1">
      <x:alignment horizontal="general" vertical="center"/>
    </x:xf>
    <x:xf numFmtId="9" fontId="15" fillId="3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15" fillId="3" borderId="8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3" borderId="8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0" xfId="0" applyNumberFormat="1" applyFont="1" applyFill="1" applyBorder="1" applyAlignment="1">
          <x:alignment horizontal="center" vertical="center"/>
        </x:xf>
      </mc:Fallback>
    </mc:AlternateContent>
    <x:xf numFmtId="41" fontId="15" fillId="4" borderId="8" xfId="0" applyNumberFormat="1" applyFont="1" applyFill="1" applyBorder="1">
      <x:alignment horizontal="general" vertical="center"/>
    </x:xf>
    <x:xf numFmtId="9" fontId="15" fillId="4" borderId="8" xfId="0" applyNumberFormat="1" applyFont="1" applyFill="1" applyBorder="1">
      <x:alignment horizontal="general" vertical="center"/>
    </x:xf>
    <x:xf numFmtId="168" fontId="15" fillId="4" borderId="8" xfId="0" applyNumberFormat="1" applyFont="1" applyFill="1" applyBorder="1">
      <x:alignment horizontal="general" vertical="center"/>
    </x:xf>
    <x:xf numFmtId="165" fontId="13" fillId="0" borderId="27" xfId="0" applyNumberFormat="1" applyFont="1" applyBorder="1">
      <x:alignment horizontal="general" vertical="center"/>
    </x:xf>
    <x:xf numFmtId="164" fontId="13" fillId="0" borderId="33" xfId="1" applyNumberFormat="1" applyFont="1" applyBorder="1">
      <x:alignment horizontal="general" vertical="center"/>
    </x:xf>
    <x:xf numFmtId="164" fontId="13" fillId="0" borderId="34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9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2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2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1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1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8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8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0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0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0" xfId="2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x:xf numFmtId="41" fontId="15" fillId="5" borderId="8" xfId="2" applyNumberFormat="1" applyFont="1" applyFill="1" applyBorder="1">
      <x:alignment horizontal="general" vertical="center"/>
    </x:xf>
    <x:xf numFmtId="41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5" fillId="0" borderId="8" xfId="0" applyNumberFormat="1" applyFont="1" applyBorder="1" applyAlignment="1">
          <x:alignment horizontal="center" vertical="center"/>
        </x:xf>
      </mc:Fallback>
    </mc:AlternateContent>
    <x:xf numFmtId="0" fontId="0" fillId="0" borderId="1" xfId="0" applyNumberFormat="1" applyFont="1" applyBorder="1">
      <x:alignment horizontal="general" vertical="center"/>
    </x:xf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2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2" xfId="0" applyNumberFormat="1" applyFon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6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6" borderId="1" xfId="0" applyNumberFormat="1" applyFont="1" applyFill="1" applyBorder="1" applyAlignment="1">
          <x:alignment horizontal="center" vertical="center"/>
        </x:xf>
      </mc:Fallback>
    </mc:AlternateContent>
    <x:xf numFmtId="165" fontId="0" fillId="6" borderId="2" xfId="0" applyNumberFormat="1" applyFill="1" applyBorder="1">
      <x:alignment horizontal="general" vertical="center"/>
    </x:xf>
    <x:xf numFmtId="41" fontId="0" fillId="6" borderId="2" xfId="2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top" wrapText="1"/>
        </x:xf>
      </mc:Fallback>
    </mc:AlternateContent>
    <x:xf numFmtId="0" fontId="15" fillId="5" borderId="0" xfId="0" applyNumberFormat="1" applyFont="1" applyFill="1">
      <x:alignment horizontal="general" vertical="center"/>
    </x:xf>
    <x:xf numFmtId="9" fontId="0" fillId="0" borderId="8" xfId="1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3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41" xfId="0" applyNumberFormat="1" applyFont="1" applyFill="1" applyBorder="1" applyAlignment="1">
          <x:alignment horizontal="center" vertical="center"/>
        </x:xf>
      </mc:Fallback>
    </mc:AlternateContent>
    <x:xf numFmtId="0" fontId="7" fillId="2" borderId="42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25" xfId="0" applyNumberFormat="1" applyFont="1" applyFill="1" applyBorder="1" applyAlignment="1">
          <x:alignment horizontal="center" vertical="center"/>
        </x:xf>
      </mc:Fallback>
    </mc:AlternateContent>
    <x:xf numFmtId="0" fontId="7" fillId="3" borderId="21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4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7" xfId="2" applyNumberFormat="1" applyFont="1" applyFill="1" applyBorder="1" applyAlignment="1">
          <x:alignment horizontal="center" vertical="center"/>
        </x:xf>
      </mc:Fallback>
    </mc:AlternateContent>
    <x:xf numFmtId="41" fontId="15" fillId="0" borderId="1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4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4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3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3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top" wrapText="1"/>
    </x:xf>
    <x:xf numFmtId="0" fontId="15" fillId="0" borderId="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41" fontId="15" fillId="5" borderId="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4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4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3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3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3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3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0" xfId="2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8" xfId="2" applyNumberFormat="1" applyFont="1" applyBorder="1" applyAlignment="1">
          <x:alignment horizontal="center" vertical="center"/>
        </x:xf>
      </mc:Fallback>
    </mc:AlternateContent>
    <x:xf numFmtId="0" fontId="6" fillId="0" borderId="48" xfId="0" applyNumberFormat="1" applyFont="1" applyBorder="1" applyAlignment="1">
      <x:alignment horizontal="left" vertical="top"/>
    </x:xf>
    <x:xf numFmtId="0" fontId="6" fillId="0" borderId="49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3" xfId="0" applyNumberFormat="1" applyFont="1" applyBorder="1" applyAlignment="1">
          <x:alignment horizontal="center" vertical="center"/>
        </x:xf>
      </mc:Fallback>
    </mc:AlternateContent>
    <x:xf numFmtId="0" fontId="6" fillId="0" borderId="30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20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3" xfId="2" applyNumberFormat="1" applyFont="1" applyBorder="1" applyAlignment="1">
          <x:alignment horizontal="center" vertical="center"/>
        </x:xf>
      </mc:Fallback>
    </mc:AlternateContent>
    <x:xf numFmtId="41" fontId="6" fillId="0" borderId="48" xfId="2" applyNumberFormat="1" applyFont="1" applyBorder="1" applyAlignment="1">
      <x:alignment horizontal="left" vertical="top"/>
    </x:xf>
    <x:xf numFmtId="41" fontId="6" fillId="0" borderId="53" xfId="2" applyNumberFormat="1" applyFont="1" applyBorder="1" applyAlignment="1">
      <x:alignment horizontal="left" vertical="top"/>
    </x:xf>
    <x:xf numFmtId="41" fontId="6" fillId="0" borderId="30" xfId="2" applyNumberFormat="1" applyFont="1" applyBorder="1" applyAlignment="1">
      <x:alignment horizontal="left" vertical="top"/>
    </x:xf>
    <x:xf numFmtId="41" fontId="6" fillId="0" borderId="49" xfId="2" applyNumberFormat="1" applyFont="1" applyBorder="1" applyAlignment="1">
      <x:alignment horizontal="left" vertical="top"/>
    </x:xf>
    <x:xf numFmtId="0" fontId="6" fillId="0" borderId="53" xfId="0" applyNumberFormat="1" applyFont="1" applyBorder="1" applyAlignment="1">
      <x:alignment horizontal="left" vertical="top"/>
    </x:xf>
    <x:xf numFmtId="0" fontId="6" fillId="0" borderId="1" xfId="0" applyNumberFormat="1" applyFont="1" applyBorder="1" applyAlignment="1">
      <x:alignment horizontal="left" vertical="top"/>
    </x:xf>
    <x:xf numFmtId="0" fontId="6" fillId="0" borderId="55" xfId="0" applyNumberFormat="1" applyFont="1" applyBorder="1" applyAlignment="1">
      <x:alignment horizontal="left" vertical="center"/>
    </x:xf>
    <x:xf numFmtId="0" fontId="6" fillId="0" borderId="56" xfId="0" applyNumberFormat="1" applyFont="1" applyBorder="1" applyAlignment="1">
      <x:alignment horizontal="left" vertical="center"/>
    </x:xf>
    <x:xf numFmtId="0" fontId="21" fillId="0" borderId="57" xfId="0" applyNumberFormat="1" applyFont="1" applyBorder="1" applyAlignment="1">
      <x:alignment horizontal="left" vertical="center"/>
    </x:xf>
    <x:xf numFmtId="0" fontId="21" fillId="0" borderId="58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/>
        </x:xf>
      </mc:Fallback>
    </mc:AlternateContent>
    <x:xf numFmtId="0" fontId="6" fillId="0" borderId="33" xfId="0" applyNumberFormat="1" applyFont="1" applyBorder="1" applyAlignment="1">
      <x:alignment horizontal="left" vertical="top"/>
    </x:xf>
    <x:xf numFmtId="0" fontId="6" fillId="0" borderId="61" xfId="0" applyNumberFormat="1" applyFont="1" applyBorder="1" applyAlignment="1">
      <x:alignment horizontal="left" vertical="top"/>
    </x:xf>
    <x:xf numFmtId="0" fontId="6" fillId="0" borderId="62" xfId="0" applyNumberFormat="1" applyFont="1" applyBorder="1" applyAlignment="1">
      <x:alignment horizontal="left" vertical="top"/>
    </x:xf>
    <x:xf numFmtId="0" fontId="6" fillId="0" borderId="24" xfId="0" applyNumberFormat="1" applyFont="1" applyBorder="1" applyAlignment="1">
      <x:alignment horizontal="left" vertical="top"/>
    </x:xf>
    <x:xf numFmtId="0" fontId="6" fillId="0" borderId="0" xfId="0" applyNumberFormat="1" applyFont="1" applyAlignment="1">
      <x:alignment horizontal="left" vertical="top"/>
    </x:xf>
    <x:xf numFmtId="0" fontId="6" fillId="0" borderId="63" xfId="0" applyNumberFormat="1" applyFont="1" applyBorder="1" applyAlignment="1">
      <x:alignment horizontal="left" vertical="top"/>
    </x:xf>
    <x:xf numFmtId="0" fontId="6" fillId="0" borderId="18" xfId="0" applyNumberFormat="1" applyFont="1" applyBorder="1" applyAlignment="1">
      <x:alignment horizontal="left" vertical="top"/>
    </x:xf>
    <x:xf numFmtId="0" fontId="6" fillId="0" borderId="64" xfId="0" applyNumberFormat="1" applyFont="1" applyBorder="1" applyAlignment="1">
      <x:alignment horizontal="left" vertical="top"/>
    </x:xf>
    <x:xf numFmtId="0" fontId="6" fillId="0" borderId="65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5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5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6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6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3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3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67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67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4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4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71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71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72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72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7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7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4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4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6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6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9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6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5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5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4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4" xfId="2" applyNumberFormat="1" applyFont="1" applyFill="1" applyBorder="1" applyAlignment="1">
          <x:alignment horizontal="center" vertical="center"/>
        </x:xf>
      </mc:Fallback>
    </mc:AlternateContent>
    <x:xf numFmtId="41" fontId="15" fillId="0" borderId="48" xfId="2" applyNumberFormat="1" applyFont="1" applyBorder="1" applyAlignment="1">
      <x:alignment horizontal="left" vertical="center"/>
    </x:xf>
    <x:xf numFmtId="41" fontId="15" fillId="0" borderId="53" xfId="2" applyNumberFormat="1" applyFont="1" applyBorder="1" applyAlignment="1">
      <x:alignment horizontal="left" vertical="center"/>
    </x:xf>
    <x:xf numFmtId="41" fontId="15" fillId="0" borderId="30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4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5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5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8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8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 shrinkToFit="1"/>
        </x:xf>
      </mc:Fallback>
    </mc:AlternateContent>
    <x:xf numFmtId="0" fontId="15" fillId="0" borderId="48" xfId="0" applyNumberFormat="1" applyFont="1" applyBorder="1" applyAlignment="1">
      <x:alignment horizontal="left" vertical="center" wrapText="1"/>
    </x:xf>
    <x:xf numFmtId="0" fontId="15" fillId="0" borderId="53" xfId="0" applyNumberFormat="1" applyFont="1" applyBorder="1" applyAlignment="1">
      <x:alignment horizontal="left" vertical="center" wrapText="1"/>
    </x:xf>
    <x:xf numFmtId="0" fontId="15" fillId="0" borderId="30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4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4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4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3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3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4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4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3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3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5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5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3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3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3" xfId="0" applyNumberFormat="1" applyFont="1" applyBorder="1" applyAlignment="1">
          <x:alignment horizontal="center" vertical="center"/>
        </x:xf>
      </mc:Fallback>
    </mc:AlternateContent>
    <x:xf numFmtId="0" fontId="15" fillId="0" borderId="48" xfId="0" applyNumberFormat="1" applyFont="1" applyBorder="1" applyAlignment="1">
      <x:alignment horizontal="left" vertical="top" wrapText="1"/>
    </x:xf>
    <x:xf numFmtId="0" fontId="15" fillId="0" borderId="53" xfId="0" applyNumberFormat="1" applyFont="1" applyBorder="1" applyAlignment="1">
      <x:alignment horizontal="left" vertical="top" wrapText="1"/>
    </x:xf>
    <x:xf numFmtId="0" fontId="15" fillId="0" borderId="30" xfId="0" applyNumberFormat="1" applyFont="1" applyBorder="1" applyAlignment="1">
      <x:alignment horizontal="left" vertical="top" wrapText="1"/>
    </x:xf>
    <x:xf numFmtId="3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0" xfId="2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0" xfId="2" applyNumberFormat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1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1" xfId="2" applyNumberFormat="1" applyFont="1" applyFill="1" applyBorder="1" applyAlignment="1">
          <x:alignment horizontal="right" vertical="center"/>
        </x:xf>
      </mc:Fallback>
    </mc:AlternateContent>
  </x:cellXfs>
  <x:cellStyles count="4">
    <x:cellStyle name="표준" xfId="0" builtinId="0"/>
    <x:cellStyle name="백분율" xfId="1" builtinId="5"/>
    <x:cellStyle name="쉼표 [0]" xfId="2" builtinId="6"/>
    <x:cellStyle name="쉼표 [0] 3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27" Type="http://schemas.openxmlformats.org/officeDocument/2006/relationships/worksheet" Target="worksheets/sheet24.xml"  /><Relationship Id="rId28" Type="http://schemas.openxmlformats.org/officeDocument/2006/relationships/worksheet" Target="worksheets/sheet25.xml"  /><Relationship Id="rId29" Type="http://schemas.openxmlformats.org/officeDocument/2006/relationships/worksheet" Target="worksheets/sheet26.xml"  /><Relationship Id="rId3" Type="http://schemas.openxmlformats.org/officeDocument/2006/relationships/sharedStrings" Target="sharedStrings.xml"  /><Relationship Id="rId30" Type="http://schemas.openxmlformats.org/officeDocument/2006/relationships/worksheet" Target="worksheets/sheet27.xml"  /><Relationship Id="rId31" Type="http://schemas.openxmlformats.org/officeDocument/2006/relationships/worksheet" Target="worksheets/sheet28.xml"  /><Relationship Id="rId32" Type="http://schemas.openxmlformats.org/officeDocument/2006/relationships/worksheet" Target="worksheets/sheet29.xml"  /><Relationship Id="rId33" Type="http://schemas.openxmlformats.org/officeDocument/2006/relationships/worksheet" Target="worksheets/sheet30.xml"  /><Relationship Id="rId34" Type="http://schemas.openxmlformats.org/officeDocument/2006/relationships/worksheet" Target="worksheets/sheet31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charts/chart3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layout/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'10'!$C$1:$C$11</c:f>
              <c:strCache>
                <c:ptCount val="1"/>
                <c:pt idx="0">
                  <c:v>2025년3,665,5003,261,500404,000108,600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알바A</c:v>
                  </c:pt>
                  <c:pt idx="21">
                    <c:v>직원C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3665500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'10'!$C$12:$C$34</c:f>
              <c:numCache>
                <c:formatCode>General</c:formatCode>
                <c:ptCount val="23"/>
                <c:pt idx="0">
                  <c:v>7</c:v>
                </c:pt>
                <c:pt idx="1">
                  <c:v>118</c:v>
                </c:pt>
                <c:pt idx="2">
                  <c:v>25</c:v>
                </c:pt>
                <c:pt idx="3">
                  <c:v>371</c:v>
                </c:pt>
                <c:pt idx="4">
                  <c:v>8</c:v>
                </c:pt>
                <c:pt idx="5">
                  <c:v>65</c:v>
                </c:pt>
                <c:pt idx="6">
                  <c:v>37</c:v>
                </c:pt>
                <c:pt idx="7">
                  <c:v>333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3738800</c:v>
                </c:pt>
                <c:pt idx="14">
                  <c:v/>
                </c:pt>
                <c:pt idx="15">
                  <c:v>142857.142857143</c:v>
                </c:pt>
                <c:pt idx="16">
                  <c:v>135714.285714286</c:v>
                </c:pt>
                <c:pt idx="17">
                  <c:v>114285.714285714</c:v>
                </c:pt>
                <c:pt idx="18">
                  <c:v>121428.571428571</c:v>
                </c:pt>
                <c:pt idx="19">
                  <c:v/>
                </c:pt>
                <c:pt idx="20">
                  <c:v/>
                </c:pt>
                <c:pt idx="21">
                  <c:v>125000</c:v>
                </c:pt>
                <c:pt idx="22">
                  <c:v/>
                </c:pt>
              </c:numCache>
            </c:numRef>
          </c:val>
        </c:ser>
        <c:ser>
          <c:idx val="1"/>
          <c:order val="1"/>
          <c:tx>
            <c:strRef>
              <c:f>'10'!$D$1:$D$11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알바A</c:v>
                  </c:pt>
                  <c:pt idx="21">
                    <c:v>직원C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3665500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'10'!$D$12:$D$34</c:f>
              <c:numCache>
                <c:formatCode>General</c:formatCode>
                <c:ptCount val="23"/>
                <c:pt idx="0">
                  <c:v>0</c:v>
                </c:pt>
                <c:pt idx="1">
                  <c:v/>
                </c:pt>
                <c:pt idx="2">
                  <c:v>0</c:v>
                </c:pt>
                <c:pt idx="3">
                  <c:v/>
                </c:pt>
                <c:pt idx="4">
                  <c:v>0</c:v>
                </c:pt>
                <c:pt idx="5">
                  <c:v/>
                </c:pt>
                <c:pt idx="6">
                  <c:v>0</c:v>
                </c:pt>
                <c:pt idx="7">
                  <c:v/>
                </c:pt>
                <c:pt idx="8">
                  <c:v>0</c:v>
                </c:pt>
                <c:pt idx="9">
                  <c:v>0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2"/>
          <c:order val="2"/>
          <c:tx>
            <c:strRef>
              <c:f>'10'!$E$1:$E$11</c:f>
              <c:strCache>
                <c:ptCount val="1"/>
                <c:pt idx="0">
                  <c:v>2월시재카드수수료(2.75%)현금수수료(1%)통장입금마감잔금카드할인</c:v>
                </c:pt>
              </c:strCache>
            </c:strRef>
          </c:tx>
          <c:spPr>
            <a:solidFill>
              <a:schemeClr val="accent3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알바A</c:v>
                  </c:pt>
                  <c:pt idx="21">
                    <c:v>직원C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3665500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'10'!$E$12:$E$34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37388000</c:v>
                </c:pt>
                <c:pt idx="14">
                  <c:v/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3"/>
          <c:order val="3"/>
          <c:tx>
            <c:strRef>
              <c:f>'10'!$F$1:$F$11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알바A</c:v>
                  </c:pt>
                  <c:pt idx="21">
                    <c:v>직원C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3665500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'10'!$F$12:$F$34</c:f>
              <c:numCache>
                <c:formatCode>General</c:formatCode>
                <c:ptCount val="23"/>
                <c:pt idx="0">
                  <c:v>7</c:v>
                </c:pt>
                <c:pt idx="1">
                  <c:v>96</c:v>
                </c:pt>
                <c:pt idx="2">
                  <c:v>28</c:v>
                </c:pt>
                <c:pt idx="3">
                  <c:v>211</c:v>
                </c:pt>
                <c:pt idx="4">
                  <c:v>16</c:v>
                </c:pt>
                <c:pt idx="5">
                  <c:v>139</c:v>
                </c:pt>
                <c:pt idx="6">
                  <c:v>5</c:v>
                </c:pt>
                <c:pt idx="7">
                  <c:v>115</c:v>
                </c:pt>
                <c:pt idx="8">
                  <c:v>52</c:v>
                </c:pt>
                <c:pt idx="9">
                  <c:v>520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>45500</c:v>
                </c:pt>
                <c:pt idx="17">
                  <c:v>11700</c:v>
                </c:pt>
                <c:pt idx="18">
                  <c:v>120000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4"/>
          <c:order val="4"/>
          <c:tx>
            <c:strRef>
              <c:f>'10'!$G$1:$G$11</c:f>
              <c:strCache>
                <c:ptCount val="1"/>
                <c:pt idx="0">
                  <c:v>월145,60089,6914,040440,000109,600</c:v>
                </c:pt>
              </c:strCache>
            </c:strRef>
          </c:tx>
          <c:spPr>
            <a:solidFill>
              <a:schemeClr val="accent5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알바A</c:v>
                  </c:pt>
                  <c:pt idx="21">
                    <c:v>직원C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3665500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'10'!$G$12:$G$34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5"/>
          <c:order val="5"/>
          <c:tx>
            <c:strRef>
              <c:f>'10'!$H$1:$H$11</c:f>
              <c:strCache>
                <c:ptCount val="1"/>
                <c:pt idx="0">
                  <c:v>실영업일수식자재업체고기식자재주류쌀참기름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알바A</c:v>
                  </c:pt>
                  <c:pt idx="21">
                    <c:v>직원C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3665500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'10'!$H$12:$H$34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/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6"/>
          <c:order val="6"/>
          <c:tx>
            <c:strRef>
              <c:f>'10'!$I$1:$I$11</c:f>
              <c:strCache>
                <c:ptCount val="1"/>
                <c:pt idx="0">
                  <c:v>10금액1,129,773315,52855,000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알바A</c:v>
                  </c:pt>
                  <c:pt idx="21">
                    <c:v>직원C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3665500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'10'!$I$12:$I$34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>304500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1804801</c:v>
                </c:pt>
                <c:pt idx="12">
                  <c:v>0.492375119356159</c:v>
                </c:pt>
                <c:pt idx="13">
                  <c:v>0</c:v>
                </c:pt>
                <c:pt idx="14">
                  <c:v>0</c:v>
                </c:pt>
                <c:pt idx="15">
                  <c:v>816485.714285714</c:v>
                </c:pt>
                <c:pt idx="16">
                  <c:v>0.222748796695052</c:v>
                </c:pt>
                <c:pt idx="17">
                  <c:v>67249914</c:v>
                </c:pt>
                <c:pt idx="18">
                  <c:v>82.3650834587256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7"/>
          <c:order val="7"/>
          <c:tx>
            <c:strRef>
              <c:f>'10'!$J$1:$J$11</c:f>
              <c:strCache>
                <c:ptCount val="1"/>
                <c:pt idx="0">
                  <c:v>휴무일수비품 및 기타경비업체숯음식물스티커종량제봉투뚝배기발매트불판세척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알바A</c:v>
                  </c:pt>
                  <c:pt idx="21">
                    <c:v>직원C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3665500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'10'!$J$12:$J$34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8"/>
          <c:order val="8"/>
          <c:tx>
            <c:strRef>
              <c:f>'10'!$K$1:$K$11</c:f>
              <c:strCache>
                <c:ptCount val="1"/>
                <c:pt idx="0">
                  <c:v>금액117,00013,00015,714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알바A</c:v>
                  </c:pt>
                  <c:pt idx="21">
                    <c:v>직원C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3665500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'10'!$K$12:$K$34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>185594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331308.285714286</c:v>
                </c:pt>
                <c:pt idx="12">
                  <c:v>0.0903855642379718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367527704"/>
        <c:axId val="367533104"/>
      </c:barChart>
      <c:catAx>
        <c:axId val="367527704"/>
        <c:scaling>
          <c:orientation val="minMax"/>
        </c:scaling>
        <c:axPos val="b"/>
        <c:crossAx val="367533104"/>
        <c:delete val="0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367533104"/>
        <c:scaling>
          <c:orientation val="minMax"/>
        </c:scaling>
        <c:axPos val="l"/>
        <c:crossAx val="367527704"/>
        <c:delete val="0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legend>
    <c:plotVisOnly val="0"/>
    <c:dispBlanksAs val="gap"/>
  </c:chart>
  <c:txPr>
    <a:bodyPr rot="0" vert="horz" wrap="none" lIns="0" tIns="0" rIns="0" bIns="0" anchor="ctr" anchorCtr="1"/>
    <a:p>
      <a:pPr algn="l">
        <a:defRPr b="0" i="0" u="none"/>
      </a:pPr>
      <a:endParaRPr/>
    </a:p>
  </c:txPr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3.xml.rels><?xml version="1.0" encoding="UTF-8" standalone="yes" ?><Relationships xmlns="http://schemas.openxmlformats.org/package/2006/relationships"><Relationship Id="rId1" Type="http://schemas.openxmlformats.org/officeDocument/2006/relationships/chart" Target="../charts/chart3.xml"  /></Relationships>
</file>

<file path=xl/drawings/drawing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absolute">
    <xdr:from>
      <xdr:col>0</xdr:col>
      <xdr:colOff>0</xdr:colOff>
      <xdr:row>0</xdr:row>
      <xdr:rowOff>0</xdr:rowOff>
    </xdr:from>
    <xdr:to>
      <xdr:col>12</xdr:col>
      <xdr:colOff>447675</xdr:colOff>
      <xdr:row>30</xdr:row>
      <xdr:rowOff>19050</xdr:rowOff>
    </xdr:to>
    <xdr:graphicFrame fPublished="0">
      <xdr:nvGraphicFramePr>
        <xdr:cNvPr id="2" name="차트 1"/>
        <xdr:cNvGraphicFramePr/>
      </xdr:nvGraphicFramePr>
      <xdr:xfrm>
        <a:off x="0" y="0"/>
        <a:ext cx="8760113" cy="65087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3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21"/>
  <x:sheetViews>
    <x:sheetView topLeftCell="A1" zoomScaleNormal="100" zoomScaleSheetLayoutView="75" workbookViewId="0">
      <x:selection activeCell="N10" activeCellId="0" sqref="N10:N10"/>
    </x:sheetView>
  </x:sheetViews>
  <x:sheetFormatPr defaultColWidth="8.625" defaultRowHeight="30" customHeight="1"/>
  <x:cols>
    <x:col min="1" max="1" width="8.625" style="2" customWidth="1"/>
    <x:col min="2" max="2" width="4.625" style="2" customWidth="1"/>
    <x:col min="3" max="3" width="10.625" style="2" customWidth="1"/>
    <x:col min="4" max="4" width="3.625" style="2" customWidth="1"/>
    <x:col min="5" max="5" width="8.625" style="2" customWidth="1"/>
    <x:col min="6" max="6" width="4.625" style="2" customWidth="1"/>
    <x:col min="7" max="7" width="12.625" style="2" customWidth="1"/>
    <x:col min="8" max="8" width="8.625" style="2" customWidth="1"/>
    <x:col min="9" max="10" width="4.625" style="2" customWidth="1"/>
    <x:col min="11" max="11" width="12.625" style="2" customWidth="1"/>
    <x:col min="12" max="16384" width="8.625" style="2"/>
  </x:cols>
  <x:sheetData>
    <x:row r="1" spans="1:11" customHeight="1">
      <x:c r="A1" s="230" t="s">
        <x:v>146</x:v>
      </x:c>
      <x:c r="B1" s="230"/>
      <x:c r="C1" s="230"/>
      <x:c r="D1" s="230"/>
      <x:c r="E1" s="230"/>
      <x:c r="F1" s="230"/>
      <x:c r="G1" s="230"/>
      <x:c r="H1" s="230"/>
      <x:c r="I1" s="230"/>
      <x:c r="J1" s="230"/>
      <x:c r="K1" s="230"/>
    </x:row>
    <x:row r="2" spans="1:11" ht="30.949999999999999" customHeight="1">
      <x:c r="A2" s="247" t="s">
        <x:v>24</x:v>
      </x:c>
      <x:c r="B2" s="248"/>
      <x:c r="C2" s="249">
        <x:f>C3+G3+C5</x:f>
        <x:v>0</x:v>
      </x:c>
      <x:c r="D2" s="250"/>
      <x:c r="E2" s="251" t="s">
        <x:v>48</x:v>
      </x:c>
      <x:c r="F2" s="252"/>
      <x:c r="G2" s="6"/>
      <x:c r="H2" s="253" t="s">
        <x:v>148</x:v>
      </x:c>
      <x:c r="I2" s="254"/>
      <x:c r="J2" s="254"/>
      <x:c r="K2" s="255"/>
    </x:row>
    <x:row r="3" spans="1:11" ht="30.949999999999999" customHeight="1">
      <x:c r="A3" s="224" t="s">
        <x:v>95</x:v>
      </x:c>
      <x:c r="B3" s="225"/>
      <x:c r="C3" s="213">
        <x:f>SUM('1'!C3)</x:f>
        <x:v>0</x:v>
      </x:c>
      <x:c r="D3" s="213"/>
      <x:c r="E3" s="225" t="s">
        <x:v>128</x:v>
      </x:c>
      <x:c r="F3" s="225"/>
      <x:c r="G3" s="7">
        <x:f>SUM('1'!G3)</x:f>
        <x:v>0</x:v>
      </x:c>
      <x:c r="H3" s="256"/>
      <x:c r="I3" s="257"/>
      <x:c r="J3" s="257"/>
      <x:c r="K3" s="258"/>
    </x:row>
    <x:row r="4" spans="1:11" ht="30.949999999999999" customHeight="1">
      <x:c r="A4" s="231" t="s">
        <x:v>79</x:v>
      </x:c>
      <x:c r="B4" s="227"/>
      <x:c r="C4" s="265">
        <x:f>C21</x:f>
        <x:v>0</x:v>
      </x:c>
      <x:c r="D4" s="265"/>
      <x:c r="E4" s="226" t="s">
        <x:v>49</x:v>
      </x:c>
      <x:c r="F4" s="227"/>
      <x:c r="G4" s="8">
        <x:f>C17</x:f>
        <x:v>0</x:v>
      </x:c>
      <x:c r="H4" s="259"/>
      <x:c r="I4" s="260"/>
      <x:c r="J4" s="260"/>
      <x:c r="K4" s="261"/>
    </x:row>
    <x:row r="5" spans="1:11" ht="30.949999999999999" customHeight="1">
      <x:c r="A5" s="224" t="s">
        <x:v>101</x:v>
      </x:c>
      <x:c r="B5" s="225"/>
      <x:c r="C5" s="266">
        <x:f>C6+G6</x:f>
        <x:v>0</x:v>
      </x:c>
      <x:c r="D5" s="267"/>
      <x:c r="E5" s="226" t="s">
        <x:v>64</x:v>
      </x:c>
      <x:c r="F5" s="227"/>
      <x:c r="G5" s="8">
        <x:f>C4-G4</x:f>
        <x:v>0</x:v>
      </x:c>
      <x:c r="H5" s="259"/>
      <x:c r="I5" s="260"/>
      <x:c r="J5" s="260"/>
      <x:c r="K5" s="261"/>
    </x:row>
    <x:row r="6" spans="1:11" ht="30.949999999999999" customHeight="1">
      <x:c r="A6" s="224" t="s">
        <x:v>134</x:v>
      </x:c>
      <x:c r="B6" s="225"/>
      <x:c r="C6" s="213">
        <x:f>SUM('1'!C7)</x:f>
        <x:v>0</x:v>
      </x:c>
      <x:c r="D6" s="213"/>
      <x:c r="E6" s="225" t="s">
        <x:v>72</x:v>
      </x:c>
      <x:c r="F6" s="225"/>
      <x:c r="G6" s="7">
        <x:f>SUM('1'!G7)</x:f>
        <x:v>0</x:v>
      </x:c>
      <x:c r="H6" s="259"/>
      <x:c r="I6" s="260"/>
      <x:c r="J6" s="260"/>
      <x:c r="K6" s="261"/>
    </x:row>
    <x:row r="7" spans="1:11" ht="30.949999999999999" customHeight="1">
      <x:c r="A7" s="224" t="s">
        <x:v>110</x:v>
      </x:c>
      <x:c r="B7" s="225"/>
      <x:c r="C7" s="242"/>
      <x:c r="D7" s="242"/>
      <x:c r="E7" s="242"/>
      <x:c r="F7" s="242"/>
      <x:c r="G7" s="242"/>
      <x:c r="H7" s="262"/>
      <x:c r="I7" s="263"/>
      <x:c r="J7" s="263"/>
      <x:c r="K7" s="264"/>
    </x:row>
    <x:row r="8" spans="1:11" ht="30.949999999999999" customHeight="1">
      <x:c r="A8" s="224"/>
      <x:c r="B8" s="225"/>
      <x:c r="C8" s="242"/>
      <x:c r="D8" s="242"/>
      <x:c r="E8" s="242"/>
      <x:c r="F8" s="242"/>
      <x:c r="G8" s="242"/>
      <x:c r="H8" s="5" t="s">
        <x:v>150</x:v>
      </x:c>
      <x:c r="I8" s="243" t="s">
        <x:v>116</x:v>
      </x:c>
      <x:c r="J8" s="244"/>
      <x:c r="K8" s="9">
        <x:f>SUM('1'!K9)</x:f>
        <x:v>0</x:v>
      </x:c>
    </x:row>
    <x:row r="9" spans="1:11" ht="30.949999999999999" customHeight="1">
      <x:c r="A9" s="224"/>
      <x:c r="B9" s="225"/>
      <x:c r="C9" s="242"/>
      <x:c r="D9" s="242"/>
      <x:c r="E9" s="242"/>
      <x:c r="F9" s="242"/>
      <x:c r="G9" s="242"/>
      <x:c r="H9" s="225" t="s">
        <x:v>37</x:v>
      </x:c>
      <x:c r="I9" s="243" t="s">
        <x:v>116</x:v>
      </x:c>
      <x:c r="J9" s="244"/>
      <x:c r="K9" s="9">
        <x:f>SUM('1'!K10)</x:f>
        <x:v>0</x:v>
      </x:c>
    </x:row>
    <x:row r="10" spans="1:11" ht="30.949999999999999" customHeight="1">
      <x:c r="A10" s="224"/>
      <x:c r="B10" s="225"/>
      <x:c r="C10" s="242"/>
      <x:c r="D10" s="242"/>
      <x:c r="E10" s="242"/>
      <x:c r="F10" s="242"/>
      <x:c r="G10" s="242"/>
      <x:c r="H10" s="225"/>
      <x:c r="I10" s="245" t="s">
        <x:v>138</x:v>
      </x:c>
      <x:c r="J10" s="246"/>
      <x:c r="K10" s="10">
        <x:f>SUM('1'!K11)</x:f>
        <x:v>15714.285714285714</x:v>
      </x:c>
    </x:row>
    <x:row r="11" spans="1:11" ht="32.100000000000001" customHeight="1">
      <x:c r="A11" s="231" t="s">
        <x:v>80</x:v>
      </x:c>
      <x:c r="B11" s="227"/>
      <x:c r="C11" s="237"/>
      <x:c r="D11" s="238"/>
      <x:c r="E11" s="238"/>
      <x:c r="F11" s="238"/>
      <x:c r="G11" s="239"/>
      <x:c r="H11" s="3" t="s">
        <x:v>135</x:v>
      </x:c>
      <x:c r="I11" s="237"/>
      <x:c r="J11" s="238"/>
      <x:c r="K11" s="240"/>
    </x:row>
    <x:row r="12" spans="1:11" ht="69.950000000000003" customHeight="1">
      <x:c r="A12" s="231" t="s">
        <x:v>125</x:v>
      </x:c>
      <x:c r="B12" s="227"/>
      <x:c r="C12" s="215"/>
      <x:c r="D12" s="241"/>
      <x:c r="E12" s="241"/>
      <x:c r="F12" s="241"/>
      <x:c r="G12" s="229"/>
      <x:c r="H12" s="3" t="s">
        <x:v>121</x:v>
      </x:c>
      <x:c r="I12" s="215"/>
      <x:c r="J12" s="241"/>
      <x:c r="K12" s="216"/>
    </x:row>
    <x:row r="13" spans="1:11" ht="30.949999999999999" customHeight="1">
      <x:c r="A13" s="224" t="s">
        <x:v>129</x:v>
      </x:c>
      <x:c r="B13" s="225"/>
      <x:c r="C13" s="226" t="s">
        <x:v>94</x:v>
      </x:c>
      <x:c r="D13" s="227"/>
      <x:c r="E13" s="226" t="s">
        <x:v>140</x:v>
      </x:c>
      <x:c r="F13" s="228"/>
      <x:c r="G13" s="227"/>
      <x:c r="H13" s="225" t="s">
        <x:v>139</x:v>
      </x:c>
      <x:c r="I13" s="225"/>
      <x:c r="J13" s="225" t="s">
        <x:v>84</x:v>
      </x:c>
      <x:c r="K13" s="232"/>
    </x:row>
    <x:row r="14" spans="1:11" ht="30.949999999999999" customHeight="1">
      <x:c r="A14" s="233">
        <x:f>C2</x:f>
        <x:v>0</x:v>
      </x:c>
      <x:c r="B14" s="234"/>
      <x:c r="C14" s="235" t="e">
        <x:f>ROUNDDOWN((E14/A14),-4)</x:f>
        <x:v>#DIV/0!</x:v>
      </x:c>
      <x:c r="D14" s="234"/>
      <x:c r="E14" s="235">
        <x:f>C2</x:f>
        <x:v>0</x:v>
      </x:c>
      <x:c r="F14" s="236"/>
      <x:c r="G14" s="234"/>
      <x:c r="H14" s="215"/>
      <x:c r="I14" s="229"/>
      <x:c r="J14" s="215"/>
      <x:c r="K14" s="216"/>
    </x:row>
    <x:row r="15" spans="1:11" ht="30.949999999999999" customHeight="1">
      <x:c r="A15" s="224" t="s">
        <x:v>74</x:v>
      </x:c>
      <x:c r="B15" s="225"/>
      <x:c r="C15" s="226"/>
      <x:c r="D15" s="227"/>
      <x:c r="E15" s="226"/>
      <x:c r="F15" s="228"/>
      <x:c r="G15" s="227"/>
      <x:c r="H15" s="215"/>
      <x:c r="I15" s="229"/>
      <x:c r="J15" s="215"/>
      <x:c r="K15" s="216"/>
    </x:row>
    <x:row r="16" spans="1:11" ht="30.949999999999999" customHeight="1">
      <x:c r="A16" s="231" t="s">
        <x:v>151</x:v>
      </x:c>
      <x:c r="B16" s="228"/>
      <x:c r="C16" s="228"/>
      <x:c r="D16" s="228"/>
      <x:c r="E16" s="228"/>
      <x:c r="F16" s="227"/>
      <x:c r="G16" s="225" t="s">
        <x:v>151</x:v>
      </x:c>
      <x:c r="H16" s="225"/>
      <x:c r="I16" s="225"/>
      <x:c r="J16" s="225"/>
      <x:c r="K16" s="232"/>
    </x:row>
    <x:row r="17" spans="1:11" ht="30.949999999999999" customHeight="1">
      <x:c r="A17" s="224" t="s">
        <x:v>61</x:v>
      </x:c>
      <x:c r="B17" s="225"/>
      <x:c r="C17" s="213"/>
      <x:c r="D17" s="213"/>
      <x:c r="E17" s="213"/>
      <x:c r="F17" s="213"/>
      <x:c r="G17" s="3" t="s">
        <x:v>61</x:v>
      </x:c>
      <x:c r="H17" s="213"/>
      <x:c r="I17" s="213"/>
      <x:c r="J17" s="213"/>
      <x:c r="K17" s="214"/>
    </x:row>
    <x:row r="18" spans="1:11" ht="30.949999999999999" customHeight="1">
      <x:c r="A18" s="224" t="s">
        <x:v>8</x:v>
      </x:c>
      <x:c r="B18" s="225"/>
      <x:c r="C18" s="213"/>
      <x:c r="D18" s="213"/>
      <x:c r="E18" s="213"/>
      <x:c r="F18" s="213"/>
      <x:c r="G18" s="3" t="s">
        <x:v>8</x:v>
      </x:c>
      <x:c r="H18" s="213"/>
      <x:c r="I18" s="213"/>
      <x:c r="J18" s="213"/>
      <x:c r="K18" s="214"/>
    </x:row>
    <x:row r="19" spans="1:11" ht="30.949999999999999" customHeight="1">
      <x:c r="A19" s="224" t="s">
        <x:v>55</x:v>
      </x:c>
      <x:c r="B19" s="225"/>
      <x:c r="C19" s="213"/>
      <x:c r="D19" s="213"/>
      <x:c r="E19" s="213"/>
      <x:c r="F19" s="213"/>
      <x:c r="G19" s="3" t="s">
        <x:v>55</x:v>
      </x:c>
      <x:c r="H19" s="213"/>
      <x:c r="I19" s="213"/>
      <x:c r="J19" s="213"/>
      <x:c r="K19" s="214"/>
    </x:row>
    <x:row r="20" spans="1:11" ht="30.949999999999999" customHeight="1">
      <x:c r="A20" s="224" t="s">
        <x:v>46</x:v>
      </x:c>
      <x:c r="B20" s="225"/>
      <x:c r="C20" s="213"/>
      <x:c r="D20" s="213"/>
      <x:c r="E20" s="213"/>
      <x:c r="F20" s="213"/>
      <x:c r="G20" s="3" t="s">
        <x:v>46</x:v>
      </x:c>
      <x:c r="H20" s="213"/>
      <x:c r="I20" s="213"/>
      <x:c r="J20" s="213"/>
      <x:c r="K20" s="214"/>
    </x:row>
    <x:row r="21" spans="1:11" ht="30.949999999999999" customHeight="1">
      <x:c r="A21" s="217" t="s">
        <x:v>28</x:v>
      </x:c>
      <x:c r="B21" s="218"/>
      <x:c r="C21" s="219">
        <x:f>SUM(C17:E20)</x:f>
        <x:v>0</x:v>
      </x:c>
      <x:c r="D21" s="220"/>
      <x:c r="E21" s="220"/>
      <x:c r="F21" s="221"/>
      <x:c r="G21" s="4" t="s">
        <x:v>28</x:v>
      </x:c>
      <x:c r="H21" s="222">
        <x:f>SUM(H17:K20)</x:f>
        <x:v>0</x:v>
      </x:c>
      <x:c r="I21" s="222"/>
      <x:c r="J21" s="222"/>
      <x:c r="K21" s="223"/>
    </x:row>
  </x:sheetData>
  <x:mergeCells count="62">
    <x:mergeCell ref="H18:K18"/>
    <x:mergeCell ref="J15:K15"/>
    <x:mergeCell ref="A21:B21"/>
    <x:mergeCell ref="C21:F21"/>
    <x:mergeCell ref="H21:K21"/>
    <x:mergeCell ref="A15:B15"/>
    <x:mergeCell ref="C15:D15"/>
    <x:mergeCell ref="E15:G15"/>
    <x:mergeCell ref="H15:I15"/>
    <x:mergeCell ref="A1:K1"/>
    <x:mergeCell ref="A19:B19"/>
    <x:mergeCell ref="C19:F19"/>
    <x:mergeCell ref="H19:K19"/>
    <x:mergeCell ref="A20:B20"/>
    <x:mergeCell ref="C20:F20"/>
    <x:mergeCell ref="H20:K20"/>
    <x:mergeCell ref="A17:B17"/>
    <x:mergeCell ref="C17:F17"/>
    <x:mergeCell ref="H17:K17"/>
    <x:mergeCell ref="A18:B18"/>
    <x:mergeCell ref="C18:F18"/>
    <x:mergeCell ref="A16:F16"/>
    <x:mergeCell ref="G16:K16"/>
    <x:mergeCell ref="A13:B13"/>
    <x:mergeCell ref="C13:D13"/>
    <x:mergeCell ref="E13:G13"/>
    <x:mergeCell ref="H13:I13"/>
    <x:mergeCell ref="J13:K13"/>
    <x:mergeCell ref="A14:B14"/>
    <x:mergeCell ref="C14:D14"/>
    <x:mergeCell ref="E14:G14"/>
    <x:mergeCell ref="H14:I14"/>
    <x:mergeCell ref="J14:K14"/>
    <x:mergeCell ref="A11:B11"/>
    <x:mergeCell ref="C11:G11"/>
    <x:mergeCell ref="I11:K11"/>
    <x:mergeCell ref="A12:B12"/>
    <x:mergeCell ref="C12:G12"/>
    <x:mergeCell ref="I12:K12"/>
    <x:mergeCell ref="E6:F6"/>
    <x:mergeCell ref="A7:B10"/>
    <x:mergeCell ref="C7:G10"/>
    <x:mergeCell ref="I8:J8"/>
    <x:mergeCell ref="H9:H10"/>
    <x:mergeCell ref="I9:J9"/>
    <x:mergeCell ref="I10:J10"/>
    <x:mergeCell ref="A2:B2"/>
    <x:mergeCell ref="C2:D2"/>
    <x:mergeCell ref="E2:F2"/>
    <x:mergeCell ref="H2:K2"/>
    <x:mergeCell ref="A3:B3"/>
    <x:mergeCell ref="C3:D3"/>
    <x:mergeCell ref="E3:F3"/>
    <x:mergeCell ref="H3:K7"/>
    <x:mergeCell ref="A4:B4"/>
    <x:mergeCell ref="C4:D4"/>
    <x:mergeCell ref="E4:F4"/>
    <x:mergeCell ref="A5:B5"/>
    <x:mergeCell ref="C5:D5"/>
    <x:mergeCell ref="E5:F5"/>
    <x:mergeCell ref="A6:B6"/>
    <x:mergeCell ref="C6:D6"/>
  </x:mergeCells>
  <x:pageMargins left="0.52958333492279053" right="0.47972223162651062" top="0.97000002861022949" bottom="0.49000000953674316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U58"/>
  <x:sheetViews>
    <x:sheetView topLeftCell="A1" zoomScale="60" zoomScaleNormal="60" zoomScaleSheetLayoutView="75" workbookViewId="0">
      <x:selection activeCell="C30" activeCellId="0" sqref="C30:C30"/>
    </x:sheetView>
  </x:sheetViews>
  <x:sheetFormatPr defaultColWidth="9" defaultRowHeight="16.5" customHeight="1"/>
  <x:cols>
    <x:col min="1" max="1" width="13.75" style="1" customWidth="1"/>
    <x:col min="2" max="2" width="13.875" style="1" customWidth="1"/>
    <x:col min="3" max="3" width="13.375" style="1" customWidth="1"/>
    <x:col min="4" max="4" width="20.625" style="1" customWidth="1"/>
    <x:col min="5" max="5" width="16" style="1" customWidth="1"/>
    <x:col min="6" max="6" width="11.375" style="1" customWidth="1"/>
    <x:col min="7" max="7" width="20.625" style="1" customWidth="1"/>
    <x:col min="8" max="8" width="15.25" style="1" customWidth="1"/>
    <x:col min="9" max="9" width="14.875" style="1" customWidth="1"/>
    <x:col min="10" max="10" width="14" style="1" customWidth="1"/>
    <x:col min="11" max="11" width="14.25" style="1" customWidth="1"/>
    <x:col min="12" max="12" width="4.25" style="1" customWidth="1"/>
    <x:col min="13" max="13" width="13.125" style="1" customWidth="1"/>
    <x:col min="14" max="14" width="13" style="1" customWidth="1"/>
    <x:col min="16" max="16" width="12.125" style="1" bestFit="1" customWidth="1"/>
    <x:col min="20" max="20" width="13" style="1" bestFit="1" customWidth="1"/>
    <x:col min="21" max="21" width="10.875" style="1" bestFit="1" customWidth="1"/>
  </x:cols>
  <x:sheetData>
    <x:row r="1" spans="5:5" customHeight="1">
      <x:c r="E1" s="142" t="s">
        <x:v>9</x:v>
      </x:c>
    </x:row>
    <x:row r="2" spans="1:2" ht="16.399999999999999">
      <x:c r="A2" s="11"/>
      <x:c r="B2" s="11"/>
    </x:row>
    <x:row r="3" ht="16.399999999999999"/>
    <x:row r="4" spans="1:16" customHeight="1">
      <x:c r="A4" s="296" t="s">
        <x:v>130</x:v>
      </x:c>
      <x:c r="B4" s="297"/>
      <x:c r="C4" s="297"/>
      <x:c r="D4" s="297"/>
      <x:c r="E4" s="298"/>
      <x:c r="F4" s="296" t="s">
        <x:v>99</x:v>
      </x:c>
      <x:c r="G4" s="297"/>
      <x:c r="H4" s="297"/>
      <x:c r="I4" s="297"/>
      <x:c r="J4" s="297"/>
      <x:c r="K4" s="298"/>
      <x:c r="M4" s="70"/>
      <x:c r="N4" s="70"/>
      <x:c r="O4" s="70"/>
      <x:c r="P4" s="70"/>
    </x:row>
    <x:row r="5" spans="1:16" s="15" customFormat="1" ht="17.149999999999999">
      <x:c r="A5" s="301" t="s">
        <x:v>27</x:v>
      </x:c>
      <x:c r="B5" s="302"/>
      <x:c r="C5" s="13"/>
      <x:c r="D5" s="13" t="s">
        <x:v>97</x:v>
      </x:c>
      <x:c r="E5" s="14" t="s">
        <x:v>85</x:v>
      </x:c>
      <x:c r="F5" s="12" t="s">
        <x:v>27</x:v>
      </x:c>
      <x:c r="G5" s="13" t="s">
        <x:v>31</x:v>
      </x:c>
      <x:c r="H5" s="13" t="s">
        <x:v>5</x:v>
      </x:c>
      <x:c r="I5" s="14"/>
      <x:c r="J5" s="13" t="s">
        <x:v>97</x:v>
      </x:c>
      <x:c r="K5" s="14"/>
      <x:c r="M5" s="77" t="s">
        <x:v>78</x:v>
      </x:c>
      <x:c r="N5" s="128">
        <x:f>SUM('1:28'!G6)</x:f>
        <x:v>12150500</x:v>
      </x:c>
      <x:c r="O5" s="70"/>
      <x:c r="P5" s="70"/>
    </x:row>
    <x:row r="6" spans="1:16" ht="16.399999999999999">
      <x:c r="A6" s="299" t="s">
        <x:v>23</x:v>
      </x:c>
      <x:c r="B6" s="300"/>
      <x:c r="C6" s="16">
        <x:v>6985000</x:v>
      </x:c>
      <x:c r="D6" s="16">
        <x:f>C6</x:f>
        <x:v>6985000</x:v>
      </x:c>
      <x:c r="E6" s="149">
        <x:f>D6/$B$45</x:f>
        <x:v>0.063289992298282971</x:v>
      </x:c>
      <x:c r="F6" s="290" t="s">
        <x:v>63</x:v>
      </x:c>
      <x:c r="G6" s="67" t="s">
        <x:v>44</x:v>
      </x:c>
      <x:c r="H6" s="16">
        <x:f>SUM('1:28'!I4)</x:f>
        <x:v>27944029</x:v>
      </x:c>
      <x:c r="I6" s="71">
        <x:f>H6/$B$45</x:f>
        <x:v>0.25319647533185341</x:v>
      </x:c>
      <x:c r="J6" s="293">
        <x:f>SUM(H6:H18)</x:f>
        <x:v>39871805</x:v>
      </x:c>
      <x:c r="K6" s="303">
        <x:f>J6/$B$45</x:f>
        <x:v>0.36127218774067865</x:v>
      </x:c>
      <x:c r="M6" s="76"/>
      <x:c r="N6" s="129"/>
      <x:c r="O6" s="70"/>
      <x:c r="P6" s="70"/>
    </x:row>
    <x:row r="7" spans="1:16" ht="16.75">
      <x:c r="A7" s="299" t="s">
        <x:v>53</x:v>
      </x:c>
      <x:c r="B7" s="300"/>
      <x:c r="C7" s="16">
        <x:v>2600000</x:v>
      </x:c>
      <x:c r="D7" s="16">
        <x:f>C7</x:f>
        <x:v>2600000</x:v>
      </x:c>
      <x:c r="E7" s="17">
        <x:f>D7/$B$45</x:f>
        <x:v>0.02355819326779323</x:v>
      </x:c>
      <x:c r="F7" s="291"/>
      <x:c r="G7" s="67" t="s">
        <x:v>63</x:v>
      </x:c>
      <x:c r="H7" s="16">
        <x:f>SUM('1:28'!I5)</x:f>
        <x:v>3952626</x:v>
      </x:c>
      <x:c r="I7" s="71">
        <x:f>H7/$B$45</x:f>
        <x:v>0.035814125855117111</x:v>
      </x:c>
      <x:c r="J7" s="294"/>
      <x:c r="K7" s="289"/>
      <x:c r="M7" s="78" t="s">
        <x:v>35</x:v>
      </x:c>
      <x:c r="N7" s="130">
        <x:f>SUM('28'!C15)</x:f>
        <x:v>1183</x:v>
      </x:c>
      <x:c r="O7" s="70"/>
      <x:c r="P7" s="70"/>
    </x:row>
    <x:row r="8" spans="1:16" ht="16.399999999999999">
      <x:c r="A8" s="299" t="s">
        <x:v>68</x:v>
      </x:c>
      <x:c r="B8" s="300"/>
      <x:c r="C8" s="16">
        <x:v>154000</x:v>
      </x:c>
      <x:c r="D8" s="16">
        <x:f t="shared" ref="D8:D17" si="0">C8</x:f>
        <x:v>154000</x:v>
      </x:c>
      <x:c r="E8" s="17">
        <x:f>D8/$B$45</x:f>
        <x:v>0.0013953699089385221</x:v>
      </x:c>
      <x:c r="F8" s="291"/>
      <x:c r="G8" s="67" t="s">
        <x:v>36</x:v>
      </x:c>
      <x:c r="H8" s="16">
        <x:f>SUM('1:28'!I7)</x:f>
        <x:v>3070250</x:v>
      </x:c>
      <x:c r="I8" s="71">
        <x:f>H8/$B$45</x:f>
        <x:v>0.027819054954016219</x:v>
      </x:c>
      <x:c r="J8" s="294"/>
      <x:c r="K8" s="289"/>
      <x:c r="M8" s="79" t="s">
        <x:v>22</x:v>
      </x:c>
      <x:c r="N8" s="131">
        <x:f>SUM('28'!C13)</x:f>
        <x:v>358</x:v>
      </x:c>
      <x:c r="O8" s="70"/>
      <x:c r="P8" s="70"/>
    </x:row>
    <x:row r="9" spans="1:16" ht="16.399999999999999">
      <x:c r="A9" s="305" t="s">
        <x:v>16</x:v>
      </x:c>
      <x:c r="B9" s="300"/>
      <x:c r="C9" s="16">
        <x:v>670000</x:v>
      </x:c>
      <x:c r="D9" s="16">
        <x:f t="shared" si="0"/>
        <x:v>670000</x:v>
      </x:c>
      <x:c r="E9" s="17">
        <x:f t="shared" ref="E9:E17" si="1">D9/$B$45</x:f>
        <x:v>0.0060707651882390247</x:v>
      </x:c>
      <x:c r="F9" s="291"/>
      <x:c r="G9" s="67" t="s">
        <x:v>15</x:v>
      </x:c>
      <x:c r="H9" s="16">
        <x:f>SUM('1:28'!I8)</x:f>
        <x:v>670000</x:v>
      </x:c>
      <x:c r="I9" s="71">
        <x:f>H9/$B$45</x:f>
        <x:v>0.0060707651882390247</x:v>
      </x:c>
      <x:c r="J9" s="294"/>
      <x:c r="K9" s="289"/>
      <x:c r="M9" s="79" t="s">
        <x:v>0</x:v>
      </x:c>
      <x:c r="N9" s="131">
        <x:f>SUM('28'!C17)</x:f>
        <x:v>194</x:v>
      </x:c>
      <x:c r="O9" s="70"/>
      <x:c r="P9" s="70"/>
    </x:row>
    <x:row r="10" spans="1:16" ht="16.399999999999999">
      <x:c r="A10" s="299" t="s">
        <x:v>89</x:v>
      </x:c>
      <x:c r="B10" s="300"/>
      <x:c r="C10" s="16">
        <x:v>66000</x:v>
      </x:c>
      <x:c r="D10" s="16">
        <x:f t="shared" si="0"/>
        <x:v>66000</x:v>
      </x:c>
      <x:c r="E10" s="17">
        <x:f t="shared" si="1"/>
        <x:v>0.00059801567525936668</x:v>
      </x:c>
      <x:c r="F10" s="291"/>
      <x:c r="G10" s="67" t="s">
        <x:v>38</x:v>
      </x:c>
      <x:c r="H10" s="16">
        <x:f>SUM('1:28'!I11)</x:f>
        <x:v>300000</x:v>
      </x:c>
      <x:c r="I10" s="71">
        <x:f>H10/$B$45</x:f>
        <x:v>0.0027182530693607575</x:v>
      </x:c>
      <x:c r="J10" s="294"/>
      <x:c r="K10" s="289"/>
      <x:c r="M10" s="79" t="s">
        <x:v>104</x:v>
      </x:c>
      <x:c r="N10" s="131">
        <x:f>SUM('28'!F13)</x:f>
        <x:v>240</x:v>
      </x:c>
      <x:c r="O10" s="70"/>
      <x:c r="P10" s="70"/>
    </x:row>
    <x:row r="11" spans="1:16" ht="16.399999999999999">
      <x:c r="A11" s="299" t="s">
        <x:v>12</x:v>
      </x:c>
      <x:c r="B11" s="300"/>
      <x:c r="C11" s="16">
        <x:v>330000</x:v>
      </x:c>
      <x:c r="D11" s="16">
        <x:f t="shared" si="0"/>
        <x:v>330000</x:v>
      </x:c>
      <x:c r="E11" s="17">
        <x:f t="shared" si="1"/>
        <x:v>0.0029900783762968333</x:v>
      </x:c>
      <x:c r="F11" s="291"/>
      <x:c r="G11" s="67" t="s">
        <x:v>83</x:v>
      </x:c>
      <x:c r="H11" s="16">
        <x:f>SUM('1:28'!I12)</x:f>
        <x:v>0</x:v>
      </x:c>
      <x:c r="I11" s="71">
        <x:f t="shared" ref="I11:I12" si="2">H11/$B$45</x:f>
        <x:v>0</x:v>
      </x:c>
      <x:c r="J11" s="294"/>
      <x:c r="K11" s="289"/>
      <x:c r="M11" s="79" t="s">
        <x:v>87</x:v>
      </x:c>
      <x:c r="N11" s="131">
        <x:f>SUM('28'!F15)</x:f>
        <x:v>481</x:v>
      </x:c>
      <x:c r="O11" s="70"/>
      <x:c r="P11" s="70"/>
    </x:row>
    <x:row r="12" spans="1:16" ht="16.399999999999999">
      <x:c r="A12" s="299" t="s">
        <x:v>26</x:v>
      </x:c>
      <x:c r="B12" s="300"/>
      <x:c r="C12" s="16">
        <x:v>48000</x:v>
      </x:c>
      <x:c r="D12" s="16">
        <x:f t="shared" si="0"/>
        <x:v>48000</x:v>
      </x:c>
      <x:c r="E12" s="17">
        <x:f t="shared" si="1"/>
        <x:v>0.00043492049109772118</x:v>
      </x:c>
      <x:c r="F12" s="291"/>
      <x:c r="G12" s="54" t="s">
        <x:v>127</x:v>
      </x:c>
      <x:c r="H12" s="16">
        <x:f>SUM('1:28'!I13)</x:f>
        <x:v>240000</x:v>
      </x:c>
      <x:c r="I12" s="71">
        <x:f t="shared" si="2"/>
        <x:v>0.0021746024554886059</x:v>
      </x:c>
      <x:c r="J12" s="294"/>
      <x:c r="K12" s="289"/>
      <x:c r="M12" s="79" t="s">
        <x:v>115</x:v>
      </x:c>
      <x:c r="N12" s="131">
        <x:f>SUM('28'!F17)</x:f>
        <x:v>389</x:v>
      </x:c>
      <x:c r="O12" s="70"/>
      <x:c r="P12" s="70"/>
    </x:row>
    <x:row r="13" spans="1:16" ht="16.399999999999999">
      <x:c r="A13" s="305" t="s">
        <x:v>82</x:v>
      </x:c>
      <x:c r="B13" s="300"/>
      <x:c r="C13" s="16">
        <x:v>66000</x:v>
      </x:c>
      <x:c r="D13" s="16">
        <x:f t="shared" si="0"/>
        <x:v>66000</x:v>
      </x:c>
      <x:c r="E13" s="17">
        <x:f t="shared" si="1"/>
        <x:v>0.00059801567525936668</x:v>
      </x:c>
      <x:c r="F13" s="291"/>
      <x:c r="G13" s="54" t="s">
        <x:v>108</x:v>
      </x:c>
      <x:c r="H13" s="16">
        <x:f>SUM('1:28'!I14)</x:f>
        <x:v>0</x:v>
      </x:c>
      <x:c r="I13" s="71">
        <x:f>H13/$B$45</x:f>
        <x:v>0</x:v>
      </x:c>
      <x:c r="J13" s="294"/>
      <x:c r="K13" s="289"/>
      <x:c r="M13" s="147" t="s">
        <x:v>124</x:v>
      </x:c>
      <x:c r="N13" s="131">
        <x:f>SUM('28'!C19)</x:f>
        <x:v>897</x:v>
      </x:c>
      <x:c r="O13" s="70"/>
      <x:c r="P13" s="70"/>
    </x:row>
    <x:row r="14" spans="1:16" ht="16.399999999999999">
      <x:c r="A14" s="299"/>
      <x:c r="B14" s="300"/>
      <x:c r="C14" s="16"/>
      <x:c r="D14" s="16">
        <x:f t="shared" si="0"/>
        <x:v>0</x:v>
      </x:c>
      <x:c r="E14" s="17">
        <x:f t="shared" si="1"/>
        <x:v>0</x:v>
      </x:c>
      <x:c r="F14" s="291"/>
      <x:c r="G14" s="54" t="s">
        <x:v>59</x:v>
      </x:c>
      <x:c r="H14" s="16">
        <x:f>SUM('1:28'!I17)</x:f>
        <x:v>16500</x:v>
      </x:c>
      <x:c r="I14" s="71">
        <x:f>H14/$B$45</x:f>
        <x:v>0.00014950391881484167</x:v>
      </x:c>
      <x:c r="J14" s="294"/>
      <x:c r="K14" s="289"/>
      <x:c r="M14" s="134" t="s">
        <x:v>126</x:v>
      </x:c>
      <x:c r="N14" s="131">
        <x:f>SUM('28'!F19)</x:f>
        <x:v>333</x:v>
      </x:c>
      <x:c r="O14" s="70"/>
      <x:c r="P14" s="70"/>
    </x:row>
    <x:row r="15" spans="1:16" ht="16.75">
      <x:c r="A15" s="299"/>
      <x:c r="B15" s="300"/>
      <x:c r="C15" s="16"/>
      <x:c r="D15" s="16">
        <x:f t="shared" si="0"/>
        <x:v>0</x:v>
      </x:c>
      <x:c r="E15" s="17">
        <x:f t="shared" si="1"/>
        <x:v>0</x:v>
      </x:c>
      <x:c r="F15" s="291"/>
      <x:c r="G15" s="69" t="s">
        <x:v>90</x:v>
      </x:c>
      <x:c r="H15" s="93">
        <x:f>SUM('1:28'!I15)</x:f>
        <x:v>3678400</x:v>
      </x:c>
      <x:c r="I15" s="73">
        <x:f>H15/$B$45</x:f>
        <x:v>0.033329406967788702</x:v>
      </x:c>
      <x:c r="J15" s="294"/>
      <x:c r="K15" s="289"/>
      <x:c r="M15" s="143" t="s">
        <x:v>133</x:v>
      </x:c>
      <x:c r="N15" s="132">
        <x:f>SUM('28'!F21)</x:f>
        <x:v>1513</x:v>
      </x:c>
      <x:c r="O15" s="70"/>
      <x:c r="P15" s="70"/>
    </x:row>
    <x:row r="16" spans="1:16" ht="16.399999999999999">
      <x:c r="A16" s="307" t="s">
        <x:v>60</x:v>
      </x:c>
      <x:c r="B16" s="308"/>
      <x:c r="C16" s="16">
        <x:v>1191660</x:v>
      </x:c>
      <x:c r="D16" s="16">
        <x:f t="shared" si="0"/>
        <x:v>1191660</x:v>
      </x:c>
      <x:c r="E16" s="17">
        <x:f t="shared" si="1"/>
        <x:v>0.010797444842114801</x:v>
      </x:c>
      <x:c r="F16" s="291"/>
      <x:c r="J16" s="294"/>
      <x:c r="K16" s="289"/>
      <x:c r="M16" s="76"/>
      <x:c r="N16" s="129"/>
      <x:c r="O16" s="70"/>
      <x:c r="P16" s="70"/>
    </x:row>
    <x:row r="17" spans="1:16" ht="16.399999999999999">
      <x:c r="A17" s="307" t="s">
        <x:v>66</x:v>
      </x:c>
      <x:c r="B17" s="308"/>
      <x:c r="C17" s="16">
        <x:v>1445570</x:v>
      </x:c>
      <x:c r="D17" s="16">
        <x:f t="shared" si="0"/>
        <x:v>1445570</x:v>
      </x:c>
      <x:c r="E17" s="17">
        <x:f t="shared" si="1"/>
        <x:v>0.013098083631586101</x:v>
      </x:c>
      <x:c r="F17" s="291"/>
      <x:c r="J17" s="294"/>
      <x:c r="K17" s="289"/>
      <x:c r="M17" s="70"/>
      <x:c r="N17" s="70"/>
      <x:c r="O17" s="70"/>
      <x:c r="P17" s="70"/>
    </x:row>
    <x:row r="18" spans="1:14" ht="17.149999999999999">
      <x:c r="A18" s="272" t="s">
        <x:v>77</x:v>
      </x:c>
      <x:c r="B18" s="273"/>
      <x:c r="C18" s="274">
        <x:f>SUM(D6:D17)</x:f>
        <x:v>13556230</x:v>
      </x:c>
      <x:c r="D18" s="275"/>
      <x:c r="E18" s="92">
        <x:f>SUM(E6:E17)</x:f>
        <x:v>0.12283087935486794</x:v>
      </x:c>
      <x:c r="F18" s="292"/>
      <x:c r="J18" s="295"/>
      <x:c r="K18" s="304"/>
      <x:c r="M18" s="84"/>
      <x:c r="N18" s="70"/>
    </x:row>
    <x:row r="19" spans="1:14" ht="17.449999999999999" customHeight="1">
      <x:c r="A19" s="276" t="s">
        <x:v>14</x:v>
      </x:c>
      <x:c r="B19" s="98" t="s">
        <x:v>45</x:v>
      </x:c>
      <x:c r="C19" s="108">
        <x:v>4000000</x:v>
      </x:c>
      <x:c r="D19" s="294">
        <x:f>SUM(C19:C30)</x:f>
        <x:v>23529000</x:v>
      </x:c>
      <x:c r="E19" s="312">
        <x:f>D19/$B$45</x:f>
        <x:v>0.2131925882299642</x:v>
      </x:c>
      <x:c r="F19" s="286" t="s">
        <x:v>149</x:v>
      </x:c>
      <x:c r="G19" s="82" t="s">
        <x:v>18</x:v>
      </x:c>
      <x:c r="H19" s="16">
        <x:f>SUM('1:28'!K4)</x:f>
        <x:v>1651000</x:v>
      </x:c>
      <x:c r="I19" s="72">
        <x:f t="shared" ref="I19:I22" si="3">H19/$B$45</x:f>
        <x:v>0.014959452725048701</x:v>
      </x:c>
      <x:c r="J19" s="309">
        <x:f>SUM(H19:H32)</x:f>
        <x:v>3821959</x:v>
      </x:c>
      <x:c r="K19" s="288">
        <x:f>J19/$B$45</x:f>
        <x:v>0.034630172609069906</x:v>
      </x:c>
      <x:c r="M19" s="70"/>
      <x:c r="N19" s="70"/>
    </x:row>
    <x:row r="20" spans="1:16" ht="16.399999999999999">
      <x:c r="A20" s="276"/>
      <x:c r="B20" s="141" t="s">
        <x:v>29</x:v>
      </x:c>
      <x:c r="C20" s="16">
        <x:v>3800000</x:v>
      </x:c>
      <x:c r="D20" s="294"/>
      <x:c r="E20" s="313"/>
      <x:c r="F20" s="287"/>
      <x:c r="G20" s="83" t="s">
        <x:v>118</x:v>
      </x:c>
      <x:c r="H20" s="16">
        <x:f>SUM('1:28'!K6)</x:f>
        <x:v>84000</x:v>
      </x:c>
      <x:c r="I20" s="71">
        <x:f t="shared" si="3"/>
        <x:v>0.00076111085942101207</x:v>
      </x:c>
      <x:c r="J20" s="294"/>
      <x:c r="K20" s="289"/>
      <x:c r="M20" s="70"/>
      <x:c r="N20" s="70"/>
      <x:c r="P20" s="94"/>
    </x:row>
    <x:row r="21" spans="1:16" ht="16.399999999999999">
      <x:c r="A21" s="276"/>
      <x:c r="B21" s="141" t="s">
        <x:v>11</x:v>
      </x:c>
      <x:c r="C21" s="16">
        <x:v>3500000</x:v>
      </x:c>
      <x:c r="D21" s="294"/>
      <x:c r="E21" s="313"/>
      <x:c r="F21" s="287"/>
      <x:c r="G21" s="83" t="s">
        <x:v>100</x:v>
      </x:c>
      <x:c r="H21" s="16">
        <x:f>SUM('1:28'!K7)</x:f>
        <x:v>37500</x:v>
      </x:c>
      <x:c r="I21" s="71">
        <x:f t="shared" si="3"/>
        <x:v>0.00033978163367009469</x:v>
      </x:c>
      <x:c r="J21" s="294"/>
      <x:c r="K21" s="289"/>
      <x:c r="M21" s="70"/>
      <x:c r="N21" s="70"/>
      <x:c r="P21" s="94"/>
    </x:row>
    <x:row r="22" spans="1:16" ht="16.399999999999999">
      <x:c r="A22" s="276"/>
      <x:c r="B22" s="141" t="s">
        <x:v>21</x:v>
      </x:c>
      <x:c r="C22" s="16">
        <x:v>3200000</x:v>
      </x:c>
      <x:c r="D22" s="294"/>
      <x:c r="E22" s="313"/>
      <x:c r="F22" s="287"/>
      <x:c r="G22" s="54" t="s">
        <x:v>43</x:v>
      </x:c>
      <x:c r="H22" s="16">
        <x:f>SUM('1:28'!K9)</x:f>
        <x:v>117000</x:v>
      </x:c>
      <x:c r="I22" s="71">
        <x:f t="shared" si="3"/>
        <x:v>0.0010601186970506955</x:v>
      </x:c>
      <x:c r="J22" s="294"/>
      <x:c r="K22" s="289"/>
      <x:c r="M22" s="70"/>
      <x:c r="N22" s="70"/>
      <x:c r="P22" s="94"/>
    </x:row>
    <x:row r="23" spans="1:16" ht="16.399999999999999">
      <x:c r="A23" s="276"/>
      <x:c r="B23" s="141" t="s">
        <x:v>42</x:v>
      </x:c>
      <x:c r="C23" s="16">
        <x:v>3400000</x:v>
      </x:c>
      <x:c r="D23" s="294"/>
      <x:c r="E23" s="313"/>
      <x:c r="F23" s="287"/>
      <x:c r="G23" s="54" t="s">
        <x:v>2</x:v>
      </x:c>
      <x:c r="H23" s="16">
        <x:f>SUM('1:28'!K10)</x:f>
        <x:v>25000</x:v>
      </x:c>
      <x:c r="I23" s="71">
        <x:f>H23/$B$45</x:f>
        <x:v>0.00022652108911339647</x:v>
      </x:c>
      <x:c r="J23" s="294"/>
      <x:c r="K23" s="289"/>
      <x:c r="M23" s="70"/>
      <x:c r="N23" s="70"/>
      <x:c r="P23" s="94"/>
    </x:row>
    <x:row r="24" spans="1:16" ht="16.399999999999999">
      <x:c r="A24" s="276"/>
      <x:c r="B24" s="141"/>
      <x:c r="C24" s="16"/>
      <x:c r="D24" s="294"/>
      <x:c r="E24" s="313"/>
      <x:c r="F24" s="287"/>
      <x:c r="G24" s="54" t="s">
        <x:v>106</x:v>
      </x:c>
      <x:c r="H24" s="16">
        <x:f>SUM('1:28'!K11)</x:f>
        <x:v>440000.00000000023</x:v>
      </x:c>
      <x:c r="I24" s="71">
        <x:f>H24/$B$45</x:f>
        <x:v>0.00398677116839578</x:v>
      </x:c>
      <x:c r="J24" s="294"/>
      <x:c r="K24" s="289"/>
      <x:c r="M24" s="70"/>
      <x:c r="N24" s="70"/>
      <x:c r="P24" s="15"/>
    </x:row>
    <x:row r="25" spans="1:14" ht="16.399999999999999">
      <x:c r="A25" s="276"/>
      <x:c r="B25" s="141" t="s">
        <x:v>41</x:v>
      </x:c>
      <x:c r="C25" s="16">
        <x:f>SUM('1:28'!C31)</x:f>
        <x:v>448000</x:v>
      </x:c>
      <x:c r="D25" s="294"/>
      <x:c r="E25" s="313"/>
      <x:c r="F25" s="287"/>
      <x:c r="G25" s="54" t="s">
        <x:v>147</x:v>
      </x:c>
      <x:c r="H25" s="16">
        <x:f>SUM('1:28'!K15)</x:f>
        <x:v>6200</x:v>
      </x:c>
      <x:c r="I25" s="71">
        <x:f>H25/$B$45</x:f>
        <x:v>5.617723010012232E-5</x:v>
      </x:c>
      <x:c r="J25" s="294"/>
      <x:c r="K25" s="289"/>
      <x:c r="M25" s="70"/>
      <x:c r="N25" s="70"/>
    </x:row>
    <x:row r="26" spans="1:21" ht="16.399999999999999">
      <x:c r="A26" s="276"/>
      <x:c r="B26" s="141"/>
      <x:c r="C26" s="16"/>
      <x:c r="D26" s="294"/>
      <x:c r="E26" s="313"/>
      <x:c r="F26" s="287"/>
      <x:c r="G26" s="54" t="s">
        <x:v>81</x:v>
      </x:c>
      <x:c r="H26" s="16">
        <x:f>SUM('1:28'!K16)</x:f>
        <x:v>1418759</x:v>
      </x:c>
      <x:c r="I26" s="71">
        <x:f>H26/$B$45</x:f>
        <x:v>0.01285515335477733</x:v>
      </x:c>
      <x:c r="J26" s="294"/>
      <x:c r="K26" s="289"/>
      <x:c r="M26" s="70"/>
      <x:c r="N26" s="70"/>
      <x:c r="P26" s="94"/>
      <x:c r="T26" s="107"/>
      <x:c r="U26" s="106"/>
    </x:row>
    <x:row r="27" spans="1:21" ht="16.399999999999999">
      <x:c r="A27" s="276"/>
      <x:c r="B27" s="141"/>
      <x:c r="C27" s="16"/>
      <x:c r="D27" s="294"/>
      <x:c r="E27" s="313"/>
      <x:c r="F27" s="287"/>
      <x:c r="G27" s="54" t="s">
        <x:v>75</x:v>
      </x:c>
      <x:c r="H27" s="16">
        <x:f>SUM('1:28'!K17)</x:f>
        <x:v>42500</x:v>
      </x:c>
      <x:c r="I27" s="71">
        <x:f>H27/$B$45</x:f>
        <x:v>0.00038508585149277399</x:v>
      </x:c>
      <x:c r="J27" s="294"/>
      <x:c r="K27" s="289"/>
      <x:c r="M27" s="70"/>
      <x:c r="N27" s="70"/>
      <x:c r="P27" s="94"/>
      <x:c r="T27" s="107"/>
      <x:c r="U27" s="106"/>
    </x:row>
    <x:row r="28" spans="1:21" ht="16.399999999999999">
      <x:c r="A28" s="276"/>
      <x:c r="B28" s="1" t="s">
        <x:v>54</x:v>
      </x:c>
      <x:c r="C28" s="16">
        <x:f>SUM('1:28'!F27)+SUM('1:28'!F28)+SUM('1:28'!F29)</x:f>
        <x:v>1599000</x:v>
      </x:c>
      <x:c r="D28" s="294"/>
      <x:c r="E28" s="313"/>
      <x:c r="F28" s="287"/>
      <x:c r="G28" s="54"/>
      <x:c r="H28" s="16"/>
      <x:c r="I28" s="71"/>
      <x:c r="J28" s="294"/>
      <x:c r="K28" s="289"/>
      <x:c r="P28" s="94"/>
      <x:c r="T28" s="107"/>
      <x:c r="U28" s="106"/>
    </x:row>
    <x:row r="29" spans="1:21" ht="16.399999999999999">
      <x:c r="A29" s="276"/>
      <x:c r="B29" s="1" t="s">
        <x:v>33</x:v>
      </x:c>
      <x:c r="C29" s="106">
        <x:f>SUM('1:28'!F31)</x:f>
        <x:v>132000</x:v>
      </x:c>
      <x:c r="D29" s="294"/>
      <x:c r="E29" s="313"/>
      <x:c r="F29" s="287"/>
      <x:c r="J29" s="294"/>
      <x:c r="K29" s="289"/>
      <x:c r="P29" s="94"/>
      <x:c r="T29" s="107"/>
      <x:c r="U29" s="106"/>
    </x:row>
    <x:row r="30" spans="1:21" ht="16.399999999999999">
      <x:c r="A30" s="276"/>
      <x:c r="B30" s="1" t="s">
        <x:v>65</x:v>
      </x:c>
      <x:c r="C30" s="106">
        <x:f>SUM('1:28'!F30)</x:f>
        <x:v>3450000</x:v>
      </x:c>
      <x:c r="D30" s="294"/>
      <x:c r="E30" s="313"/>
      <x:c r="F30" s="287"/>
      <x:c r="J30" s="294"/>
      <x:c r="K30" s="289"/>
      <x:c r="P30" s="94"/>
      <x:c r="T30" s="107"/>
      <x:c r="U30" s="106"/>
    </x:row>
    <x:row r="31" spans="1:11" ht="16.399999999999999">
      <x:c r="A31" s="277"/>
      <x:c r="B31" s="141" t="s">
        <x:v>28</x:v>
      </x:c>
      <x:c r="C31" s="16">
        <x:f>SUM(C19:C30)</x:f>
        <x:v>23529000</x:v>
      </x:c>
      <x:c r="D31" s="314"/>
      <x:c r="E31" s="313"/>
      <x:c r="F31" s="287"/>
      <x:c r="J31" s="294"/>
      <x:c r="K31" s="289"/>
    </x:row>
    <x:row r="32" spans="1:11" ht="16.399999999999999">
      <x:c r="A32" s="315" t="s">
        <x:v>152</x:v>
      </x:c>
      <x:c r="B32" s="316"/>
      <x:c r="C32" s="19">
        <x:f>SUM(C19:C24)*0.1</x:f>
        <x:v>1790000</x:v>
      </x:c>
      <x:c r="D32" s="16">
        <x:f>C32</x:f>
        <x:v>1790000</x:v>
      </x:c>
      <x:c r="E32" s="289">
        <x:f>(D32:D33)/$B$45</x:f>
        <x:v>0.016218909980519187</x:v>
      </x:c>
      <x:c r="F32" s="287"/>
      <x:c r="G32" s="105"/>
      <x:c r="H32" s="85"/>
      <x:c r="I32" s="71"/>
      <x:c r="J32" s="294"/>
      <x:c r="K32" s="289"/>
    </x:row>
    <x:row r="33" spans="1:11" ht="16.75">
      <x:c r="A33" s="270" t="s">
        <x:v>73</x:v>
      </x:c>
      <x:c r="B33" s="271"/>
      <x:c r="C33" s="145"/>
      <x:c r="D33" s="146">
        <x:f>C33</x:f>
        <x:v>0</x:v>
      </x:c>
      <x:c r="E33" s="304"/>
      <x:c r="F33" s="278" t="s">
        <x:v>155</x:v>
      </x:c>
      <x:c r="G33" s="279"/>
      <x:c r="H33" s="86">
        <x:f>SUM('1:28'!$G$5)</x:f>
        <x:v>112922</x:v>
      </x:c>
      <x:c r="I33" s="86"/>
      <x:c r="J33" s="86">
        <x:f>H33</x:f>
        <x:v>112922</x:v>
      </x:c>
      <x:c r="K33" s="87">
        <x:f>J33/$B$45</x:f>
        <x:v>0.0010231685769945182</x:v>
      </x:c>
    </x:row>
    <x:row r="34" spans="1:11" ht="21.399999999999999">
      <x:c r="A34" s="310" t="s">
        <x:v>77</x:v>
      </x:c>
      <x:c r="B34" s="311"/>
      <x:c r="C34" s="284">
        <x:f>SUM(C6:D17,C19:C24,C32:C33)</x:f>
        <x:v>46802460</x:v>
      </x:c>
      <x:c r="D34" s="285"/>
      <x:c r="E34" s="20">
        <x:f>SUM(E19:E33)</x:f>
        <x:v>0.2294114982104834</x:v>
      </x:c>
      <x:c r="F34" s="280" t="s">
        <x:v>144</x:v>
      </x:c>
      <x:c r="G34" s="281"/>
      <x:c r="H34" s="88">
        <x:f>SUM('1:28'!$G$4)</x:f>
        <x:v>2702765.5</x:v>
      </x:c>
      <x:c r="I34" s="88"/>
      <x:c r="J34" s="88">
        <x:f>H34</x:f>
        <x:v>2702765.5</x:v>
      </x:c>
      <x:c r="K34" s="89">
        <x:f>J34/$B$45</x:f>
        <x:v>0.024489335387124542</x:v>
      </x:c>
    </x:row>
    <x:row r="35" spans="1:11" ht="21.399999999999999">
      <x:c r="A35" s="282" t="s">
        <x:v>123</x:v>
      </x:c>
      <x:c r="B35" s="283"/>
      <x:c r="E35" s="21">
        <x:f>E18+E34</x:f>
        <x:v>0.35224237756535137</x:v>
      </x:c>
      <x:c r="F35" s="282"/>
      <x:c r="G35" s="283"/>
      <x:c r="H35" s="284">
        <x:f>SUM(J6:J34)</x:f>
        <x:v>46509451.5</x:v>
      </x:c>
      <x:c r="I35" s="285"/>
      <x:c r="J35" s="306"/>
      <x:c r="K35" s="22">
        <x:f>SUM(K6:K34)</x:f>
        <x:v>0.42141486431386765</x:v>
      </x:c>
    </x:row>
    <x:row r="36" spans="6:11" ht="20.649999999999999">
      <x:c r="F36" s="104"/>
      <x:c r="G36" s="104"/>
      <x:c r="H36" s="103"/>
      <x:c r="I36" s="103"/>
      <x:c r="J36" s="103"/>
      <x:c r="K36" s="102"/>
    </x:row>
    <x:row r="37" spans="1:4" ht="17.800000000000001">
      <x:c r="A37" s="23"/>
      <x:c r="B37" s="23"/>
      <x:c r="C37" s="23"/>
      <x:c r="D37" s="23"/>
    </x:row>
    <x:row r="38" spans="1:11" ht="18.199999999999999">
      <x:c r="A38" s="24" t="s">
        <x:v>27</x:v>
      </x:c>
      <x:c r="B38" s="25" t="s">
        <x:v>5</x:v>
      </x:c>
      <x:c r="C38" s="26" t="s">
        <x:v>109</x:v>
      </x:c>
      <x:c r="D38" s="101" t="s">
        <x:v>119</x:v>
      </x:c>
      <x:c r="F38" s="27" t="s">
        <x:v>93</x:v>
      </x:c>
      <x:c r="G38" s="28"/>
      <x:c r="H38" s="28"/>
      <x:c r="I38" s="28"/>
      <x:c r="J38" s="28"/>
      <x:c r="K38" s="29"/>
    </x:row>
    <x:row r="39" spans="1:11" ht="17.800000000000001">
      <x:c r="A39" s="120" t="s">
        <x:v>130</x:v>
      </x:c>
      <x:c r="B39" s="30">
        <x:f>$C$34</x:f>
        <x:v>46802460</x:v>
      </x:c>
      <x:c r="C39" s="31">
        <x:f>B39/$B$41</x:f>
        <x:v>0.50157004874988553</x:v>
      </x:c>
      <x:c r="D39" s="32">
        <x:f>B39/$B$45</x:f>
        <x:v>0.42406976849544692</x:v>
      </x:c>
      <x:c r="F39" s="33" t="s">
        <x:v>154</x:v>
      </x:c>
      <x:c r="G39" s="34"/>
      <x:c r="H39" s="34"/>
      <x:c r="I39" s="34"/>
      <x:c r="J39" s="34"/>
      <x:c r="K39" s="75"/>
    </x:row>
    <x:row r="40" spans="1:11" ht="17.800000000000001">
      <x:c r="A40" s="121" t="s">
        <x:v>99</x:v>
      </x:c>
      <x:c r="B40" s="35">
        <x:f>$H$35</x:f>
        <x:v>46509451.5</x:v>
      </x:c>
      <x:c r="C40" s="31">
        <x:f>B40/$B$41</x:f>
        <x:v>0.49842995125011452</x:v>
      </x:c>
      <x:c r="D40" s="32">
        <x:f>B40/$B$45</x:f>
        <x:v>0.4214148643138676</x:v>
      </x:c>
      <x:c r="F40" s="268" t="s">
        <x:v>13</x:v>
      </x:c>
      <x:c r="G40" s="269"/>
      <x:c r="H40" s="34" t="s">
        <x:v>67</x:v>
      </x:c>
      <x:c r="I40" s="34"/>
      <x:c r="J40" s="34"/>
      <x:c r="K40" s="36">
        <x:f>$C$34</x:f>
        <x:v>46802460</x:v>
      </x:c>
    </x:row>
    <x:row r="41" spans="1:11" ht="17.800000000000001">
      <x:c r="A41" s="122" t="s">
        <x:v>25</x:v>
      </x:c>
      <x:c r="B41" s="117">
        <x:f>SUM(B39:B40)</x:f>
        <x:v>93311911.5</x:v>
      </x:c>
      <x:c r="C41" s="118">
        <x:f>SUM(C39:C40)</x:f>
        <x:v>1</x:v>
      </x:c>
      <x:c r="D41" s="119">
        <x:f>SUM(D39:D40)</x:f>
        <x:v>0.84548463280931452</x:v>
      </x:c>
      <x:c r="F41" s="268" t="s">
        <x:v>70</x:v>
      </x:c>
      <x:c r="G41" s="269"/>
      <x:c r="H41" s="34" t="s">
        <x:v>58</x:v>
      </x:c>
      <x:c r="I41" s="34"/>
      <x:c r="J41" s="34"/>
      <x:c r="K41" s="39">
        <x:f>$H$35</x:f>
        <x:v>46509451.5</x:v>
      </x:c>
    </x:row>
    <x:row r="42" spans="1:11" customHeight="1">
      <x:c r="A42" s="123" t="s">
        <x:v>95</x:v>
      </x:c>
      <x:c r="B42" s="48">
        <x:f>SUM('1:28'!C4)</x:f>
        <x:v>98282750</x:v>
      </x:c>
      <x:c r="C42" s="49"/>
      <x:c r="D42" s="40">
        <x:f>B42/$B$45</x:f>
        <x:v>0.89052462284238665</x:v>
      </x:c>
      <x:c r="F42" s="268" t="s">
        <x:v>6</x:v>
      </x:c>
      <x:c r="G42" s="269"/>
      <x:c r="H42" s="34" t="s">
        <x:v>69</x:v>
      </x:c>
      <x:c r="I42" s="34"/>
      <x:c r="J42" s="34"/>
      <x:c r="K42" s="39">
        <x:f>$B$45</x:f>
        <x:v>110365000</x:v>
      </x:c>
    </x:row>
    <x:row r="43" spans="1:11" customHeight="1">
      <x:c r="A43" s="121" t="s">
        <x:v>128</x:v>
      </x:c>
      <x:c r="B43" s="35">
        <x:f>SUM('1:28'!C5)</x:f>
        <x:v>12082250</x:v>
      </x:c>
      <x:c r="C43" s="35"/>
      <x:c r="D43" s="41">
        <x:f>B43/$B$45</x:f>
        <x:v>0.10947537715761338</x:v>
      </x:c>
      <x:c r="F43" s="268" t="s">
        <x:v>105</x:v>
      </x:c>
      <x:c r="G43" s="269"/>
      <x:c r="H43" s="34" t="s">
        <x:v>4</x:v>
      </x:c>
      <x:c r="I43" s="34"/>
      <x:c r="J43" s="34"/>
      <x:c r="K43" s="42">
        <x:f>(K41)/K42</x:f>
        <x:v>0.4214148643138676</x:v>
      </x:c>
    </x:row>
    <x:row r="44" spans="1:11" customHeight="1">
      <x:c r="A44" s="121" t="s">
        <x:v>117</x:v>
      </x:c>
      <x:c r="B44" s="35">
        <x:f>SUM('1:28'!C6)</x:f>
        <x:v>0</x:v>
      </x:c>
      <x:c r="C44" s="18"/>
      <x:c r="D44" s="41">
        <x:f>B44/$B$45</x:f>
        <x:v>0</x:v>
      </x:c>
      <x:c r="F44" s="43" t="s">
        <x:v>145</x:v>
      </x:c>
      <x:c r="G44" s="44"/>
      <x:c r="H44" s="44" t="s">
        <x:v>143</x:v>
      </x:c>
      <x:c r="I44" s="44"/>
      <x:c r="J44" s="44"/>
      <x:c r="K44" s="45">
        <x:f>K40/(1-K43)</x:f>
        <x:v>80891224.321720436</x:v>
      </x:c>
    </x:row>
    <x:row r="45" spans="1:4" customHeight="1">
      <x:c r="A45" s="124" t="s">
        <x:v>3</x:v>
      </x:c>
      <x:c r="B45" s="37">
        <x:f>SUM(B42:B44)</x:f>
        <x:v>110365000</x:v>
      </x:c>
      <x:c r="C45" s="50"/>
      <x:c r="D45" s="38"/>
    </x:row>
    <x:row r="46" spans="1:4" customHeight="1">
      <x:c r="A46" s="125" t="s">
        <x:v>91</x:v>
      </x:c>
      <x:c r="B46" s="46">
        <x:f>B45-B41</x:f>
        <x:v>17053088.5</x:v>
      </x:c>
      <x:c r="C46" s="47"/>
      <x:c r="D46" s="74">
        <x:f>B46/B45</x:f>
        <x:v>0.15451536719068545</x:v>
      </x:c>
    </x:row>
    <x:row r="47" spans="1:13" ht="20.100000000000001" customHeight="1">
      <x:c r="A47" s="123" t="s">
        <x:v>120</x:v>
      </x:c>
      <x:c r="B47" s="48">
        <x:f>INT(B45*0.05)</x:f>
        <x:v>5518250</x:v>
      </x:c>
      <x:c r="C47" s="49"/>
      <x:c r="D47" s="40">
        <x:f>B47/B45</x:f>
        <x:v>0.05</x:v>
      </x:c>
      <x:c r="E47" s="23"/>
      <x:c r="F47" s="23"/>
      <x:c r="G47" s="23"/>
      <x:c r="H47" s="23"/>
      <x:c r="I47" s="23"/>
      <x:c r="J47" s="23"/>
      <x:c r="K47" s="23"/>
      <x:c r="M47" s="23"/>
    </x:row>
    <x:row r="48" spans="1:13" customHeight="1">
      <x:c r="A48" s="125" t="s">
        <x:v>76</x:v>
      </x:c>
      <x:c r="B48" s="30">
        <x:f>INT(B45*0.02)</x:f>
        <x:v>2207300</x:v>
      </x:c>
      <x:c r="C48" s="80"/>
      <x:c r="D48" s="32">
        <x:f>B48/B45</x:f>
        <x:v>0.020000000000000001</x:v>
      </x:c>
      <x:c r="E48" s="23"/>
      <x:c r="F48" s="23"/>
      <x:c r="G48" s="23"/>
      <x:c r="H48" s="23"/>
      <x:c r="I48" s="23"/>
      <x:c r="J48" s="23"/>
      <x:c r="K48" s="23"/>
      <x:c r="M48" s="23"/>
    </x:row>
    <x:row r="49" spans="1:6" s="23" customFormat="1" customHeight="1">
      <x:c r="A49" s="124" t="s">
        <x:v>113</x:v>
      </x:c>
      <x:c r="B49" s="37">
        <x:f>B46-B47-B48</x:f>
        <x:v>9327538.5</x:v>
      </x:c>
      <x:c r="C49" s="50"/>
      <x:c r="D49" s="74">
        <x:f>B49/B45</x:f>
        <x:v>0.084515367190685448</x:v>
      </x:c>
      <x:c r="E49" s="95"/>
      <x:c r="F49" s="96"/>
    </x:row>
    <x:row r="50" spans="1:5" s="23" customFormat="1" customHeight="1">
      <x:c r="A50" s="100"/>
      <x:c r="B50" s="1"/>
      <x:c r="C50" s="1"/>
      <x:c r="D50" s="1"/>
      <x:c r="E50" s="1"/>
    </x:row>
    <x:row r="51" spans="1:5" s="23" customFormat="1" customHeight="1">
      <x:c r="A51" s="100"/>
      <x:c r="B51" s="1"/>
      <x:c r="C51" s="1"/>
      <x:c r="D51" s="1"/>
      <x:c r="E51" s="95"/>
    </x:row>
    <x:row r="52" spans="1:5" s="23" customFormat="1" customHeight="1">
      <x:c r="A52" s="1"/>
      <x:c r="B52" s="1"/>
      <x:c r="C52" s="1"/>
      <x:c r="D52" s="1"/>
      <x:c r="E52" s="1"/>
    </x:row>
    <x:row r="53" spans="1:5" s="23" customFormat="1" customHeight="1">
      <x:c r="A53" s="1"/>
      <x:c r="B53" s="1"/>
      <x:c r="C53" s="1"/>
      <x:c r="D53" s="1"/>
      <x:c r="E53" s="1"/>
    </x:row>
    <x:row r="54" spans="1:5" s="23" customFormat="1" customHeight="1">
      <x:c r="A54" s="1"/>
      <x:c r="B54" s="1"/>
      <x:c r="C54" s="1"/>
      <x:c r="D54" s="1"/>
      <x:c r="E54" s="1"/>
    </x:row>
    <x:row r="55" spans="1:11" s="23" customFormat="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spans="1:11" s="23" customFormat="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spans="1:11" s="23" customFormat="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spans="1:11" s="23" customFormat="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</x:sheetData>
  <x:mergeCells count="40">
    <x:mergeCell ref="F43:G43"/>
    <x:mergeCell ref="F40:G40"/>
    <x:mergeCell ref="F42:G42"/>
    <x:mergeCell ref="A33:B33"/>
    <x:mergeCell ref="A18:B18"/>
    <x:mergeCell ref="C18:D18"/>
    <x:mergeCell ref="A19:A31"/>
    <x:mergeCell ref="F41:G41"/>
    <x:mergeCell ref="F33:G33"/>
    <x:mergeCell ref="F34:G34"/>
    <x:mergeCell ref="A35:B35"/>
    <x:mergeCell ref="C34:D34"/>
    <x:mergeCell ref="F19:F32"/>
    <x:mergeCell ref="K19:K32"/>
    <x:mergeCell ref="F6:F18"/>
    <x:mergeCell ref="J6:J18"/>
    <x:mergeCell ref="A4:E4"/>
    <x:mergeCell ref="F4:K4"/>
    <x:mergeCell ref="A6:B6"/>
    <x:mergeCell ref="A7:B7"/>
    <x:mergeCell ref="A8:B8"/>
    <x:mergeCell ref="A5:B5"/>
    <x:mergeCell ref="K6:K18"/>
    <x:mergeCell ref="A9:B9"/>
    <x:mergeCell ref="A10:B10"/>
    <x:mergeCell ref="A11:B11"/>
    <x:mergeCell ref="E32:E33"/>
    <x:mergeCell ref="H35:J35"/>
    <x:mergeCell ref="F35:G35"/>
    <x:mergeCell ref="A12:B12"/>
    <x:mergeCell ref="A13:B13"/>
    <x:mergeCell ref="A14:B14"/>
    <x:mergeCell ref="A15:B15"/>
    <x:mergeCell ref="A16:B16"/>
    <x:mergeCell ref="A17:B17"/>
    <x:mergeCell ref="J19:J32"/>
    <x:mergeCell ref="A34:B34"/>
    <x:mergeCell ref="E19:E31"/>
    <x:mergeCell ref="D19:D31"/>
    <x:mergeCell ref="A32:B32"/>
  </x:mergeCells>
  <x:pageMargins left="0.69972223043441772" right="0.69972223043441772" top="0.75" bottom="0.75" header="0.30000001192092896" footer="0.30000001192092896"/>
  <x:pageSetup paperSize="9" scale="58" firstPageNumber="1" fitToWidth="1" fitToHeight="1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O34"/>
  <x:sheetViews>
    <x:sheetView tabSelected="1" topLeftCell="A10" zoomScale="80" zoomScaleNormal="80" zoomScaleSheetLayoutView="75" workbookViewId="0">
      <x:selection activeCell="M13" activeCellId="0" sqref="M13:M1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1</x:v>
      </x:c>
      <x:c r="G1" s="68" t="s">
        <x:v>51</x:v>
      </x:c>
      <x:c r="H1" s="52" t="s">
        <x:v>107</x:v>
      </x:c>
      <x:c r="I1" s="52">
        <x:f>F1-K1</x:f>
        <x:v>1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4665000</x:v>
      </x:c>
      <x:c r="D2" s="178"/>
      <x:c r="E2" s="167" t="s">
        <x:v>7</x:v>
      </x:c>
      <x:c r="F2" s="168"/>
      <x:c r="G2" s="169">
        <x:v>156600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2" ht="30.949999999999999" customHeight="1">
      <x:c r="A4" s="171" t="s">
        <x:v>10</x:v>
      </x:c>
      <x:c r="B4" s="172"/>
      <x:c r="C4" s="154">
        <x:v>3381000</x:v>
      </x:c>
      <x:c r="D4" s="154"/>
      <x:c r="E4" s="173" t="s">
        <x:v>144</x:v>
      </x:c>
      <x:c r="F4" s="173"/>
      <x:c r="G4" s="136">
        <x:f>INT(C4*0.0275)</x:f>
        <x:v>92977</x:v>
      </x:c>
      <x:c r="H4" s="54" t="s">
        <x:v>44</x:v>
      </x:c>
      <x:c r="I4" s="126">
        <x:f>588101+445200+549666+831000+207102</x:f>
        <x:v>2621069</x:v>
      </x:c>
      <x:c r="J4" s="82" t="s">
        <x:v>18</x:v>
      </x:c>
      <x:c r="K4" s="58"/>
      <x:c r="L4" s="97"/>
    </x:row>
    <x:row r="5" spans="1:11" ht="30.949999999999999" customHeight="1">
      <x:c r="A5" s="171" t="s">
        <x:v>52</x:v>
      </x:c>
      <x:c r="B5" s="172"/>
      <x:c r="C5" s="154">
        <x:v>1284000</x:v>
      </x:c>
      <x:c r="D5" s="154"/>
      <x:c r="E5" s="166" t="s">
        <x:v>153</x:v>
      </x:c>
      <x:c r="F5" s="166"/>
      <x:c r="G5" s="136">
        <x:f>INT(C5*0.01)</x:f>
        <x:v>12840</x:v>
      </x:c>
      <x:c r="H5" s="54" t="s">
        <x:v>63</x:v>
      </x:c>
      <x:c r="I5" s="126"/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1300000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/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140600</x:v>
      </x:c>
      <x:c r="D8" s="154"/>
      <x:c r="E8" s="150" t="s">
        <x:v>132</x:v>
      </x:c>
      <x:c r="F8" s="151"/>
      <x:c r="G8" s="190">
        <x:f>C5+G2-G6-C22</x:f>
        <x:v>140600</x:v>
      </x:c>
      <x:c r="H8" s="54" t="s">
        <x:v>15</x:v>
      </x:c>
      <x:c r="I8" s="126"/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12</x:v>
      </x:c>
      <x:c r="D12" s="150" t="s">
        <x:v>104</x:v>
      </x:c>
      <x:c r="E12" s="151"/>
      <x:c r="F12" s="197">
        <x:v>12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SUM('1'!$C$12)</x:f>
        <x:v>12</x:v>
      </x:c>
      <x:c r="D13" s="152"/>
      <x:c r="E13" s="153"/>
      <x:c r="F13" s="195">
        <x:f>SUM('1'!$F$12)</x:f>
        <x:v>12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33</x:v>
      </x:c>
      <x:c r="D14" s="150" t="s">
        <x:v>87</x:v>
      </x:c>
      <x:c r="E14" s="151"/>
      <x:c r="F14" s="197">
        <x:v>17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SUM('1'!$C$14)</x:f>
        <x:v>33</x:v>
      </x:c>
      <x:c r="D15" s="152"/>
      <x:c r="E15" s="153"/>
      <x:c r="F15" s="195">
        <x:f>SUM('1'!$F$14)</x:f>
        <x:v>17</x:v>
      </x:c>
      <x:c r="G15" s="196"/>
      <x:c r="H15" s="54" t="s">
        <x:v>90</x:v>
      </x:c>
      <x:c r="I15" s="58">
        <x:f>13000+11000+51000+22000+5500+38400+13500+91500+27500+8500+11000+11800+6600+2500+29400+11000+2200+10800+4900+8900+26500</x:f>
        <x:v>407500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9</x:v>
      </x:c>
      <x:c r="D16" s="150" t="s">
        <x:v>115</x:v>
      </x:c>
      <x:c r="E16" s="151"/>
      <x:c r="F16" s="199">
        <x:v>34</x:v>
      </x:c>
      <x:c r="G16" s="199"/>
      <x:c r="H16" s="54"/>
      <x:c r="I16" s="58"/>
      <x:c r="J16" s="54" t="s">
        <x:v>81</x:v>
      </x:c>
      <x:c r="K16" s="58">
        <x:v>99071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SUM('1'!$C$16)</x:f>
        <x:v>9</x:v>
      </x:c>
      <x:c r="D17" s="152"/>
      <x:c r="E17" s="153"/>
      <x:c r="F17" s="164">
        <x:f>SUM('1'!$F$16)</x:f>
        <x:v>34</x:v>
      </x:c>
      <x:c r="G17" s="164"/>
      <x:c r="H17" s="54" t="s">
        <x:v>59</x:v>
      </x:c>
      <x:c r="I17" s="58">
        <x:v>1700</x:v>
      </x:c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65</x:v>
      </x:c>
      <x:c r="D18" s="150" t="s">
        <x:v>126</x:v>
      </x:c>
      <x:c r="E18" s="151"/>
      <x:c r="F18" s="162">
        <x:v>17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SUM('1'!$C$18)</x:f>
        <x:v>65</x:v>
      </x:c>
      <x:c r="D19" s="152"/>
      <x:c r="E19" s="153"/>
      <x:c r="F19" s="164">
        <x:f>SUM('1'!$F$18)</x:f>
        <x:v>17</x:v>
      </x:c>
      <x:c r="G19" s="164"/>
      <x:c r="H19" s="54"/>
      <x:c r="I19" s="58"/>
      <x:c r="J19" s="54"/>
      <x:c r="K19" s="58"/>
      <x:c r="L19" s="60"/>
      <x:c r="M19" s="11"/>
    </x:row>
    <x:row r="20" spans="1:13" ht="21.949999999999999" customHeight="1">
      <x:c r="A20" s="59" t="s">
        <x:v>40</x:v>
      </x:c>
      <x:c r="B20" s="166"/>
      <x:c r="C20" s="135"/>
      <x:c r="D20" s="166" t="s">
        <x:v>98</x:v>
      </x:c>
      <x:c r="E20" s="166"/>
      <x:c r="F20" s="199">
        <x:v>62</x:v>
      </x:c>
      <x:c r="G20" s="199"/>
      <x:c r="H20" s="54"/>
      <x:c r="I20" s="58"/>
      <x:c r="J20" s="54"/>
      <x:c r="K20" s="58"/>
      <x:c r="L20" s="60"/>
      <x:c r="M20" s="11"/>
    </x:row>
    <x:row r="21" spans="1:13" ht="21.949999999999999" customHeight="1">
      <x:c r="A21" s="59" t="s">
        <x:v>116</x:v>
      </x:c>
      <x:c r="B21" s="166"/>
      <x:c r="C21" s="135"/>
      <x:c r="D21" s="166" t="s">
        <x:v>137</x:v>
      </x:c>
      <x:c r="E21" s="166"/>
      <x:c r="F21" s="164">
        <x:f>SUM('1'!$F$20)</x:f>
        <x:v>62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192"/>
      <x:c r="D23" s="192"/>
      <x:c r="E23" s="192"/>
      <x:c r="F23" s="192"/>
      <x:c r="G23" s="192"/>
      <x:c r="H23" s="109" t="s">
        <x:v>131</x:v>
      </x:c>
      <x:c r="I23" s="110">
        <x:f>SUM(I4:I22)</x:f>
        <x:v>3030269</x:v>
      </x:c>
      <x:c r="J23" s="61" t="s">
        <x:v>102</x:v>
      </x:c>
      <x:c r="K23" s="62">
        <x:f>SUM(K4:K22)</x:f>
        <x:v>114785.28571428571</x:v>
      </x:c>
      <x:c r="M23" s="91" t="s">
        <x:v>111</x:v>
      </x:c>
      <x:c r="N23" s="155">
        <x:f>C5+C6</x:f>
        <x:v>1284000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0.64957534833869235</x:v>
      </x:c>
      <x:c r="J24" s="61" t="s">
        <x:v>62</x:v>
      </x:c>
      <x:c r="K24" s="63">
        <x:f>K23/A25</x:f>
        <x:v>0.024605634665441738</x:v>
      </x:c>
    </x:row>
    <x:row r="25" spans="1:11" ht="34.149999999999999" customHeight="1">
      <x:c r="A25" s="202">
        <x:f>C2</x:f>
        <x:v>4665000</x:v>
      </x:c>
      <x:c r="B25" s="161"/>
      <x:c r="C25" s="161">
        <x:f>E25/I1</x:f>
        <x:v>4665000</x:v>
      </x:c>
      <x:c r="D25" s="161"/>
      <x:c r="E25" s="161">
        <x:f>SUM('1'!$A$25)</x:f>
        <x:v>4665000</x:v>
      </x:c>
      <x:c r="F25" s="161"/>
      <x:c r="G25" s="161"/>
      <x:c r="H25" s="109" t="s">
        <x:v>19</x:v>
      </x:c>
      <x:c r="I25" s="110">
        <x:f>SUM('1'!$I$23)</x:f>
        <x:v>3030269</x:v>
      </x:c>
      <x:c r="J25" s="61" t="s">
        <x:v>19</x:v>
      </x:c>
      <x:c r="K25" s="62">
        <x:f>SUM('1'!$K$23)</x:f>
        <x:v>114785.28571428571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0.64957534833869235</x:v>
      </x:c>
      <x:c r="J26" s="64" t="s">
        <x:v>114</x:v>
      </x:c>
      <x:c r="K26" s="65">
        <x:f>K25/$E$25</x:f>
        <x:v>0.024605634665441738</x:v>
      </x:c>
    </x:row>
    <x:row r="27" spans="1:13" ht="30.949999999999999" customHeight="1">
      <x:c r="A27" s="317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866235.71428571432</x:v>
      </x:c>
      <x:c r="M27" s="66"/>
    </x:row>
    <x:row r="28" spans="1:13" ht="30.949999999999999" customHeight="1">
      <x:c r="A28" s="318"/>
      <x:c r="B28" s="54" t="s">
        <x:v>29</x:v>
      </x:c>
      <x:c r="C28" s="208">
        <x:f>3800000/28</x:f>
        <x:v>135714.28571428571</x:v>
      </x:c>
      <x:c r="D28" s="209"/>
      <x:c r="E28" s="55" t="s">
        <x:v>54</x:v>
      </x:c>
      <x:c r="F28" s="165"/>
      <x:c r="G28" s="165"/>
      <x:c r="H28" s="113" t="s">
        <x:v>62</x:v>
      </x:c>
      <x:c r="I28" s="115">
        <x:f>I27/$A$25</x:f>
        <x:v>0.18568825600979944</x:v>
      </x:c>
      <x:c r="M28" s="66"/>
    </x:row>
    <x:row r="29" spans="1:13" ht="30.949999999999999" customHeight="1">
      <x:c r="A29" s="318"/>
      <x:c r="B29" s="54" t="s">
        <x:v>21</x:v>
      </x:c>
      <x:c r="C29" s="161">
        <x:f>3200000/28</x:f>
        <x:v>114285.71428571429</x:v>
      </x:c>
      <x:c r="D29" s="161"/>
      <x:c r="E29" s="54" t="s">
        <x:v>54</x:v>
      </x:c>
      <x:c r="F29" s="154">
        <x:f>11700*3.5</x:f>
        <x:v>40950</x:v>
      </x:c>
      <x:c r="G29" s="154"/>
      <x:c r="H29" s="113" t="s">
        <x:v>19</x:v>
      </x:c>
      <x:c r="I29" s="114">
        <x:f>SUM('1'!$I$27)</x:f>
        <x:v>866235.71428571432</x:v>
      </x:c>
      <x:c r="M29" s="66"/>
    </x:row>
    <x:row r="30" spans="1:13" ht="30.949999999999999" customHeight="1">
      <x:c r="A30" s="318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130000</x:v>
      </x:c>
      <x:c r="G30" s="211"/>
      <x:c r="H30" s="113" t="s">
        <x:v>114</x:v>
      </x:c>
      <x:c r="I30" s="115">
        <x:f>I29/$I$27</x:f>
        <x:v>1</x:v>
      </x:c>
      <x:c r="M30" s="66"/>
    </x:row>
    <x:row r="31" spans="1:7" customHeight="1">
      <x:c r="A31" s="318"/>
      <x:c r="B31" s="144" t="s">
        <x:v>41</x:v>
      </x:c>
      <x:c r="C31" s="206">
        <x:f>14000*4</x:f>
        <x:v>56000</x:v>
      </x:c>
      <x:c r="D31" s="207"/>
      <x:c r="E31" s="133"/>
      <x:c r="F31" s="212"/>
      <x:c r="G31" s="212"/>
    </x:row>
    <x:row r="32" spans="1:4" customHeight="1">
      <x:c r="A32" s="318"/>
      <x:c r="B32" s="54"/>
      <x:c r="C32" s="206"/>
      <x:c r="D32" s="207"/>
    </x:row>
    <x:row r="33" spans="1:4" customHeight="1">
      <x:c r="A33" s="318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319"/>
      <x:c r="B34" s="54"/>
      <x:c r="C34" s="210"/>
      <x:c r="D34" s="211"/>
    </x:row>
  </x:sheetData>
  <x:mergeCells count="74">
    <x:mergeCell ref="F19:G19"/>
    <x:mergeCell ref="D18:E19"/>
    <x:mergeCell ref="B20:B21"/>
    <x:mergeCell ref="D16:E17"/>
    <x:mergeCell ref="D21:E21"/>
    <x:mergeCell ref="F21:G21"/>
    <x:mergeCell ref="B16:B17"/>
    <x:mergeCell ref="A26:B26"/>
    <x:mergeCell ref="F20:G20"/>
    <x:mergeCell ref="C31:D31"/>
    <x:mergeCell ref="C33:D33"/>
    <x:mergeCell ref="F30:G30"/>
    <x:mergeCell ref="F29:G29"/>
    <x:mergeCell ref="C26:D26"/>
    <x:mergeCell ref="E26:G26"/>
    <x:mergeCell ref="C30:D30"/>
    <x:mergeCell ref="F27:G27"/>
    <x:mergeCell ref="C28:D28"/>
    <x:mergeCell ref="F28:G28"/>
    <x:mergeCell ref="C29:D29"/>
    <x:mergeCell ref="C6:D7"/>
    <x:mergeCell ref="E6:F7"/>
    <x:mergeCell ref="E8:F9"/>
    <x:mergeCell ref="A27:A34"/>
    <x:mergeCell ref="C32:D32"/>
    <x:mergeCell ref="C34:D34"/>
    <x:mergeCell ref="B18:B19"/>
    <x:mergeCell ref="D20:E20"/>
    <x:mergeCell ref="C27:D27"/>
    <x:mergeCell ref="A25:B25"/>
    <x:mergeCell ref="C25:D25"/>
    <x:mergeCell ref="E25:G25"/>
    <x:mergeCell ref="A24:B24"/>
    <x:mergeCell ref="C24:D24"/>
    <x:mergeCell ref="E24:G24"/>
    <x:mergeCell ref="F31:G31"/>
    <x:mergeCell ref="A11:B11"/>
    <x:mergeCell ref="B14:B15"/>
    <x:mergeCell ref="C11:G11"/>
    <x:mergeCell ref="D12:E13"/>
    <x:mergeCell ref="F12:G12"/>
    <x:mergeCell ref="B12:B13"/>
    <x:mergeCell ref="N23:O23"/>
    <x:mergeCell ref="C23:G23"/>
    <x:mergeCell ref="A8:B9"/>
    <x:mergeCell ref="C8:D9"/>
    <x:mergeCell ref="F16:G16"/>
    <x:mergeCell ref="F17:G17"/>
    <x:mergeCell ref="D14:E15"/>
    <x:mergeCell ref="F13:G13"/>
    <x:mergeCell ref="F14:G14"/>
    <x:mergeCell ref="F15:G15"/>
    <x:mergeCell ref="G8:G9"/>
    <x:mergeCell ref="A22:B22"/>
    <x:mergeCell ref="C22:G22"/>
    <x:mergeCell ref="A23:B23"/>
    <x:mergeCell ref="E10:F10"/>
    <x:mergeCell ref="F18:G18"/>
    <x:mergeCell ref="A6:B7"/>
    <x:mergeCell ref="A10:B10"/>
    <x:mergeCell ref="C10:D10"/>
    <x:mergeCell ref="J2:K2"/>
    <x:mergeCell ref="H2:I2"/>
    <x:mergeCell ref="G2:G3"/>
    <x:mergeCell ref="A5:B5"/>
    <x:mergeCell ref="C5:D5"/>
    <x:mergeCell ref="E5:F5"/>
    <x:mergeCell ref="A2:B3"/>
    <x:mergeCell ref="C2:D3"/>
    <x:mergeCell ref="A4:B4"/>
    <x:mergeCell ref="C4:D4"/>
    <x:mergeCell ref="E4:F4"/>
    <x:mergeCell ref="E2:F3"/>
    <x:mergeCell ref="G6:G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O34"/>
  <x:sheetViews>
    <x:sheetView topLeftCell="A1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3" width="12.625" style="53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2</x:v>
      </x:c>
      <x:c r="G1" s="68" t="s">
        <x:v>34</x:v>
      </x:c>
      <x:c r="H1" s="52" t="s">
        <x:v>107</x:v>
      </x:c>
      <x:c r="I1" s="52">
        <x:f>F1-K1</x:f>
        <x:v>2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2765500</x:v>
      </x:c>
      <x:c r="D2" s="178"/>
      <x:c r="E2" s="167" t="s">
        <x:v>7</x:v>
      </x:c>
      <x:c r="F2" s="168"/>
      <x:c r="G2" s="169">
        <x:v>140600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2190500</x:v>
      </x:c>
      <x:c r="D4" s="154"/>
      <x:c r="E4" s="173" t="s">
        <x:v>144</x:v>
      </x:c>
      <x:c r="F4" s="173"/>
      <x:c r="G4" s="136">
        <x:f>INT(C4*0.0275)</x:f>
        <x:v>60238</x:v>
      </x:c>
      <x:c r="H4" s="54" t="s">
        <x:v>44</x:v>
      </x:c>
      <x:c r="I4" s="127"/>
      <x:c r="J4" s="82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575000</x:v>
      </x:c>
      <x:c r="D5" s="154"/>
      <x:c r="E5" s="166" t="s">
        <x:v>153</x:v>
      </x:c>
      <x:c r="F5" s="166"/>
      <x:c r="G5" s="136">
        <x:f>INT(C5*0.01)</x:f>
        <x:v>5750</x:v>
      </x:c>
      <x:c r="H5" s="54" t="s">
        <x:v>63</x:v>
      </x:c>
      <x:c r="I5" s="140"/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600000</x:v>
      </x:c>
      <x:c r="H6" s="54"/>
      <x:c r="I6" s="127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7"/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115600</x:v>
      </x:c>
      <x:c r="D8" s="154"/>
      <x:c r="E8" s="150" t="s">
        <x:v>132</x:v>
      </x:c>
      <x:c r="F8" s="151"/>
      <x:c r="G8" s="190">
        <x:f>C5+G2-G6-C22</x:f>
        <x:v>115600</x:v>
      </x:c>
      <x:c r="H8" s="54" t="s">
        <x:v>15</x:v>
      </x:c>
      <x:c r="I8" s="127"/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6</x:v>
      </x:c>
      <x:c r="D12" s="150" t="s">
        <x:v>104</x:v>
      </x:c>
      <x:c r="E12" s="151"/>
      <x:c r="F12" s="197">
        <x:v>8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SUM('1:2'!$C$12)</x:f>
        <x:v>18</x:v>
      </x:c>
      <x:c r="D13" s="152"/>
      <x:c r="E13" s="153"/>
      <x:c r="F13" s="195">
        <x:f>SUM('1:2'!$F$12)</x:f>
        <x:v>20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49</x:v>
      </x:c>
      <x:c r="D14" s="150" t="s">
        <x:v>87</x:v>
      </x:c>
      <x:c r="E14" s="151"/>
      <x:c r="F14" s="197">
        <x:v>22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SUM('1:2'!$C$14)</x:f>
        <x:v>82</x:v>
      </x:c>
      <x:c r="D15" s="152"/>
      <x:c r="E15" s="153"/>
      <x:c r="F15" s="195">
        <x:f>SUM('1:2'!$F$14)</x:f>
        <x:v>39</x:v>
      </x:c>
      <x:c r="G15" s="196"/>
      <x:c r="H15" s="54" t="s">
        <x:v>90</x:v>
      </x:c>
      <x:c r="I15" s="58"/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6</x:v>
      </x:c>
      <x:c r="D16" s="150" t="s">
        <x:v>115</x:v>
      </x:c>
      <x:c r="E16" s="151"/>
      <x:c r="F16" s="199">
        <x:v>8</x:v>
      </x:c>
      <x:c r="G16" s="199"/>
      <x:c r="H16" s="54"/>
      <x:c r="I16" s="58"/>
      <x:c r="J16" s="54" t="s">
        <x:v>81</x:v>
      </x:c>
      <x:c r="K16" s="58">
        <x:f>132490+54000</x:f>
        <x:v>186490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SUM('1:2'!$C$16)</x:f>
        <x:v>15</x:v>
      </x:c>
      <x:c r="D17" s="152"/>
      <x:c r="E17" s="153"/>
      <x:c r="F17" s="164">
        <x:f>SUM('1:2'!$F$16)</x:f>
        <x:v>42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14</x:v>
      </x:c>
      <x:c r="D18" s="150" t="s">
        <x:v>126</x:v>
      </x:c>
      <x:c r="E18" s="151"/>
      <x:c r="F18" s="162">
        <x:v>5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SUM('1:2'!$C$18)</x:f>
        <x:v>79</x:v>
      </x:c>
      <x:c r="D19" s="152"/>
      <x:c r="E19" s="153"/>
      <x:c r="F19" s="164">
        <x:f>SUM('1:2'!$F$18)</x:f>
        <x:v>22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40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SUM('1:2'!$F$20)</x:f>
        <x:v>102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0</x:v>
      </x:c>
      <x:c r="J23" s="61" t="s">
        <x:v>102</x:v>
      </x:c>
      <x:c r="K23" s="62">
        <x:f>SUM(K4:K22)</x:f>
        <x:v>202204.28571428571</x:v>
      </x:c>
      <x:c r="M23" s="90" t="s">
        <x:v>111</x:v>
      </x:c>
      <x:c r="N23" s="155">
        <x:f>C5+C6</x:f>
        <x:v>575000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</x:v>
      </x:c>
      <x:c r="J24" s="61" t="s">
        <x:v>62</x:v>
      </x:c>
      <x:c r="K24" s="63">
        <x:f>K23/A25</x:f>
        <x:v>0.073116718754035692</x:v>
      </x:c>
    </x:row>
    <x:row r="25" spans="1:11" ht="34.149999999999999" customHeight="1">
      <x:c r="A25" s="202">
        <x:f>C2</x:f>
        <x:v>2765500</x:v>
      </x:c>
      <x:c r="B25" s="161"/>
      <x:c r="C25" s="161">
        <x:f>E25/I1</x:f>
        <x:v>3715250</x:v>
      </x:c>
      <x:c r="D25" s="161"/>
      <x:c r="E25" s="161">
        <x:f>SUM('1:2'!$A$25)</x:f>
        <x:v>7430500</x:v>
      </x:c>
      <x:c r="F25" s="161"/>
      <x:c r="G25" s="161"/>
      <x:c r="H25" s="109" t="s">
        <x:v>19</x:v>
      </x:c>
      <x:c r="I25" s="110">
        <x:f>SUM('1:2'!$I$23)</x:f>
        <x:v>3030269</x:v>
      </x:c>
      <x:c r="J25" s="61" t="s">
        <x:v>19</x:v>
      </x:c>
      <x:c r="K25" s="62">
        <x:f>SUM('1:2'!$K$23)</x:f>
        <x:v>316989.57142857142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0.40781495188749073</x:v>
      </x:c>
      <x:c r="J26" s="64" t="s">
        <x:v>114</x:v>
      </x:c>
      <x:c r="K26" s="65">
        <x:f>K25/$E$25</x:f>
        <x:v>0.042660597729435625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814835.71428571432</x:v>
      </x:c>
      <x:c r="M27" s="66"/>
    </x:row>
    <x:row r="28" spans="1:13" ht="30.949999999999999" customHeight="1">
      <x:c r="A28" s="204"/>
      <x:c r="B28" s="54" t="s">
        <x:v>29</x:v>
      </x:c>
      <x:c r="C28" s="208">
        <x:f>3800000/28</x:f>
        <x:v>135714.28571428571</x:v>
      </x:c>
      <x:c r="D28" s="209"/>
      <x:c r="E28" s="55" t="s">
        <x:v>54</x:v>
      </x:c>
      <x:c r="F28" s="165"/>
      <x:c r="G28" s="165"/>
      <x:c r="H28" s="113" t="s">
        <x:v>62</x:v>
      </x:c>
      <x:c r="I28" s="115">
        <x:f>I27/$A$25</x:f>
        <x:v>0.2946431799984503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>
        <x:f>11700*1.5</x:f>
        <x:v>17550</x:v>
      </x:c>
      <x:c r="G29" s="154"/>
      <x:c r="H29" s="113" t="s">
        <x:v>19</x:v>
      </x:c>
      <x:c r="I29" s="114">
        <x:f>SUM('1:2'!$I$27)</x:f>
        <x:v>1681071.4285714286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130000</x:v>
      </x:c>
      <x:c r="G30" s="211"/>
      <x:c r="H30" s="113" t="s">
        <x:v>114</x:v>
      </x:c>
      <x:c r="I30" s="115">
        <x:f>I29/$I$27</x:f>
        <x:v>2.0630802002156439</x:v>
      </x:c>
      <x:c r="M30" s="66"/>
    </x:row>
    <x:row r="31" spans="1:7" customHeight="1">
      <x:c r="A31" s="204"/>
      <x:c r="B31" s="144" t="s">
        <x:v>41</x:v>
      </x:c>
      <x:c r="C31" s="206">
        <x:f>14000*2</x:f>
        <x:v>28000</x:v>
      </x:c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F18:G18"/>
    <x:mergeCell ref="F19:G19"/>
    <x:mergeCell ref="D18:E19"/>
    <x:mergeCell ref="A27:A34"/>
    <x:mergeCell ref="C32:D32"/>
    <x:mergeCell ref="C33:D33"/>
    <x:mergeCell ref="C34:D34"/>
    <x:mergeCell ref="B18:B19"/>
    <x:mergeCell ref="D20:E20"/>
    <x:mergeCell ref="A25:B25"/>
    <x:mergeCell ref="A26:B26"/>
    <x:mergeCell ref="A22:B22"/>
    <x:mergeCell ref="A23:B23"/>
    <x:mergeCell ref="A24:B24"/>
    <x:mergeCell ref="F20:G20"/>
    <x:mergeCell ref="D21:E21"/>
    <x:mergeCell ref="F21:G21"/>
    <x:mergeCell ref="C31:D31"/>
    <x:mergeCell ref="F29:G29"/>
    <x:mergeCell ref="C22:G22"/>
    <x:mergeCell ref="N23:O23"/>
    <x:mergeCell ref="C26:D26"/>
    <x:mergeCell ref="E26:G26"/>
    <x:mergeCell ref="E24:G24"/>
    <x:mergeCell ref="F31:G31"/>
    <x:mergeCell ref="C27:D27"/>
    <x:mergeCell ref="F27:G27"/>
    <x:mergeCell ref="C28:D28"/>
    <x:mergeCell ref="F28:G28"/>
    <x:mergeCell ref="C29:D29"/>
    <x:mergeCell ref="F30:G30"/>
    <x:mergeCell ref="C30:D30"/>
    <x:mergeCell ref="C25:D25"/>
    <x:mergeCell ref="E25:G25"/>
    <x:mergeCell ref="C23:G23"/>
    <x:mergeCell ref="C24:D24"/>
    <x:mergeCell ref="B12:B13"/>
    <x:mergeCell ref="B14:B15"/>
    <x:mergeCell ref="B16:B17"/>
    <x:mergeCell ref="F15:G15"/>
    <x:mergeCell ref="D12:E13"/>
    <x:mergeCell ref="D14:E15"/>
    <x:mergeCell ref="F12:G12"/>
    <x:mergeCell ref="F13:G13"/>
    <x:mergeCell ref="F14:G14"/>
    <x:mergeCell ref="F16:G16"/>
    <x:mergeCell ref="F17:G17"/>
    <x:mergeCell ref="D16:E17"/>
    <x:mergeCell ref="A6:B7"/>
    <x:mergeCell ref="C6:D7"/>
    <x:mergeCell ref="E6:F7"/>
    <x:mergeCell ref="A11:B11"/>
    <x:mergeCell ref="C11:G11"/>
    <x:mergeCell ref="E10:F10"/>
    <x:mergeCell ref="E8:F9"/>
    <x:mergeCell ref="G8:G9"/>
    <x:mergeCell ref="A8:B9"/>
    <x:mergeCell ref="C8:D9"/>
    <x:mergeCell ref="G6:G7"/>
    <x:mergeCell ref="A10:B10"/>
    <x:mergeCell ref="C10:D10"/>
    <x:mergeCell ref="A4:B4"/>
    <x:mergeCell ref="C4:D4"/>
    <x:mergeCell ref="E4:F4"/>
    <x:mergeCell ref="A5:B5"/>
    <x:mergeCell ref="C5:D5"/>
    <x:mergeCell ref="E5:F5"/>
    <x:mergeCell ref="H2:I2"/>
    <x:mergeCell ref="J2:K2"/>
    <x:mergeCell ref="A2:B3"/>
    <x:mergeCell ref="C2:D3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O34"/>
  <x:sheetViews>
    <x:sheetView topLeftCell="A1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3</x:v>
      </x:c>
      <x:c r="G1" s="68" t="s">
        <x:v>1</x:v>
      </x:c>
      <x:c r="H1" s="52" t="s">
        <x:v>107</x:v>
      </x:c>
      <x:c r="I1" s="52">
        <x:f>F1-K1</x:f>
        <x:v>3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2237000</x:v>
      </x:c>
      <x:c r="D2" s="178"/>
      <x:c r="E2" s="167" t="s">
        <x:v>7</x:v>
      </x:c>
      <x:c r="F2" s="168"/>
      <x:c r="G2" s="169">
        <x:v>115600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2079000</x:v>
      </x:c>
      <x:c r="D4" s="154"/>
      <x:c r="E4" s="173" t="s">
        <x:v>144</x:v>
      </x:c>
      <x:c r="F4" s="173"/>
      <x:c r="G4" s="136">
        <x:f>C4*0.0275</x:f>
        <x:v>57172.5</x:v>
      </x:c>
      <x:c r="H4" s="54" t="s">
        <x:v>44</x:v>
      </x:c>
      <x:c r="I4" s="126"/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158000</x:v>
      </x:c>
      <x:c r="D5" s="154"/>
      <x:c r="E5" s="166" t="s">
        <x:v>153</x:v>
      </x:c>
      <x:c r="F5" s="166"/>
      <x:c r="G5" s="136">
        <x:f>INT(C5*0.01)</x:f>
        <x:v>1580</x:v>
      </x:c>
      <x:c r="H5" s="54" t="s">
        <x:v>63</x:v>
      </x:c>
      <x:c r="I5" s="126">
        <x:f>137200+51200+6000+88968+29100+36080</x:f>
        <x:v>348548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200000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>
        <x:f>58370-43600</x:f>
        <x:v>14770</x:v>
      </x:c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73600</x:v>
      </x:c>
      <x:c r="D8" s="154"/>
      <x:c r="E8" s="150" t="s">
        <x:v>132</x:v>
      </x:c>
      <x:c r="F8" s="151"/>
      <x:c r="G8" s="190">
        <x:f>C5+G2-G6-C22</x:f>
        <x:v>73600</x:v>
      </x:c>
      <x:c r="H8" s="54" t="s">
        <x:v>15</x:v>
      </x:c>
      <x:c r="I8" s="126">
        <x:v>55000</x:v>
      </x:c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21.75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>
        <x:v>6000</x:v>
      </x:c>
    </x:row>
    <x:row r="11" spans="1:11" ht="21.75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3</x:v>
      </x:c>
      <x:c r="D12" s="150" t="s">
        <x:v>104</x:v>
      </x:c>
      <x:c r="E12" s="151"/>
      <x:c r="F12" s="197">
        <x:v>6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SUM('1:3'!$C$12)</x:f>
        <x:v>21</x:v>
      </x:c>
      <x:c r="D13" s="152"/>
      <x:c r="E13" s="153"/>
      <x:c r="F13" s="195">
        <x:f>SUM('1:3'!$F$12)</x:f>
        <x:v>26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21</x:v>
      </x:c>
      <x:c r="D14" s="150" t="s">
        <x:v>87</x:v>
      </x:c>
      <x:c r="E14" s="151"/>
      <x:c r="F14" s="197">
        <x:v>2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SUM('1:3'!$C$14)</x:f>
        <x:v>103</x:v>
      </x:c>
      <x:c r="D15" s="152"/>
      <x:c r="E15" s="153"/>
      <x:c r="F15" s="195">
        <x:f>SUM('1:3'!$F$14)</x:f>
        <x:v>41</x:v>
      </x:c>
      <x:c r="G15" s="196"/>
      <x:c r="H15" s="54" t="s">
        <x:v>90</x:v>
      </x:c>
      <x:c r="I15" s="58">
        <x:f>11800+3200+9800+18300+17400+21000</x:f>
        <x:v>81500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2</x:v>
      </x:c>
      <x:c r="D16" s="150" t="s">
        <x:v>115</x:v>
      </x:c>
      <x:c r="E16" s="151"/>
      <x:c r="F16" s="199">
        <x:v>0</x:v>
      </x:c>
      <x:c r="G16" s="199"/>
      <x:c r="H16" s="54"/>
      <x:c r="I16" s="58"/>
      <x:c r="J16" s="54" t="s">
        <x:v>81</x:v>
      </x:c>
      <x:c r="K16" s="58">
        <x:v>45040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SUM('1:3'!$C$16)</x:f>
        <x:v>17</x:v>
      </x:c>
      <x:c r="D17" s="152"/>
      <x:c r="E17" s="153"/>
      <x:c r="F17" s="164">
        <x:f>SUM('1:3'!$F$16)</x:f>
        <x:v>42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28</x:v>
      </x:c>
      <x:c r="D18" s="150" t="s">
        <x:v>126</x:v>
      </x:c>
      <x:c r="E18" s="151"/>
      <x:c r="F18" s="162">
        <x:v>7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SUM('1:3'!$C$18)</x:f>
        <x:v>107</x:v>
      </x:c>
      <x:c r="D19" s="152"/>
      <x:c r="E19" s="153"/>
      <x:c r="F19" s="164">
        <x:f>SUM('1:3'!$F$18)</x:f>
        <x:v>29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38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SUM('1:3'!$F$20)</x:f>
        <x:v>140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499818</x:v>
      </x:c>
      <x:c r="J23" s="61" t="s">
        <x:v>102</x:v>
      </x:c>
      <x:c r="K23" s="62">
        <x:f>SUM(K4:K22)</x:f>
        <x:v>66754.28571428571</x:v>
      </x:c>
      <x:c r="M23" s="90" t="s">
        <x:v>111</x:v>
      </x:c>
      <x:c r="N23" s="155">
        <x:f>C5+C6</x:f>
        <x:v>158000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0.22343227536879751</x:v>
      </x:c>
      <x:c r="J24" s="61" t="s">
        <x:v>62</x:v>
      </x:c>
      <x:c r="K24" s="63">
        <x:f>K23/A25</x:f>
        <x:v>0.029840986014432594</x:v>
      </x:c>
    </x:row>
    <x:row r="25" spans="1:11" ht="34.149999999999999" customHeight="1">
      <x:c r="A25" s="202">
        <x:f>C2</x:f>
        <x:v>2237000</x:v>
      </x:c>
      <x:c r="B25" s="161"/>
      <x:c r="C25" s="161">
        <x:f>E25/I1</x:f>
        <x:v>3222500</x:v>
      </x:c>
      <x:c r="D25" s="161"/>
      <x:c r="E25" s="161">
        <x:f>SUM('1:3'!$A$25)</x:f>
        <x:v>9667500</x:v>
      </x:c>
      <x:c r="F25" s="161"/>
      <x:c r="G25" s="161"/>
      <x:c r="H25" s="109" t="s">
        <x:v>19</x:v>
      </x:c>
      <x:c r="I25" s="110">
        <x:f>SUM('1:3'!$I$23)</x:f>
        <x:v>3530087</x:v>
      </x:c>
      <x:c r="J25" s="61" t="s">
        <x:v>19</x:v>
      </x:c>
      <x:c r="K25" s="62">
        <x:f>SUM('1:3'!$K$23)</x:f>
        <x:v>383743.85714285716</x:v>
      </x:c>
    </x:row>
    <x:row r="26" spans="1:11" ht="34.149999999999999" customHeight="1">
      <x:c r="A26" s="179" t="s">
        <x:v>74</x:v>
      </x:c>
      <x:c r="B26" s="166"/>
      <x:c r="C26" s="320"/>
      <x:c r="D26" s="166"/>
      <x:c r="E26" s="154"/>
      <x:c r="F26" s="154"/>
      <x:c r="G26" s="154"/>
      <x:c r="H26" s="109" t="s">
        <x:v>114</x:v>
      </x:c>
      <x:c r="I26" s="112">
        <x:f>I25/$E$25</x:f>
        <x:v>0.3651499353504008</x:v>
      </x:c>
      <x:c r="J26" s="64" t="s">
        <x:v>114</x:v>
      </x:c>
      <x:c r="K26" s="65">
        <x:f>K25/$E$25</x:f>
        <x:v>0.039694218478702574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>
        <x:f>13000*5</x:f>
        <x:v>65000</x:v>
      </x:c>
      <x:c r="G27" s="154"/>
      <x:c r="H27" s="113" t="s">
        <x:v>88</x:v>
      </x:c>
      <x:c r="I27" s="114">
        <x:f>SUM(C27:D34,F27:G30)</x:f>
        <x:v>850285.71428571432</x:v>
      </x:c>
      <x:c r="M27" s="66"/>
    </x:row>
    <x:row r="28" spans="1:13" ht="30.949999999999999" customHeight="1">
      <x:c r="A28" s="204"/>
      <x:c r="B28" s="54" t="s">
        <x:v>29</x:v>
      </x:c>
      <x:c r="C28" s="208">
        <x:f>3800000/28</x:f>
        <x:v>135714.28571428571</x:v>
      </x:c>
      <x:c r="D28" s="209"/>
      <x:c r="E28" s="55" t="s">
        <x:v>54</x:v>
      </x:c>
      <x:c r="F28" s="165">
        <x:f>13000*2</x:f>
        <x:v>26000</x:v>
      </x:c>
      <x:c r="G28" s="165"/>
      <x:c r="H28" s="113" t="s">
        <x:v>62</x:v>
      </x:c>
      <x:c r="I28" s="115">
        <x:f>I27/$A$25</x:f>
        <x:v>0.38010090044064115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SUM('1:3'!$I$27)</x:f>
        <x:v>2531357.1428571427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2.9770665322580641</x:v>
      </x:c>
      <x:c r="M30" s="66"/>
    </x:row>
    <x:row r="31" spans="1:7" customHeight="1">
      <x:c r="A31" s="204"/>
      <x:c r="B31" s="144" t="s">
        <x:v>41</x:v>
      </x:c>
      <x:c r="C31" s="206"/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O34"/>
  <x:sheetViews>
    <x:sheetView topLeftCell="A4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4</x:v>
      </x:c>
      <x:c r="G1" s="68" t="s">
        <x:v>50</x:v>
      </x:c>
      <x:c r="H1" s="52" t="s">
        <x:v>107</x:v>
      </x:c>
      <x:c r="I1" s="52">
        <x:f>F1-K1</x:f>
        <x:v>4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4134000</x:v>
      </x:c>
      <x:c r="D2" s="178"/>
      <x:c r="E2" s="167" t="s">
        <x:v>7</x:v>
      </x:c>
      <x:c r="F2" s="168"/>
      <x:c r="G2" s="169">
        <x:v>73600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3193000</x:v>
      </x:c>
      <x:c r="D4" s="154"/>
      <x:c r="E4" s="173" t="s">
        <x:v>144</x:v>
      </x:c>
      <x:c r="F4" s="173"/>
      <x:c r="G4" s="136">
        <x:f>INT(C4*0.0275)</x:f>
        <x:v>87807</x:v>
      </x:c>
      <x:c r="H4" s="54" t="s">
        <x:v>44</x:v>
      </x:c>
      <x:c r="I4" s="126">
        <x:f>415500+405000+219356+224568+445200+857298</x:f>
        <x:v>2566922</x:v>
      </x:c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941000</x:v>
      </x:c>
      <x:c r="D5" s="154"/>
      <x:c r="E5" s="166" t="s">
        <x:v>153</x:v>
      </x:c>
      <x:c r="F5" s="166"/>
      <x:c r="G5" s="136">
        <x:f>INT(C5*0.01)</x:f>
        <x:v>9410</x:v>
      </x:c>
      <x:c r="H5" s="54" t="s">
        <x:v>63</x:v>
      </x:c>
      <x:c r="I5" s="126">
        <x:f>25600+10+51600+41250+59312+36080</x:f>
        <x:v>213852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900000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/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114100</x:v>
      </x:c>
      <x:c r="D8" s="154"/>
      <x:c r="E8" s="150" t="s">
        <x:v>132</x:v>
      </x:c>
      <x:c r="F8" s="151"/>
      <x:c r="G8" s="190">
        <x:f>C5+G2-G6-C22</x:f>
        <x:v>114100</x:v>
      </x:c>
      <x:c r="H8" s="54" t="s">
        <x:v>15</x:v>
      </x:c>
      <x:c r="I8" s="126"/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9</x:v>
      </x:c>
      <x:c r="D12" s="150" t="s">
        <x:v>104</x:v>
      </x:c>
      <x:c r="E12" s="151"/>
      <x:c r="F12" s="197">
        <x:v>8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SUM('1:4'!$C$12)</x:f>
        <x:v>30</x:v>
      </x:c>
      <x:c r="D13" s="152"/>
      <x:c r="E13" s="153"/>
      <x:c r="F13" s="195">
        <x:f>SUM('1:4'!$F$12)</x:f>
        <x:v>34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32</x:v>
      </x:c>
      <x:c r="D14" s="150" t="s">
        <x:v>87</x:v>
      </x:c>
      <x:c r="E14" s="151"/>
      <x:c r="F14" s="197">
        <x:v>28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SUM('1:4'!$C$14)</x:f>
        <x:v>135</x:v>
      </x:c>
      <x:c r="D15" s="152"/>
      <x:c r="E15" s="153"/>
      <x:c r="F15" s="195">
        <x:f>SUM('1:4'!$F$14)</x:f>
        <x:v>69</x:v>
      </x:c>
      <x:c r="G15" s="196"/>
      <x:c r="H15" s="54" t="s">
        <x:v>90</x:v>
      </x:c>
      <x:c r="I15" s="58">
        <x:f>35000+11800+67100+3500+12000+5500</x:f>
        <x:v>134900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6</x:v>
      </x:c>
      <x:c r="D16" s="150" t="s">
        <x:v>115</x:v>
      </x:c>
      <x:c r="E16" s="151"/>
      <x:c r="F16" s="199">
        <x:v>12</x:v>
      </x:c>
      <x:c r="G16" s="199"/>
      <x:c r="H16" s="54"/>
      <x:c r="I16" s="58"/>
      <x:c r="J16" s="54" t="s">
        <x:v>81</x:v>
      </x:c>
      <x:c r="K16" s="58">
        <x:v>77420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SUM('1:4'!$C$16)</x:f>
        <x:v>23</x:v>
      </x:c>
      <x:c r="D17" s="152"/>
      <x:c r="E17" s="153"/>
      <x:c r="F17" s="164">
        <x:f>SUM('1:4'!$F$16)</x:f>
        <x:v>54</x:v>
      </x:c>
      <x:c r="G17" s="164"/>
      <x:c r="H17" s="54" t="s">
        <x:v>59</x:v>
      </x:c>
      <x:c r="I17" s="58"/>
      <x:c r="J17" s="54" t="s">
        <x:v>75</x:v>
      </x:c>
      <x:c r="K17" s="58">
        <x:v>25500</x:v>
      </x:c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39</x:v>
      </x:c>
      <x:c r="D18" s="150" t="s">
        <x:v>126</x:v>
      </x:c>
      <x:c r="E18" s="151"/>
      <x:c r="F18" s="162">
        <x:v>20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SUM('1:4'!$C$18)</x:f>
        <x:v>146</x:v>
      </x:c>
      <x:c r="D19" s="152"/>
      <x:c r="E19" s="153"/>
      <x:c r="F19" s="164">
        <x:f>SUM('1:4'!$F$18)</x:f>
        <x:v>49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59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SUM('1:4'!$F$20)</x:f>
        <x:v>199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>
        <x:v>500</x:v>
      </x:c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 t="s">
        <x:v>141</x:v>
      </x:c>
      <x:c r="D23" s="201"/>
      <x:c r="E23" s="201"/>
      <x:c r="F23" s="201"/>
      <x:c r="G23" s="201"/>
      <x:c r="H23" s="109" t="s">
        <x:v>131</x:v>
      </x:c>
      <x:c r="I23" s="110">
        <x:f>SUM(I4:I22)</x:f>
        <x:v>2915674</x:v>
      </x:c>
      <x:c r="J23" s="61" t="s">
        <x:v>102</x:v>
      </x:c>
      <x:c r="K23" s="62">
        <x:f>SUM(K4:K22)</x:f>
        <x:v>118634.28571428571</x:v>
      </x:c>
      <x:c r="M23" s="90" t="s">
        <x:v>111</x:v>
      </x:c>
      <x:c r="N23" s="155">
        <x:f>C5+C6</x:f>
        <x:v>941000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0.7052912433478471</x:v>
      </x:c>
      <x:c r="J24" s="61" t="s">
        <x:v>62</x:v>
      </x:c>
      <x:c r="K24" s="63">
        <x:f>K23/A25</x:f>
        <x:v>0.028697214734950582</x:v>
      </x:c>
    </x:row>
    <x:row r="25" spans="1:11" ht="34.149999999999999" customHeight="1">
      <x:c r="A25" s="202">
        <x:f>C2</x:f>
        <x:v>4134000</x:v>
      </x:c>
      <x:c r="B25" s="161"/>
      <x:c r="C25" s="161">
        <x:f>E25/I1</x:f>
        <x:v>3450375</x:v>
      </x:c>
      <x:c r="D25" s="161"/>
      <x:c r="E25" s="161">
        <x:f>SUM('1:4'!$A$25)</x:f>
        <x:v>13801500</x:v>
      </x:c>
      <x:c r="F25" s="161"/>
      <x:c r="G25" s="161"/>
      <x:c r="H25" s="109" t="s">
        <x:v>19</x:v>
      </x:c>
      <x:c r="I25" s="110">
        <x:f>SUM('1:4'!$I$23)</x:f>
        <x:v>6445761</x:v>
      </x:c>
      <x:c r="J25" s="61" t="s">
        <x:v>19</x:v>
      </x:c>
      <x:c r="K25" s="62">
        <x:f>SUM('1:4'!$K$23)</x:f>
        <x:v>502378.14285714284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0.46703336593848493</x:v>
      </x:c>
      <x:c r="J26" s="64" t="s">
        <x:v>114</x:v>
      </x:c>
      <x:c r="K26" s="65">
        <x:f>K25/$E$25</x:f>
        <x:v>0.036400256700876196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>
        <x:f>13000*5</x:f>
        <x:v>65000</x:v>
      </x:c>
      <x:c r="G27" s="154"/>
      <x:c r="H27" s="113" t="s">
        <x:v>88</x:v>
      </x:c>
      <x:c r="I27" s="114">
        <x:f>SUM(C27:D34,F27:G30)</x:f>
        <x:v>824285.71428571432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/>
      <x:c r="G28" s="165"/>
      <x:c r="H28" s="113" t="s">
        <x:v>62</x:v>
      </x:c>
      <x:c r="I28" s="115">
        <x:f>I27/$A$25</x:f>
        <x:v>0.19939180316538807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SUM('1:4'!$I$27)</x:f>
        <x:v>3355642.8571428573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4.0709705372616982</x:v>
      </x:c>
      <x:c r="M30" s="66"/>
    </x:row>
    <x:row r="31" spans="1:7" customHeight="1">
      <x:c r="A31" s="204"/>
      <x:c r="B31" s="144" t="s">
        <x:v>41</x:v>
      </x:c>
      <x:c r="C31" s="206"/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O34"/>
  <x:sheetViews>
    <x:sheetView topLeftCell="A1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5</x:v>
      </x:c>
      <x:c r="G1" s="68" t="s">
        <x:v>39</x:v>
      </x:c>
      <x:c r="H1" s="52" t="s">
        <x:v>107</x:v>
      </x:c>
      <x:c r="I1" s="52">
        <x:f>F1-K1</x:f>
        <x:v>5</x:v>
      </x:c>
      <x:c r="J1" s="52" t="s">
        <x:v>96</x:v>
      </x:c>
      <x:c r="K1" s="52"/>
    </x:row>
    <x:row r="2" spans="1:11" ht="20.100000000000001" customHeight="1">
      <x:c r="A2" s="339" t="s">
        <x:v>24</x:v>
      </x:c>
      <x:c r="B2" s="340"/>
      <x:c r="C2" s="343">
        <x:f>SUM(C4:D7)</x:f>
        <x:v>3536000</x:v>
      </x:c>
      <x:c r="D2" s="344"/>
      <x:c r="E2" s="167" t="s">
        <x:v>7</x:v>
      </x:c>
      <x:c r="F2" s="168"/>
      <x:c r="G2" s="169">
        <x:v>114100</x:v>
      </x:c>
      <x:c r="H2" s="347" t="s">
        <x:v>63</x:v>
      </x:c>
      <x:c r="I2" s="348"/>
      <x:c r="J2" s="157" t="s">
        <x:v>147</x:v>
      </x:c>
      <x:c r="K2" s="349"/>
    </x:row>
    <x:row r="3" spans="1:11" ht="20.100000000000001" customHeight="1">
      <x:c r="A3" s="341"/>
      <x:c r="B3" s="342"/>
      <x:c r="C3" s="345"/>
      <x:c r="D3" s="346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330" t="s">
        <x:v>10</x:v>
      </x:c>
      <x:c r="B4" s="331"/>
      <x:c r="C4" s="210">
        <x:v>2986000</x:v>
      </x:c>
      <x:c r="D4" s="211"/>
      <x:c r="E4" s="332" t="s">
        <x:v>144</x:v>
      </x:c>
      <x:c r="F4" s="333"/>
      <x:c r="G4" s="136">
        <x:f>INT(C4*0.0275)</x:f>
        <x:v>82115</x:v>
      </x:c>
      <x:c r="H4" s="54" t="s">
        <x:v>44</x:v>
      </x:c>
      <x:c r="I4" s="126">
        <x:f>415500+56200+445200</x:f>
        <x:v>916900</x:v>
      </x:c>
      <x:c r="J4" s="83" t="s">
        <x:v>18</x:v>
      </x:c>
      <x:c r="K4" s="58">
        <x:v>171000</x:v>
      </x:c>
    </x:row>
    <x:row r="5" spans="1:11" ht="30.949999999999999" customHeight="1">
      <x:c r="A5" s="330" t="s">
        <x:v>52</x:v>
      </x:c>
      <x:c r="B5" s="331"/>
      <x:c r="C5" s="210">
        <x:v>550000</x:v>
      </x:c>
      <x:c r="D5" s="211"/>
      <x:c r="E5" s="197" t="s">
        <x:v>153</x:v>
      </x:c>
      <x:c r="F5" s="198"/>
      <x:c r="G5" s="136">
        <x:f>INT(C5*0.01)</x:f>
        <x:v>5500</x:v>
      </x:c>
      <x:c r="H5" s="54" t="s">
        <x:v>63</x:v>
      </x:c>
      <x:c r="I5" s="126">
        <x:f>21900+3200+51600+25600</x:f>
        <x:v>102300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560000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/>
      <x:c r="J7" s="83" t="s">
        <x:v>122</x:v>
      </x:c>
      <x:c r="K7" s="58"/>
    </x:row>
    <x:row r="8" spans="1:11" ht="21.949999999999999" customHeight="1">
      <x:c r="A8" s="337" t="s">
        <x:v>112</x:v>
      </x:c>
      <x:c r="B8" s="151"/>
      <x:c r="C8" s="185">
        <x:v>104100</x:v>
      </x:c>
      <x:c r="D8" s="186"/>
      <x:c r="E8" s="150" t="s">
        <x:v>132</x:v>
      </x:c>
      <x:c r="F8" s="151"/>
      <x:c r="G8" s="190">
        <x:f>C5+G2-G6-C22</x:f>
        <x:v>104100</x:v>
      </x:c>
      <x:c r="H8" s="54" t="s">
        <x:v>15</x:v>
      </x:c>
      <x:c r="I8" s="126">
        <x:v>55000</x:v>
      </x:c>
      <x:c r="J8" s="83"/>
      <x:c r="K8" s="58"/>
    </x:row>
    <x:row r="9" spans="1:11" ht="21.949999999999999" customHeight="1">
      <x:c r="A9" s="338"/>
      <x:c r="B9" s="153"/>
      <x:c r="C9" s="187"/>
      <x:c r="D9" s="188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322" t="s">
        <x:v>134</x:v>
      </x:c>
      <x:c r="B10" s="198"/>
      <x:c r="C10" s="210"/>
      <x:c r="D10" s="211"/>
      <x:c r="E10" s="197" t="s">
        <x:v>72</x:v>
      </x:c>
      <x:c r="F10" s="198"/>
      <x:c r="G10" s="55"/>
      <x:c r="H10" s="54"/>
      <x:c r="I10" s="126"/>
      <x:c r="J10" s="54" t="s">
        <x:v>2</x:v>
      </x:c>
      <x:c r="K10" s="58"/>
    </x:row>
    <x:row r="11" spans="1:11" ht="33" customHeight="1">
      <x:c r="A11" s="322" t="s">
        <x:v>110</x:v>
      </x:c>
      <x:c r="B11" s="198"/>
      <x:c r="C11" s="334"/>
      <x:c r="D11" s="335"/>
      <x:c r="E11" s="335"/>
      <x:c r="F11" s="335"/>
      <x:c r="G11" s="336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23</x:v>
      </x:c>
      <x:c r="D12" s="150" t="s">
        <x:v>104</x:v>
      </x:c>
      <x:c r="E12" s="151"/>
      <x:c r="F12" s="197">
        <x:v>10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SUM('1:5'!$C$12)</x:f>
        <x:v>53</x:v>
      </x:c>
      <x:c r="D13" s="152"/>
      <x:c r="E13" s="153"/>
      <x:c r="F13" s="195">
        <x:f>SUM('1:5'!$F$12)</x:f>
        <x:v>44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29</x:v>
      </x:c>
      <x:c r="D14" s="150" t="s">
        <x:v>87</x:v>
      </x:c>
      <x:c r="E14" s="151"/>
      <x:c r="F14" s="197">
        <x:v>11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SUM('1:5'!$C$14)</x:f>
        <x:v>164</x:v>
      </x:c>
      <x:c r="D15" s="152"/>
      <x:c r="E15" s="153"/>
      <x:c r="F15" s="195">
        <x:f>SUM('1:5'!$F$14)</x:f>
        <x:v>80</x:v>
      </x:c>
      <x:c r="G15" s="196"/>
      <x:c r="H15" s="54" t="s">
        <x:v>90</x:v>
      </x:c>
      <x:c r="I15" s="58">
        <x:f>11800+24000+5500+4900</x:f>
        <x:v>46200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1</x:v>
      </x:c>
      <x:c r="D16" s="150" t="s">
        <x:v>115</x:v>
      </x:c>
      <x:c r="E16" s="151"/>
      <x:c r="F16" s="328">
        <x:v>13</x:v>
      </x:c>
      <x:c r="G16" s="329"/>
      <x:c r="H16" s="54"/>
      <x:c r="I16" s="58"/>
      <x:c r="J16" s="54" t="s">
        <x:v>81</x:v>
      </x:c>
      <x:c r="K16" s="58">
        <x:v>41860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SUM('1:5'!$C$16)</x:f>
        <x:v>24</x:v>
      </x:c>
      <x:c r="D17" s="152"/>
      <x:c r="E17" s="153"/>
      <x:c r="F17" s="195">
        <x:f>SUM('1:5'!$F$16)</x:f>
        <x:v>67</x:v>
      </x:c>
      <x:c r="G17" s="196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25</x:v>
      </x:c>
      <x:c r="D18" s="150" t="s">
        <x:v>126</x:v>
      </x:c>
      <x:c r="E18" s="151"/>
      <x:c r="F18" s="328">
        <x:v>11</x:v>
      </x:c>
      <x:c r="G18" s="32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SUM('1:5'!$C$18)</x:f>
        <x:v>171</x:v>
      </x:c>
      <x:c r="D19" s="152"/>
      <x:c r="E19" s="153"/>
      <x:c r="F19" s="195">
        <x:f>SUM('1:5'!$F$18)</x:f>
        <x:v>60</x:v>
      </x:c>
      <x:c r="G19" s="196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97" t="s">
        <x:v>98</x:v>
      </x:c>
      <x:c r="E20" s="198"/>
      <x:c r="F20" s="328">
        <x:v>44</x:v>
      </x:c>
      <x:c r="G20" s="32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97" t="s">
        <x:v>137</x:v>
      </x:c>
      <x:c r="E21" s="198"/>
      <x:c r="F21" s="195">
        <x:f>SUM('1:5'!$F$20)</x:f>
        <x:v>243</x:v>
      </x:c>
      <x:c r="G21" s="196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322" t="s">
        <x:v>80</x:v>
      </x:c>
      <x:c r="B22" s="198"/>
      <x:c r="C22" s="325"/>
      <x:c r="D22" s="326"/>
      <x:c r="E22" s="326"/>
      <x:c r="F22" s="326"/>
      <x:c r="G22" s="32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322" t="s">
        <x:v>125</x:v>
      </x:c>
      <x:c r="B23" s="198"/>
      <x:c r="C23" s="352"/>
      <x:c r="D23" s="353"/>
      <x:c r="E23" s="353"/>
      <x:c r="F23" s="353"/>
      <x:c r="G23" s="354"/>
      <x:c r="H23" s="109" t="s">
        <x:v>131</x:v>
      </x:c>
      <x:c r="I23" s="110">
        <x:f>SUM(I4:I22)</x:f>
        <x:v>1120400</x:v>
      </x:c>
      <x:c r="J23" s="61" t="s">
        <x:v>102</x:v>
      </x:c>
      <x:c r="K23" s="62">
        <x:f>SUM(K4:K22)</x:f>
        <x:v>228574.28571428571</x:v>
      </x:c>
      <x:c r="M23" s="90" t="s">
        <x:v>111</x:v>
      </x:c>
      <x:c r="N23" s="155">
        <x:f>C5+C6</x:f>
        <x:v>550000</x:v>
      </x:c>
      <x:c r="O23" s="156"/>
    </x:row>
    <x:row r="24" spans="1:11" ht="34.149999999999999" customHeight="1">
      <x:c r="A24" s="322" t="s">
        <x:v>62</x:v>
      </x:c>
      <x:c r="B24" s="198"/>
      <x:c r="C24" s="197" t="s">
        <x:v>94</x:v>
      </x:c>
      <x:c r="D24" s="198"/>
      <x:c r="E24" s="197" t="s">
        <x:v>140</x:v>
      </x:c>
      <x:c r="F24" s="351"/>
      <x:c r="G24" s="198"/>
      <x:c r="H24" s="109" t="s">
        <x:v>62</x:v>
      </x:c>
      <x:c r="I24" s="111">
        <x:f>I23/A25</x:f>
        <x:v>0.31685520361990949</x:v>
      </x:c>
      <x:c r="J24" s="61" t="s">
        <x:v>62</x:v>
      </x:c>
      <x:c r="K24" s="63">
        <x:f>K23/A25</x:f>
        <x:v>0.06464204912734324</x:v>
      </x:c>
    </x:row>
    <x:row r="25" spans="1:11" ht="34.149999999999999" customHeight="1">
      <x:c r="A25" s="324">
        <x:f>C2</x:f>
        <x:v>3536000</x:v>
      </x:c>
      <x:c r="B25" s="209"/>
      <x:c r="C25" s="208">
        <x:f>E25/I1</x:f>
        <x:v>3467500</x:v>
      </x:c>
      <x:c r="D25" s="209"/>
      <x:c r="E25" s="208">
        <x:f>SUM('1:5'!$A$25)</x:f>
        <x:v>17337500</x:v>
      </x:c>
      <x:c r="F25" s="350"/>
      <x:c r="G25" s="209"/>
      <x:c r="H25" s="109" t="s">
        <x:v>19</x:v>
      </x:c>
      <x:c r="I25" s="110">
        <x:f>SUM('1:5'!$I$23)</x:f>
        <x:v>7566161</x:v>
      </x:c>
      <x:c r="J25" s="61" t="s">
        <x:v>19</x:v>
      </x:c>
      <x:c r="K25" s="62">
        <x:f>SUM('1:5'!$K$23)</x:f>
        <x:v>730952.42857142852</x:v>
      </x:c>
    </x:row>
    <x:row r="26" spans="1:11" ht="34.149999999999999" customHeight="1">
      <x:c r="A26" s="322" t="s">
        <x:v>74</x:v>
      </x:c>
      <x:c r="B26" s="198"/>
      <x:c r="C26" s="197"/>
      <x:c r="D26" s="198"/>
      <x:c r="E26" s="210"/>
      <x:c r="F26" s="323"/>
      <x:c r="G26" s="211"/>
      <x:c r="H26" s="109" t="s">
        <x:v>114</x:v>
      </x:c>
      <x:c r="I26" s="112">
        <x:f>I25/$E$25</x:f>
        <x:v>0.43640438356164385</x:v>
      </x:c>
      <x:c r="J26" s="64" t="s">
        <x:v>114</x:v>
      </x:c>
      <x:c r="K26" s="65">
        <x:f>K25/$E$25</x:f>
        <x:v>0.042160197754660622</x:v>
      </x:c>
    </x:row>
    <x:row r="27" spans="1:13" ht="30.949999999999999" customHeight="1">
      <x:c r="A27" s="317" t="s">
        <x:v>71</x:v>
      </x:c>
      <x:c r="B27" s="54" t="s">
        <x:v>45</x:v>
      </x:c>
      <x:c r="C27" s="208">
        <x:f>4000000/28</x:f>
        <x:v>142857.14285714287</x:v>
      </x:c>
      <x:c r="D27" s="209"/>
      <x:c r="E27" s="55" t="s">
        <x:v>54</x:v>
      </x:c>
      <x:c r="F27" s="210">
        <x:f>13000*5</x:f>
        <x:v>65000</x:v>
      </x:c>
      <x:c r="G27" s="211"/>
      <x:c r="H27" s="113" t="s">
        <x:v>88</x:v>
      </x:c>
      <x:c r="I27" s="114">
        <x:f>SUM(C27:D34,F27:G30)</x:f>
        <x:v>876285.71428571432</x:v>
      </x:c>
      <x:c r="M27" s="66"/>
    </x:row>
    <x:row r="28" spans="1:13" ht="30.949999999999999" customHeight="1">
      <x:c r="A28" s="318"/>
      <x:c r="B28" s="54" t="s">
        <x:v>29</x:v>
      </x:c>
      <x:c r="C28" s="208">
        <x:f>3800000/28</x:f>
        <x:v>135714.28571428571</x:v>
      </x:c>
      <x:c r="D28" s="209"/>
      <x:c r="E28" s="55" t="s">
        <x:v>54</x:v>
      </x:c>
      <x:c r="F28" s="206">
        <x:f>13000*4</x:f>
        <x:v>52000</x:v>
      </x:c>
      <x:c r="G28" s="207"/>
      <x:c r="H28" s="113" t="s">
        <x:v>62</x:v>
      </x:c>
      <x:c r="I28" s="115">
        <x:f>I27/$A$25</x:f>
        <x:v>0.24781835811247577</x:v>
      </x:c>
      <x:c r="M28" s="66"/>
    </x:row>
    <x:row r="29" spans="1:13" ht="30.949999999999999" customHeight="1">
      <x:c r="A29" s="318"/>
      <x:c r="B29" s="54" t="s">
        <x:v>21</x:v>
      </x:c>
      <x:c r="C29" s="208">
        <x:f>3200000/28</x:f>
        <x:v>114285.71428571429</x:v>
      </x:c>
      <x:c r="D29" s="209"/>
      <x:c r="E29" s="55" t="s">
        <x:v>54</x:v>
      </x:c>
      <x:c r="F29" s="210"/>
      <x:c r="G29" s="211"/>
      <x:c r="H29" s="113" t="s">
        <x:v>19</x:v>
      </x:c>
      <x:c r="I29" s="114">
        <x:f>SUM('1:5'!$I$27)</x:f>
        <x:v>4231928.5714285718</x:v>
      </x:c>
      <x:c r="M29" s="66"/>
    </x:row>
    <x:row r="30" spans="1:13" ht="30.949999999999999" customHeight="1">
      <x:c r="A30" s="318"/>
      <x:c r="B30" s="54" t="s">
        <x:v>42</x:v>
      </x:c>
      <x:c r="C30" s="208">
        <x:f>3400000/28</x:f>
        <x:v>121428.57142857143</x:v>
      </x:c>
      <x:c r="D30" s="209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4.8293935441799807</x:v>
      </x:c>
      <x:c r="M30" s="66"/>
    </x:row>
    <x:row r="31" spans="1:7" customHeight="1">
      <x:c r="A31" s="318"/>
      <x:c r="B31" s="144" t="s">
        <x:v>41</x:v>
      </x:c>
      <x:c r="C31" s="206"/>
      <x:c r="D31" s="207"/>
      <x:c r="E31" s="52"/>
      <x:c r="F31" s="321"/>
      <x:c r="G31" s="321"/>
    </x:row>
    <x:row r="32" spans="1:4" customHeight="1">
      <x:c r="A32" s="318"/>
      <x:c r="B32" s="54"/>
      <x:c r="C32" s="206"/>
      <x:c r="D32" s="207"/>
    </x:row>
    <x:row r="33" spans="1:4" customHeight="1">
      <x:c r="A33" s="318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319"/>
      <x:c r="B34" s="54"/>
      <x:c r="C34" s="210"/>
      <x:c r="D34" s="211"/>
    </x:row>
  </x:sheetData>
  <x:mergeCells count="73">
    <x:mergeCell ref="F30:G30"/>
    <x:mergeCell ref="C30:D30"/>
    <x:mergeCell ref="F31:G31"/>
    <x:mergeCell ref="F29:G29"/>
    <x:mergeCell ref="C27:D27"/>
    <x:mergeCell ref="F27:G27"/>
    <x:mergeCell ref="C28:D28"/>
    <x:mergeCell ref="F28:G28"/>
    <x:mergeCell ref="C29:D29"/>
    <x:mergeCell ref="A27:A34"/>
    <x:mergeCell ref="C32:D32"/>
    <x:mergeCell ref="C33:D33"/>
    <x:mergeCell ref="C34:D34"/>
    <x:mergeCell ref="A23:B23"/>
    <x:mergeCell ref="C31:D31"/>
    <x:mergeCell ref="N23:O23"/>
    <x:mergeCell ref="A26:B26"/>
    <x:mergeCell ref="C26:D26"/>
    <x:mergeCell ref="E26:G26"/>
    <x:mergeCell ref="A25:B25"/>
    <x:mergeCell ref="C25:D25"/>
    <x:mergeCell ref="A24:B24"/>
    <x:mergeCell ref="A22:B22"/>
    <x:mergeCell ref="C22:G22"/>
    <x:mergeCell ref="B12:B13"/>
    <x:mergeCell ref="B14:B15"/>
    <x:mergeCell ref="B16:B17"/>
    <x:mergeCell ref="B18:B19"/>
    <x:mergeCell ref="D20:E20"/>
    <x:mergeCell ref="F20:G20"/>
    <x:mergeCell ref="D21:E21"/>
    <x:mergeCell ref="F21:G21"/>
    <x:mergeCell ref="D16:E17"/>
    <x:mergeCell ref="F18:G18"/>
    <x:mergeCell ref="F19:G19"/>
    <x:mergeCell ref="D18:E1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A2:B3"/>
    <x:mergeCell ref="C2:D3"/>
    <x:mergeCell ref="E2:F3"/>
    <x:mergeCell ref="G2:G3"/>
    <x:mergeCell ref="H2:I2"/>
    <x:mergeCell ref="J2:K2"/>
    <x:mergeCell ref="F17:G17"/>
    <x:mergeCell ref="F12:G12"/>
    <x:mergeCell ref="F13:G13"/>
    <x:mergeCell ref="F14:G14"/>
    <x:mergeCell ref="F15:G15"/>
    <x:mergeCell ref="F16:G16"/>
    <x:mergeCell ref="C8:D9"/>
    <x:mergeCell ref="E8:F9"/>
    <x:mergeCell ref="G8:G9"/>
    <x:mergeCell ref="E25:G25"/>
    <x:mergeCell ref="D12:E13"/>
    <x:mergeCell ref="D14:E15"/>
    <x:mergeCell ref="C24:D24"/>
    <x:mergeCell ref="E24:G24"/>
    <x:mergeCell ref="C23:G2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O34"/>
  <x:sheetViews>
    <x:sheetView topLeftCell="A13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6</x:v>
      </x:c>
      <x:c r="G1" s="68" t="s">
        <x:v>20</x:v>
      </x:c>
      <x:c r="H1" s="52" t="s">
        <x:v>107</x:v>
      </x:c>
      <x:c r="I1" s="52">
        <x:f>F1-K1</x:f>
        <x:v>6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4313000</x:v>
      </x:c>
      <x:c r="D2" s="178"/>
      <x:c r="E2" s="167" t="s">
        <x:v>7</x:v>
      </x:c>
      <x:c r="F2" s="168"/>
      <x:c r="G2" s="169">
        <x:v>104100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3989000</x:v>
      </x:c>
      <x:c r="D4" s="154"/>
      <x:c r="E4" s="173" t="s">
        <x:v>144</x:v>
      </x:c>
      <x:c r="F4" s="173"/>
      <x:c r="G4" s="136">
        <x:f>INT(C4*0.0275)</x:f>
        <x:v>109697</x:v>
      </x:c>
      <x:c r="H4" s="54" t="s">
        <x:v>44</x:v>
      </x:c>
      <x:c r="I4" s="126">
        <x:f>415500+61300</x:f>
        <x:v>476800</x:v>
      </x:c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324000</x:v>
      </x:c>
      <x:c r="D5" s="154"/>
      <x:c r="E5" s="166" t="s">
        <x:v>153</x:v>
      </x:c>
      <x:c r="F5" s="166"/>
      <x:c r="G5" s="136">
        <x:f>INT(C5*0.01)</x:f>
        <x:v>3240</x:v>
      </x:c>
      <x:c r="H5" s="54" t="s">
        <x:v>63</x:v>
      </x:c>
      <x:c r="I5" s="126">
        <x:f>60500+36080</x:f>
        <x:v>96580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340000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>
        <x:f>257200-34800</x:f>
        <x:v>222400</x:v>
      </x:c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88100</x:v>
      </x:c>
      <x:c r="D8" s="154"/>
      <x:c r="E8" s="150" t="s">
        <x:v>132</x:v>
      </x:c>
      <x:c r="F8" s="151"/>
      <x:c r="G8" s="190">
        <x:f>C5+G2-G6-C22</x:f>
        <x:v>88100</x:v>
      </x:c>
      <x:c r="H8" s="54" t="s">
        <x:v>15</x:v>
      </x:c>
      <x:c r="I8" s="126"/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>
        <x:v>100000</x:v>
      </x:c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16</x:v>
      </x:c>
      <x:c r="D12" s="150" t="s">
        <x:v>104</x:v>
      </x:c>
      <x:c r="E12" s="151"/>
      <x:c r="F12" s="197">
        <x:v>14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SUM('1:6'!$C$12)</x:f>
        <x:v>69</x:v>
      </x:c>
      <x:c r="D13" s="152"/>
      <x:c r="E13" s="153"/>
      <x:c r="F13" s="195">
        <x:f>SUM('1:6'!$F$12)</x:f>
        <x:v>58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46</x:v>
      </x:c>
      <x:c r="D14" s="150" t="s">
        <x:v>87</x:v>
      </x:c>
      <x:c r="E14" s="151"/>
      <x:c r="F14" s="197">
        <x:v>19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SUM('1:6'!$C$14)</x:f>
        <x:v>210</x:v>
      </x:c>
      <x:c r="D15" s="152"/>
      <x:c r="E15" s="153"/>
      <x:c r="F15" s="195">
        <x:f>SUM('1:6'!$F$14)</x:f>
        <x:v>99</x:v>
      </x:c>
      <x:c r="G15" s="196"/>
      <x:c r="H15" s="54" t="s">
        <x:v>90</x:v>
      </x:c>
      <x:c r="I15" s="58">
        <x:f>17400+24400+11800+14250</x:f>
        <x:v>67850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14</x:v>
      </x:c>
      <x:c r="D16" s="150" t="s">
        <x:v>115</x:v>
      </x:c>
      <x:c r="E16" s="151"/>
      <x:c r="F16" s="199">
        <x:v>8</x:v>
      </x:c>
      <x:c r="G16" s="199"/>
      <x:c r="H16" s="54"/>
      <x:c r="I16" s="58"/>
      <x:c r="J16" s="54" t="s">
        <x:v>81</x:v>
      </x:c>
      <x:c r="K16" s="58"/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SUM('1:6'!$C$16)</x:f>
        <x:v>38</x:v>
      </x:c>
      <x:c r="D17" s="152"/>
      <x:c r="E17" s="153"/>
      <x:c r="F17" s="164">
        <x:f>SUM('1:6'!$F$16)</x:f>
        <x:v>75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40</x:v>
      </x:c>
      <x:c r="D18" s="150" t="s">
        <x:v>126</x:v>
      </x:c>
      <x:c r="E18" s="151"/>
      <x:c r="F18" s="162">
        <x:v>4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SUM('1:6'!$C$18)</x:f>
        <x:v>211</x:v>
      </x:c>
      <x:c r="D19" s="152"/>
      <x:c r="E19" s="153"/>
      <x:c r="F19" s="164">
        <x:f>SUM('1:6'!$F$18)</x:f>
        <x:v>64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58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SUM('1:6'!$F$20)</x:f>
        <x:v>301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963630</x:v>
      </x:c>
      <x:c r="J23" s="61" t="s">
        <x:v>102</x:v>
      </x:c>
      <x:c r="K23" s="62">
        <x:f>SUM(K4:K22)</x:f>
        <x:v>15714.285714285714</x:v>
      </x:c>
      <x:c r="M23" s="90" t="s">
        <x:v>111</x:v>
      </x:c>
      <x:c r="N23" s="155">
        <x:f>C5+C6</x:f>
        <x:v>324000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0.22342453048921865</x:v>
      </x:c>
      <x:c r="J24" s="61" t="s">
        <x:v>62</x:v>
      </x:c>
      <x:c r="K24" s="63">
        <x:f>K23/A25</x:f>
        <x:v>0.003643469908250803</x:v>
      </x:c>
    </x:row>
    <x:row r="25" spans="1:11" ht="34.149999999999999" customHeight="1">
      <x:c r="A25" s="202">
        <x:f>C2</x:f>
        <x:v>4313000</x:v>
      </x:c>
      <x:c r="B25" s="161"/>
      <x:c r="C25" s="161">
        <x:f>E25/I1</x:f>
        <x:v>3608416.6666666665</x:v>
      </x:c>
      <x:c r="D25" s="161"/>
      <x:c r="E25" s="161">
        <x:f>SUM('1:6'!$A$25)</x:f>
        <x:v>21650500</x:v>
      </x:c>
      <x:c r="F25" s="161"/>
      <x:c r="G25" s="161"/>
      <x:c r="H25" s="109" t="s">
        <x:v>19</x:v>
      </x:c>
      <x:c r="I25" s="110">
        <x:f>SUM('1:6'!$I$23)</x:f>
        <x:v>8529791</x:v>
      </x:c>
      <x:c r="J25" s="61" t="s">
        <x:v>19</x:v>
      </x:c>
      <x:c r="K25" s="62">
        <x:f>SUM('1:6'!$K$23)</x:f>
        <x:v>746666.7142857142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0.39397662871527217</x:v>
      </x:c>
      <x:c r="J26" s="64" t="s">
        <x:v>114</x:v>
      </x:c>
      <x:c r="K26" s="65">
        <x:f>K25/$E$25</x:f>
        <x:v>0.034487273471084462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>
        <x:f>13000*5</x:f>
        <x:v>65000</x:v>
      </x:c>
      <x:c r="G27" s="154"/>
      <x:c r="H27" s="113" t="s">
        <x:v>88</x:v>
      </x:c>
      <x:c r="I27" s="116">
        <x:f>SUM(C27:D34,F27:G30)</x:f>
        <x:v>876285.71428571432</x:v>
      </x:c>
      <x:c r="M27" s="66"/>
    </x:row>
    <x:row r="28" spans="1:13" ht="30.949999999999999" customHeight="1">
      <x:c r="A28" s="204"/>
      <x:c r="B28" s="54" t="s">
        <x:v>29</x:v>
      </x:c>
      <x:c r="C28" s="208">
        <x:f>3800000/28</x:f>
        <x:v>135714.28571428571</x:v>
      </x:c>
      <x:c r="D28" s="209"/>
      <x:c r="E28" s="55" t="s">
        <x:v>54</x:v>
      </x:c>
      <x:c r="F28" s="165">
        <x:f>13000*4</x:f>
        <x:v>52000</x:v>
      </x:c>
      <x:c r="G28" s="165"/>
      <x:c r="H28" s="113" t="s">
        <x:v>62</x:v>
      </x:c>
      <x:c r="I28" s="115">
        <x:f>I27/$A$25</x:f>
        <x:v>0.20317313106554935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SUM('1:6'!$I$27)</x:f>
        <x:v>5108214.2857142864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5.8293935441799807</x:v>
      </x:c>
      <x:c r="M30" s="66"/>
    </x:row>
    <x:row r="31" spans="1:7" customHeight="1">
      <x:c r="A31" s="204"/>
      <x:c r="B31" s="144" t="s">
        <x:v>41</x:v>
      </x:c>
      <x:c r="C31" s="206"/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O34"/>
  <x:sheetViews>
    <x:sheetView topLeftCell="A1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7.7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7</x:v>
      </x:c>
      <x:c r="G1" s="68" t="s">
        <x:v>32</x:v>
      </x:c>
      <x:c r="H1" s="52" t="s">
        <x:v>107</x:v>
      </x:c>
      <x:c r="I1" s="52">
        <x:f>F1-K1</x:f>
        <x:v>7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4071000</x:v>
      </x:c>
      <x:c r="D2" s="178"/>
      <x:c r="E2" s="167" t="s">
        <x:v>7</x:v>
      </x:c>
      <x:c r="F2" s="168"/>
      <x:c r="G2" s="169">
        <x:v>88100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3392000</x:v>
      </x:c>
      <x:c r="D4" s="154"/>
      <x:c r="E4" s="173" t="s">
        <x:v>144</x:v>
      </x:c>
      <x:c r="F4" s="173"/>
      <x:c r="G4" s="136">
        <x:f>INT(C4*0.0275)</x:f>
        <x:v>93280</x:v>
      </x:c>
      <x:c r="H4" s="54" t="s">
        <x:v>44</x:v>
      </x:c>
      <x:c r="I4" s="126">
        <x:f>415500+232200+387655</x:f>
        <x:v>1035355</x:v>
      </x:c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679000</x:v>
      </x:c>
      <x:c r="D5" s="154"/>
      <x:c r="E5" s="166" t="s">
        <x:v>153</x:v>
      </x:c>
      <x:c r="F5" s="166"/>
      <x:c r="G5" s="136">
        <x:f>INT(C5*0.01)</x:f>
        <x:v>6790</x:v>
      </x:c>
      <x:c r="H5" s="54" t="s">
        <x:v>63</x:v>
      </x:c>
      <x:c r="I5" s="126">
        <x:f>59312+36080+40700+51600+25600</x:f>
        <x:v>213292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700000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>
        <x:f>312600-14200</x:f>
        <x:v>298400</x:v>
      </x:c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67100</x:v>
      </x:c>
      <x:c r="D8" s="154"/>
      <x:c r="E8" s="150" t="s">
        <x:v>132</x:v>
      </x:c>
      <x:c r="F8" s="151"/>
      <x:c r="G8" s="190">
        <x:f>C5+G2-G6-C22</x:f>
        <x:v>67100</x:v>
      </x:c>
      <x:c r="H8" s="54" t="s">
        <x:v>15</x:v>
      </x:c>
      <x:c r="I8" s="126">
        <x:v>55000</x:v>
      </x:c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13</x:v>
      </x:c>
      <x:c r="D12" s="150" t="s">
        <x:v>104</x:v>
      </x:c>
      <x:c r="E12" s="151"/>
      <x:c r="F12" s="197">
        <x:v>9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SUM('1:7'!$C$12)</x:f>
        <x:v>82</x:v>
      </x:c>
      <x:c r="D13" s="152"/>
      <x:c r="E13" s="153"/>
      <x:c r="F13" s="195">
        <x:f>SUM('1:7'!$F$12)</x:f>
        <x:v>67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33</x:v>
      </x:c>
      <x:c r="D14" s="150" t="s">
        <x:v>87</x:v>
      </x:c>
      <x:c r="E14" s="151"/>
      <x:c r="F14" s="197">
        <x:v>14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SUM('1:7'!$C$14)</x:f>
        <x:v>243</x:v>
      </x:c>
      <x:c r="D15" s="152"/>
      <x:c r="E15" s="153"/>
      <x:c r="F15" s="195">
        <x:f>SUM('1:7'!$F$14)</x:f>
        <x:v>113</x:v>
      </x:c>
      <x:c r="G15" s="196"/>
      <x:c r="H15" s="54" t="s">
        <x:v>90</x:v>
      </x:c>
      <x:c r="I15" s="58">
        <x:f>3500+11800+7500+52000+38400+4900+5500+24400</x:f>
        <x:v>148000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5</x:v>
      </x:c>
      <x:c r="D16" s="150" t="s">
        <x:v>115</x:v>
      </x:c>
      <x:c r="E16" s="151"/>
      <x:c r="F16" s="199">
        <x:v>16</x:v>
      </x:c>
      <x:c r="G16" s="199"/>
      <x:c r="H16" s="54"/>
      <x:c r="I16" s="58"/>
      <x:c r="J16" s="54" t="s">
        <x:v>81</x:v>
      </x:c>
      <x:c r="K16" s="58">
        <x:v>95660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SUM('1:7'!$C$16)</x:f>
        <x:v>43</x:v>
      </x:c>
      <x:c r="D17" s="152"/>
      <x:c r="E17" s="153"/>
      <x:c r="F17" s="164">
        <x:f>SUM('1:7'!$F$16)</x:f>
        <x:v>91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28</x:v>
      </x:c>
      <x:c r="D18" s="150" t="s">
        <x:v>126</x:v>
      </x:c>
      <x:c r="E18" s="151"/>
      <x:c r="F18" s="162">
        <x:v>20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SUM('1:7'!$C$18)</x:f>
        <x:v>239</x:v>
      </x:c>
      <x:c r="D19" s="152"/>
      <x:c r="E19" s="153"/>
      <x:c r="F19" s="164">
        <x:f>SUM('1:7'!$F$18)</x:f>
        <x:v>84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61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SUM('1:7'!$F$20)</x:f>
        <x:v>362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1750047</x:v>
      </x:c>
      <x:c r="J23" s="61" t="s">
        <x:v>102</x:v>
      </x:c>
      <x:c r="K23" s="62">
        <x:f>SUM(K4:K22)</x:f>
        <x:v>111374.28571428571</x:v>
      </x:c>
      <x:c r="M23" s="90" t="s">
        <x:v>111</x:v>
      </x:c>
      <x:c r="N23" s="155">
        <x:f>C5+C6</x:f>
        <x:v>679000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0.42988135593220339</x:v>
      </x:c>
      <x:c r="J24" s="61" t="s">
        <x:v>62</x:v>
      </x:c>
      <x:c r="K24" s="63">
        <x:f>K23/A25</x:f>
        <x:v>0.027357967505351438</x:v>
      </x:c>
    </x:row>
    <x:row r="25" spans="1:11" ht="34.149999999999999" customHeight="1">
      <x:c r="A25" s="202">
        <x:f>C2</x:f>
        <x:v>4071000</x:v>
      </x:c>
      <x:c r="B25" s="161"/>
      <x:c r="C25" s="161">
        <x:f>E25/I1</x:f>
        <x:v>3674500</x:v>
      </x:c>
      <x:c r="D25" s="161"/>
      <x:c r="E25" s="161">
        <x:f>SUM('1:7'!$A$25)</x:f>
        <x:v>25721500</x:v>
      </x:c>
      <x:c r="F25" s="161"/>
      <x:c r="G25" s="161"/>
      <x:c r="H25" s="109" t="s">
        <x:v>19</x:v>
      </x:c>
      <x:c r="I25" s="110">
        <x:f>SUM('1:7'!$I$23)</x:f>
        <x:v>10279838</x:v>
      </x:c>
      <x:c r="J25" s="61" t="s">
        <x:v>19</x:v>
      </x:c>
      <x:c r="K25" s="62">
        <x:f>SUM('1:7'!$K$23)</x:f>
        <x:v>858040.99999999988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0.39965935112648954</x:v>
      </x:c>
      <x:c r="J26" s="64" t="s">
        <x:v>114</x:v>
      </x:c>
      <x:c r="K26" s="65">
        <x:f>K25/$E$25</x:f>
        <x:v>0.0333589020858037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>
        <x:f>13000*5</x:f>
        <x:v>65000</x:v>
      </x:c>
      <x:c r="G27" s="154"/>
      <x:c r="H27" s="113" t="s">
        <x:v>88</x:v>
      </x:c>
      <x:c r="I27" s="114">
        <x:f>SUM(C27:D34,F27:G30)</x:f>
        <x:v>824285.71428571432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/>
      <x:c r="G28" s="165"/>
      <x:c r="H28" s="113" t="s">
        <x:v>62</x:v>
      </x:c>
      <x:c r="I28" s="115">
        <x:f>I27/$A$25</x:f>
        <x:v>0.20247745376706322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SUM('1:7'!$I$27)</x:f>
        <x:v>5932500.0000000009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7.1971403812824963</x:v>
      </x:c>
      <x:c r="M30" s="66"/>
    </x:row>
    <x:row r="31" spans="1:7" customHeight="1">
      <x:c r="A31" s="204"/>
      <x:c r="B31" s="144" t="s">
        <x:v>41</x:v>
      </x:c>
      <x:c r="C31" s="206"/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O34"/>
  <x:sheetViews>
    <x:sheetView topLeftCell="A1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8</x:v>
      </x:c>
      <x:c r="G1" s="68" t="s">
        <x:v>51</x:v>
      </x:c>
      <x:c r="H1" s="52" t="s">
        <x:v>107</x:v>
      </x:c>
      <x:c r="I1" s="52">
        <x:f>F1-K1</x:f>
        <x:v>8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4177500</x:v>
      </x:c>
      <x:c r="D2" s="178"/>
      <x:c r="E2" s="167" t="s">
        <x:v>7</x:v>
      </x:c>
      <x:c r="F2" s="168"/>
      <x:c r="G2" s="169">
        <x:v>67100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3807500</x:v>
      </x:c>
      <x:c r="D4" s="154"/>
      <x:c r="E4" s="173" t="s">
        <x:v>144</x:v>
      </x:c>
      <x:c r="F4" s="173"/>
      <x:c r="G4" s="136">
        <x:f>INT(C4*0.0275)</x:f>
        <x:v>104706</x:v>
      </x:c>
      <x:c r="H4" s="54" t="s">
        <x:v>44</x:v>
      </x:c>
      <x:c r="I4" s="126">
        <x:f>415500+226800+187140+445200+300846</x:f>
        <x:v>1575486</x:v>
      </x:c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370000</x:v>
      </x:c>
      <x:c r="D5" s="154"/>
      <x:c r="E5" s="166" t="s">
        <x:v>153</x:v>
      </x:c>
      <x:c r="F5" s="166"/>
      <x:c r="G5" s="136">
        <x:f>INT(C5*0.01)</x:f>
        <x:v>3700</x:v>
      </x:c>
      <x:c r="H5" s="54" t="s">
        <x:v>63</x:v>
      </x:c>
      <x:c r="I5" s="126">
        <x:f>77880+25600+31640+65700</x:f>
        <x:v>200820</x:v>
      </x:c>
      <x:c r="J5" s="83"/>
      <x:c r="K5" s="58"/>
    </x:row>
    <x:row r="6" spans="1:13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300500</x:v>
      </x:c>
      <x:c r="H6" s="54"/>
      <x:c r="I6" s="126"/>
      <x:c r="J6" s="83" t="s">
        <x:v>118</x:v>
      </x:c>
      <x:c r="K6" s="58"/>
      <x:c r="M6" s="126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/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136600</x:v>
      </x:c>
      <x:c r="D8" s="154"/>
      <x:c r="E8" s="150" t="s">
        <x:v>132</x:v>
      </x:c>
      <x:c r="F8" s="151"/>
      <x:c r="G8" s="190">
        <x:f>C5+G2-G6-C22</x:f>
        <x:v>136600</x:v>
      </x:c>
      <x:c r="H8" s="54" t="s">
        <x:v>15</x:v>
      </x:c>
      <x:c r="I8" s="126"/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18</x:v>
      </x:c>
      <x:c r="D12" s="150" t="s">
        <x:v>104</x:v>
      </x:c>
      <x:c r="E12" s="151"/>
      <x:c r="F12" s="197">
        <x:v>11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SUM('1:8'!$C$12)</x:f>
        <x:v>100</x:v>
      </x:c>
      <x:c r="D13" s="152"/>
      <x:c r="E13" s="153"/>
      <x:c r="F13" s="195">
        <x:f>SUM('1:8'!$F$12)</x:f>
        <x:v>78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42</x:v>
      </x:c>
      <x:c r="D14" s="150" t="s">
        <x:v>87</x:v>
      </x:c>
      <x:c r="E14" s="151"/>
      <x:c r="F14" s="197">
        <x:v>34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SUM('1:8'!$C$14)</x:f>
        <x:v>285</x:v>
      </x:c>
      <x:c r="D15" s="152"/>
      <x:c r="E15" s="153"/>
      <x:c r="F15" s="195">
        <x:f>SUM('1:8'!$F$14)</x:f>
        <x:v>147</x:v>
      </x:c>
      <x:c r="G15" s="196"/>
      <x:c r="H15" s="54" t="s">
        <x:v>90</x:v>
      </x:c>
      <x:c r="I15" s="58">
        <x:f>97600+8550+17400+13000+16500+21000+4900+3900+4600+13500+38400+2500+4000</x:f>
        <x:v>245850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9</x:v>
      </x:c>
      <x:c r="D16" s="150" t="s">
        <x:v>115</x:v>
      </x:c>
      <x:c r="E16" s="151"/>
      <x:c r="F16" s="199">
        <x:v>12</x:v>
      </x:c>
      <x:c r="G16" s="199"/>
      <x:c r="H16" s="54"/>
      <x:c r="I16" s="58"/>
      <x:c r="J16" s="54" t="s">
        <x:v>81</x:v>
      </x:c>
      <x:c r="K16" s="58"/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SUM('1:8'!$C$16)</x:f>
        <x:v>52</x:v>
      </x:c>
      <x:c r="D17" s="152"/>
      <x:c r="E17" s="153"/>
      <x:c r="F17" s="164">
        <x:f>SUM('1:8'!$F$16)</x:f>
        <x:v>103</x:v>
      </x:c>
      <x:c r="G17" s="164"/>
      <x:c r="H17" s="54" t="s">
        <x:v>59</x:v>
      </x:c>
      <x:c r="I17" s="58">
        <x:v>1600</x:v>
      </x:c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39</x:v>
      </x:c>
      <x:c r="D18" s="150" t="s">
        <x:v>126</x:v>
      </x:c>
      <x:c r="E18" s="151"/>
      <x:c r="F18" s="162">
        <x:v>16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SUM('1:8'!$C$18)</x:f>
        <x:v>278</x:v>
      </x:c>
      <x:c r="D19" s="152"/>
      <x:c r="E19" s="153"/>
      <x:c r="F19" s="164">
        <x:f>SUM('1:8'!$F$18)</x:f>
        <x:v>100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56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SUM('1:8'!$F$20)</x:f>
        <x:v>418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2023756</x:v>
      </x:c>
      <x:c r="J23" s="61" t="s">
        <x:v>102</x:v>
      </x:c>
      <x:c r="K23" s="62">
        <x:f>SUM(K4:K22)</x:f>
        <x:v>15714.285714285714</x:v>
      </x:c>
      <x:c r="M23" s="90" t="s">
        <x:v>111</x:v>
      </x:c>
      <x:c r="N23" s="155">
        <x:f>C5+C6</x:f>
        <x:v>370000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0.4844418910831837</x:v>
      </x:c>
      <x:c r="J24" s="61" t="s">
        <x:v>62</x:v>
      </x:c>
      <x:c r="K24" s="63">
        <x:f>K23/A25</x:f>
        <x:v>0.0037616482858852697</x:v>
      </x:c>
    </x:row>
    <x:row r="25" spans="1:11" ht="34.149999999999999" customHeight="1">
      <x:c r="A25" s="202">
        <x:f>C2</x:f>
        <x:v>4177500</x:v>
      </x:c>
      <x:c r="B25" s="161"/>
      <x:c r="C25" s="161">
        <x:f>E25/I1</x:f>
        <x:v>3737375</x:v>
      </x:c>
      <x:c r="D25" s="161"/>
      <x:c r="E25" s="161">
        <x:f>SUM('1:8'!$A$25)</x:f>
        <x:v>29899000</x:v>
      </x:c>
      <x:c r="F25" s="161"/>
      <x:c r="G25" s="161"/>
      <x:c r="H25" s="109" t="s">
        <x:v>19</x:v>
      </x:c>
      <x:c r="I25" s="110">
        <x:f>SUM('1:8'!$I$23)</x:f>
        <x:v>12303594</x:v>
      </x:c>
      <x:c r="J25" s="61" t="s">
        <x:v>19</x:v>
      </x:c>
      <x:c r="K25" s="62">
        <x:f>SUM('1:8'!$K$23)</x:f>
        <x:v>873755.28571428556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0.41150520084283754</x:v>
      </x:c>
      <x:c r="J26" s="64" t="s">
        <x:v>114</x:v>
      </x:c>
      <x:c r="K26" s="65">
        <x:f>K25/$E$25</x:f>
        <x:v>0.029223562183159489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891935.71428571432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/>
      <x:c r="G28" s="165"/>
      <x:c r="H28" s="113" t="s">
        <x:v>62</x:v>
      </x:c>
      <x:c r="I28" s="115">
        <x:f>I27/$A$25</x:f>
        <x:v>0.21350944686671797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>
        <x:f>11700*4.5</x:f>
        <x:v>52650</x:v>
      </x:c>
      <x:c r="G29" s="154"/>
      <x:c r="H29" s="113" t="s">
        <x:v>19</x:v>
      </x:c>
      <x:c r="I29" s="114">
        <x:f>SUM('1:8'!$I$27)</x:f>
        <x:v>6824435.7142857155</x:v>
      </x:c>
      <x:c r="M29" s="66" t="s">
        <x:v>57</x:v>
      </x:c>
    </x:row>
    <x:row r="30" spans="1:13" ht="30.949999999999999" customHeight="1">
      <x:c r="A30" s="204"/>
      <x:c r="B30" s="54" t="s">
        <x:v>42</x:v>
      </x:c>
      <x:c r="C30" s="208">
        <x:f>3400000/28</x:f>
        <x:v>121428.57142857143</x:v>
      </x:c>
      <x:c r="D30" s="209"/>
      <x:c r="E30" s="55" t="s">
        <x:v>65</x:v>
      </x:c>
      <x:c r="F30" s="210">
        <x:v>130000</x:v>
      </x:c>
      <x:c r="G30" s="211"/>
      <x:c r="H30" s="113" t="s">
        <x:v>114</x:v>
      </x:c>
      <x:c r="I30" s="115">
        <x:f>I29/$I$27</x:f>
        <x:v>7.6512641045559029</x:v>
      </x:c>
      <x:c r="M30" s="66"/>
    </x:row>
    <x:row r="31" spans="1:7" customHeight="1">
      <x:c r="A31" s="204"/>
      <x:c r="B31" s="144" t="s">
        <x:v>41</x:v>
      </x:c>
      <x:c r="C31" s="206">
        <x:f>14000*5</x:f>
        <x:v>70000</x:v>
      </x:c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O34"/>
  <x:sheetViews>
    <x:sheetView topLeftCell="A10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 t="s">
        <x:v>57</x:v>
      </x:c>
      <x:c r="B1" s="51"/>
      <x:c r="C1" s="68" t="s">
        <x:v>92</x:v>
      </x:c>
      <x:c r="D1" s="68"/>
      <x:c r="E1" s="68" t="s">
        <x:v>9</x:v>
      </x:c>
      <x:c r="F1" s="68">
        <x:v>9</x:v>
      </x:c>
      <x:c r="G1" s="68" t="s">
        <x:v>34</x:v>
      </x:c>
      <x:c r="H1" s="52" t="s">
        <x:v>107</x:v>
      </x:c>
      <x:c r="I1" s="52">
        <x:f>F1-K1</x:f>
        <x:v>9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3823500</x:v>
      </x:c>
      <x:c r="D2" s="178"/>
      <x:c r="E2" s="167" t="s">
        <x:v>7</x:v>
      </x:c>
      <x:c r="F2" s="168"/>
      <x:c r="G2" s="169">
        <x:v>136600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3254500</x:v>
      </x:c>
      <x:c r="D4" s="154"/>
      <x:c r="E4" s="173" t="s">
        <x:v>144</x:v>
      </x:c>
      <x:c r="F4" s="173"/>
      <x:c r="G4" s="136">
        <x:f>INT(C4*0.0275)</x:f>
        <x:v>89498</x:v>
      </x:c>
      <x:c r="H4" s="54" t="s">
        <x:v>44</x:v>
      </x:c>
      <x:c r="I4" s="126"/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569000</x:v>
      </x:c>
      <x:c r="D5" s="154"/>
      <x:c r="E5" s="166" t="s">
        <x:v>153</x:v>
      </x:c>
      <x:c r="F5" s="166"/>
      <x:c r="G5" s="136">
        <x:f>INT(C5*0.01)</x:f>
        <x:v>5690</x:v>
      </x:c>
      <x:c r="H5" s="54" t="s">
        <x:v>63</x:v>
      </x:c>
      <x:c r="I5" s="126"/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560000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/>
      <x:c r="J7" s="83" t="s">
        <x:v>122</x:v>
      </x:c>
      <x:c r="K7" s="58">
        <x:v>12500</x:v>
      </x:c>
    </x:row>
    <x:row r="8" spans="1:11" ht="21.949999999999999" customHeight="1">
      <x:c r="A8" s="179" t="s">
        <x:v>112</x:v>
      </x:c>
      <x:c r="B8" s="166"/>
      <x:c r="C8" s="154">
        <x:v>145600</x:v>
      </x:c>
      <x:c r="D8" s="154"/>
      <x:c r="E8" s="150" t="s">
        <x:v>132</x:v>
      </x:c>
      <x:c r="F8" s="151"/>
      <x:c r="G8" s="190">
        <x:f>C5+G2-G6-C22</x:f>
        <x:v>145600</x:v>
      </x:c>
      <x:c r="H8" s="54" t="s">
        <x:v>15</x:v>
      </x:c>
      <x:c r="I8" s="126"/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11</x:v>
      </x:c>
      <x:c r="D12" s="150" t="s">
        <x:v>104</x:v>
      </x:c>
      <x:c r="E12" s="151"/>
      <x:c r="F12" s="197">
        <x:v>11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SUM('1:9'!$C$12)</x:f>
        <x:v>111</x:v>
      </x:c>
      <x:c r="D13" s="152"/>
      <x:c r="E13" s="153"/>
      <x:c r="F13" s="195">
        <x:f>SUM('1:9'!$F$12)</x:f>
        <x:v>89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61</x:v>
      </x:c>
      <x:c r="D14" s="150" t="s">
        <x:v>87</x:v>
      </x:c>
      <x:c r="E14" s="151"/>
      <x:c r="F14" s="197">
        <x:v>36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SUM('1:9'!$C$14)</x:f>
        <x:v>346</x:v>
      </x:c>
      <x:c r="D15" s="152"/>
      <x:c r="E15" s="153"/>
      <x:c r="F15" s="195">
        <x:f>SUM('1:9'!$F$14)</x:f>
        <x:v>183</x:v>
      </x:c>
      <x:c r="G15" s="196"/>
      <x:c r="H15" s="54" t="s">
        <x:v>90</x:v>
      </x:c>
      <x:c r="I15" s="58">
        <x:v>230550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5</x:v>
      </x:c>
      <x:c r="D16" s="150" t="s">
        <x:v>115</x:v>
      </x:c>
      <x:c r="E16" s="151"/>
      <x:c r="F16" s="199">
        <x:v>20</x:v>
      </x:c>
      <x:c r="G16" s="199"/>
      <x:c r="H16" s="54"/>
      <x:c r="I16" s="58"/>
      <x:c r="J16" s="54" t="s">
        <x:v>81</x:v>
      </x:c>
      <x:c r="K16" s="58"/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SUM('1:9'!$C$16)</x:f>
        <x:v>57</x:v>
      </x:c>
      <x:c r="D17" s="152"/>
      <x:c r="E17" s="153"/>
      <x:c r="F17" s="164">
        <x:f>SUM('1:9'!$F$16)</x:f>
        <x:v>123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18</x:v>
      </x:c>
      <x:c r="D18" s="150" t="s">
        <x:v>126</x:v>
      </x:c>
      <x:c r="E18" s="151"/>
      <x:c r="F18" s="162">
        <x:v>10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SUM('1:9'!$C$18)</x:f>
        <x:v>296</x:v>
      </x:c>
      <x:c r="D19" s="152"/>
      <x:c r="E19" s="153"/>
      <x:c r="F19" s="164">
        <x:f>SUM('1:9'!$F$18)</x:f>
        <x:v>110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50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SUM('1:9'!$F$20)</x:f>
        <x:v>468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230550</x:v>
      </x:c>
      <x:c r="J23" s="61" t="s">
        <x:v>102</x:v>
      </x:c>
      <x:c r="K23" s="62">
        <x:f>SUM(K4:K22)</x:f>
        <x:v>28214.285714285714</x:v>
      </x:c>
      <x:c r="M23" s="90" t="s">
        <x:v>111</x:v>
      </x:c>
      <x:c r="N23" s="155">
        <x:f>C5+C6</x:f>
        <x:v>569000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0.060298156139662613</x:v>
      </x:c>
      <x:c r="J24" s="61" t="s">
        <x:v>62</x:v>
      </x:c>
      <x:c r="K24" s="63">
        <x:f>K23/A25</x:f>
        <x:v>0.0073791776420258177</x:v>
      </x:c>
    </x:row>
    <x:row r="25" spans="1:11" ht="34.149999999999999" customHeight="1">
      <x:c r="A25" s="202">
        <x:f>C2</x:f>
        <x:v>3823500</x:v>
      </x:c>
      <x:c r="B25" s="161"/>
      <x:c r="C25" s="161">
        <x:f>E25/I1</x:f>
        <x:v>3746944.4444444445</x:v>
      </x:c>
      <x:c r="D25" s="161"/>
      <x:c r="E25" s="161">
        <x:f>SUM('1:9'!$A$25)</x:f>
        <x:v>33722500</x:v>
      </x:c>
      <x:c r="F25" s="161"/>
      <x:c r="G25" s="161"/>
      <x:c r="H25" s="109" t="s">
        <x:v>19</x:v>
      </x:c>
      <x:c r="I25" s="110">
        <x:f>SUM('1:9'!$I$23)</x:f>
        <x:v>12534144</x:v>
      </x:c>
      <x:c r="J25" s="61" t="s">
        <x:v>19</x:v>
      </x:c>
      <x:c r="K25" s="62">
        <x:f>SUM('1:9'!$K$23)</x:f>
        <x:v>901969.57142857125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0.37168489880643485</x:v>
      </x:c>
      <x:c r="J26" s="64" t="s">
        <x:v>114</x:v>
      </x:c>
      <x:c r="K26" s="65">
        <x:f>K25/$E$25</x:f>
        <x:v>0.026746818042214286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847535.71428571432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/>
      <x:c r="G28" s="165"/>
      <x:c r="H28" s="113" t="s">
        <x:v>62</x:v>
      </x:c>
      <x:c r="I28" s="115">
        <x:f>I27/$A$25</x:f>
        <x:v>0.22166489192774011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>
        <x:f>11700*2.5</x:f>
        <x:v>29250</x:v>
      </x:c>
      <x:c r="G29" s="154"/>
      <x:c r="H29" s="113" t="s">
        <x:v>19</x:v>
      </x:c>
      <x:c r="I29" s="114">
        <x:f>SUM('1:9'!$I$27)</x:f>
        <x:v>7671971.42857143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130000</x:v>
      </x:c>
      <x:c r="G30" s="211"/>
      <x:c r="H30" s="113" t="s">
        <x:v>114</x:v>
      </x:c>
      <x:c r="I30" s="115">
        <x:f>I29/$I$27</x:f>
        <x:v>9.052092200075851</x:v>
      </x:c>
      <x:c r="M30" s="66"/>
    </x:row>
    <x:row r="31" spans="1:7" customHeight="1">
      <x:c r="A31" s="204"/>
      <x:c r="B31" s="144" t="s">
        <x:v>41</x:v>
      </x:c>
      <x:c r="C31" s="206">
        <x:f>14000*3.5</x:f>
        <x:v>49000</x:v>
      </x:c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O34"/>
  <x:sheetViews>
    <x:sheetView topLeftCell="A19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9.375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10</x:v>
      </x:c>
      <x:c r="G1" s="68" t="s">
        <x:v>1</x:v>
      </x:c>
      <x:c r="H1" s="52" t="s">
        <x:v>107</x:v>
      </x:c>
      <x:c r="I1" s="52">
        <x:f>F1-K1</x:f>
        <x:v>10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3665500</x:v>
      </x:c>
      <x:c r="D2" s="178"/>
      <x:c r="E2" s="167" t="s">
        <x:v>7</x:v>
      </x:c>
      <x:c r="F2" s="168"/>
      <x:c r="G2" s="169">
        <x:v>145600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3261500</x:v>
      </x:c>
      <x:c r="D4" s="154"/>
      <x:c r="E4" s="173" t="s">
        <x:v>144</x:v>
      </x:c>
      <x:c r="F4" s="173"/>
      <x:c r="G4" s="136">
        <x:f>INT(C4*0.0275)</x:f>
        <x:v>89691</x:v>
      </x:c>
      <x:c r="H4" s="54" t="s">
        <x:v>44</x:v>
      </x:c>
      <x:c r="I4" s="126">
        <x:f>221400+187209+275964+445200</x:f>
        <x:v>1129773</x:v>
      </x:c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404000</x:v>
      </x:c>
      <x:c r="D5" s="154"/>
      <x:c r="E5" s="166" t="s">
        <x:v>153</x:v>
      </x:c>
      <x:c r="F5" s="166"/>
      <x:c r="G5" s="136">
        <x:f>INT(C5*0.01)</x:f>
        <x:v>4040</x:v>
      </x:c>
      <x:c r="H5" s="54" t="s">
        <x:v>63</x:v>
      </x:c>
      <x:c r="I5" s="126">
        <x:f>88968+72160+103200+51200</x:f>
        <x:v>315528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440000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/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108600</x:v>
      </x:c>
      <x:c r="D8" s="154"/>
      <x:c r="E8" s="150" t="s">
        <x:v>132</x:v>
      </x:c>
      <x:c r="F8" s="151"/>
      <x:c r="G8" s="190">
        <x:f>C5+G2-G6-C22</x:f>
        <x:v>109600</x:v>
      </x:c>
      <x:c r="H8" s="54" t="s">
        <x:v>15</x:v>
      </x:c>
      <x:c r="I8" s="126">
        <x:v>55000</x:v>
      </x:c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>
        <x:v>117000</x:v>
      </x:c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>
        <x:v>13000</x:v>
      </x:c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7</x:v>
      </x:c>
      <x:c r="D12" s="150" t="s">
        <x:v>104</x:v>
      </x:c>
      <x:c r="E12" s="151"/>
      <x:c r="F12" s="197">
        <x:v>7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SUM('1:10'!$C$12)</x:f>
        <x:v>118</x:v>
      </x:c>
      <x:c r="D13" s="152"/>
      <x:c r="E13" s="153"/>
      <x:c r="F13" s="195">
        <x:f>SUM('1:10'!$F$12)</x:f>
        <x:v>96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25</x:v>
      </x:c>
      <x:c r="D14" s="150" t="s">
        <x:v>87</x:v>
      </x:c>
      <x:c r="E14" s="151"/>
      <x:c r="F14" s="197">
        <x:v>28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SUM('1:10'!$C$14)</x:f>
        <x:v>371</x:v>
      </x:c>
      <x:c r="D15" s="152"/>
      <x:c r="E15" s="153"/>
      <x:c r="F15" s="195">
        <x:f>SUM('1:10'!$F$14)</x:f>
        <x:v>211</x:v>
      </x:c>
      <x:c r="G15" s="196"/>
      <x:c r="H15" s="54" t="s">
        <x:v>90</x:v>
      </x:c>
      <x:c r="I15" s="58">
        <x:f>15500+4900+19200+11800+21000+3500+6600+222000</x:f>
        <x:v>304500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8</x:v>
      </x:c>
      <x:c r="D16" s="150" t="s">
        <x:v>115</x:v>
      </x:c>
      <x:c r="E16" s="151"/>
      <x:c r="F16" s="199">
        <x:v>16</x:v>
      </x:c>
      <x:c r="G16" s="199"/>
      <x:c r="H16" s="54"/>
      <x:c r="I16" s="58"/>
      <x:c r="J16" s="54" t="s">
        <x:v>81</x:v>
      </x:c>
      <x:c r="K16" s="58">
        <x:v>185594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SUM('1:10'!$C$16)</x:f>
        <x:v>65</x:v>
      </x:c>
      <x:c r="D17" s="152"/>
      <x:c r="E17" s="153"/>
      <x:c r="F17" s="164">
        <x:f>SUM('1:10'!$F$16)</x:f>
        <x:v>139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37</x:v>
      </x:c>
      <x:c r="D18" s="150" t="s">
        <x:v>126</x:v>
      </x:c>
      <x:c r="E18" s="151"/>
      <x:c r="F18" s="162">
        <x:v>5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SUM('1:10'!$C$18)</x:f>
        <x:v>333</x:v>
      </x:c>
      <x:c r="D19" s="152"/>
      <x:c r="E19" s="153"/>
      <x:c r="F19" s="164">
        <x:f>SUM('1:10'!$F$18)</x:f>
        <x:v>115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52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SUM('1:10'!$F$20)</x:f>
        <x:v>520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1804801</x:v>
      </x:c>
      <x:c r="J23" s="61" t="s">
        <x:v>102</x:v>
      </x:c>
      <x:c r="K23" s="62">
        <x:f>SUM(K4:K22)</x:f>
        <x:v>331308.28571428568</x:v>
      </x:c>
      <x:c r="M23" s="90" t="s">
        <x:v>111</x:v>
      </x:c>
      <x:c r="N23" s="155">
        <x:f>C5+C6</x:f>
        <x:v>404000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0.4923751193561588</x:v>
      </x:c>
      <x:c r="J24" s="61" t="s">
        <x:v>62</x:v>
      </x:c>
      <x:c r="K24" s="63">
        <x:f>K23/A25</x:f>
        <x:v>0.09038556423797181</x:v>
      </x:c>
    </x:row>
    <x:row r="25" spans="1:11" ht="34.149999999999999" customHeight="1">
      <x:c r="A25" s="202">
        <x:f>C2</x:f>
        <x:v>3665500</x:v>
      </x:c>
      <x:c r="B25" s="161"/>
      <x:c r="C25" s="161">
        <x:f>E25/I1</x:f>
        <x:v>3738800</x:v>
      </x:c>
      <x:c r="D25" s="161"/>
      <x:c r="E25" s="161">
        <x:f>SUM('1:10'!$A$25)</x:f>
        <x:v>37388000</x:v>
      </x:c>
      <x:c r="F25" s="161"/>
      <x:c r="G25" s="161"/>
      <x:c r="H25" s="109" t="s">
        <x:v>19</x:v>
      </x:c>
      <x:c r="I25" s="110">
        <x:f>SUM('1:10'!$I$21)</x:f>
        <x:v>0</x:v>
      </x:c>
      <x:c r="J25" s="61" t="s">
        <x:v>19</x:v>
      </x:c>
      <x:c r="K25" s="62">
        <x:f>SUM('1:10'!$K$21)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816485.71428571432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>
        <x:f>13000*3.5</x:f>
        <x:v>45500</x:v>
      </x:c>
      <x:c r="G28" s="165"/>
      <x:c r="H28" s="113" t="s">
        <x:v>62</x:v>
      </x:c>
      <x:c r="I28" s="115">
        <x:f>I27/$A$25</x:f>
        <x:v>0.22274879669505232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>
        <x:f>11700*1</x:f>
        <x:v>11700</x:v>
      </x:c>
      <x:c r="G29" s="154"/>
      <x:c r="H29" s="113" t="s">
        <x:v>19</x:v>
      </x:c>
      <x:c r="I29" s="114">
        <x:f>SUM('1:10'!$I$25)</x:f>
        <x:v>67249914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82.36508345872555</x:v>
      </x:c>
      <x:c r="M30" s="66"/>
    </x:row>
    <x:row r="31" spans="1:7" customHeight="1">
      <x:c r="A31" s="204"/>
      <x:c r="B31" s="144" t="s">
        <x:v>41</x:v>
      </x:c>
      <x:c r="C31" s="206"/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P34"/>
  <x:sheetViews>
    <x:sheetView topLeftCell="A15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11</x:v>
      </x:c>
      <x:c r="G1" s="68" t="s">
        <x:v>50</x:v>
      </x:c>
      <x:c r="H1" s="52" t="s">
        <x:v>107</x:v>
      </x:c>
      <x:c r="I1" s="52">
        <x:f>F1-K1</x:f>
        <x:v>11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3645500</x:v>
      </x:c>
      <x:c r="D2" s="178"/>
      <x:c r="E2" s="167" t="s">
        <x:v>7</x:v>
      </x:c>
      <x:c r="F2" s="168"/>
      <x:c r="G2" s="169">
        <x:v>108600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3458500</x:v>
      </x:c>
      <x:c r="D4" s="154"/>
      <x:c r="E4" s="173" t="s">
        <x:v>144</x:v>
      </x:c>
      <x:c r="F4" s="173"/>
      <x:c r="G4" s="136">
        <x:f>INT(C4*0.0275)</x:f>
        <x:v>95108</x:v>
      </x:c>
      <x:c r="H4" s="54" t="s">
        <x:v>44</x:v>
      </x:c>
      <x:c r="I4" s="126">
        <x:f>415500+221400+206119+168426+291798+56200</x:f>
        <x:v>1359443</x:v>
      </x:c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187000</x:v>
      </x:c>
      <x:c r="D5" s="154"/>
      <x:c r="E5" s="166" t="s">
        <x:v>153</x:v>
      </x:c>
      <x:c r="F5" s="166"/>
      <x:c r="G5" s="136">
        <x:f>INT(C5*0.01)</x:f>
        <x:v>1870</x:v>
      </x:c>
      <x:c r="H5" s="54" t="s">
        <x:v>63</x:v>
      </x:c>
      <x:c r="I5" s="126">
        <x:f>47300+41250</x:f>
        <x:v>88550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200000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>
        <x:f>177400-24300</x:f>
        <x:v>153100</x:v>
      </x:c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95600</x:v>
      </x:c>
      <x:c r="D8" s="154"/>
      <x:c r="E8" s="150" t="s">
        <x:v>132</x:v>
      </x:c>
      <x:c r="F8" s="151"/>
      <x:c r="G8" s="190">
        <x:f>C5+G2-G6-C22</x:f>
        <x:v>95600</x:v>
      </x:c>
      <x:c r="H8" s="54" t="s">
        <x:v>15</x:v>
      </x:c>
      <x:c r="I8" s="126"/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6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  <x:c r="M11" s="52"/>
      <x:c r="N11" s="52"/>
      <x:c r="O11" s="52"/>
      <x:c r="P11" s="52"/>
    </x:row>
    <x:row r="12" spans="1:12" ht="21.949999999999999" customHeight="1">
      <x:c r="A12" s="59" t="s">
        <x:v>40</x:v>
      </x:c>
      <x:c r="B12" s="193" t="s">
        <x:v>22</x:v>
      </x:c>
      <x:c r="C12" s="81">
        <x:v>7</x:v>
      </x:c>
      <x:c r="D12" s="150" t="s">
        <x:v>104</x:v>
      </x:c>
      <x:c r="E12" s="151"/>
      <x:c r="F12" s="197">
        <x:v>2</x:v>
      </x:c>
      <x:c r="G12" s="198"/>
      <x:c r="H12" s="54" t="s">
        <x:v>83</x:v>
      </x:c>
      <x:c r="I12" s="58"/>
      <x:c r="J12" s="54"/>
      <x:c r="K12" s="58"/>
      <x:c r="L12" s="60"/>
    </x:row>
    <x:row r="13" spans="1:12" ht="21.949999999999999" customHeight="1">
      <x:c r="A13" s="59" t="s">
        <x:v>116</x:v>
      </x:c>
      <x:c r="B13" s="194"/>
      <x:c r="C13" s="137">
        <x:f>SUM('1:11'!$C$12)</x:f>
        <x:v>125</x:v>
      </x:c>
      <x:c r="D13" s="152"/>
      <x:c r="E13" s="153"/>
      <x:c r="F13" s="195">
        <x:f>SUM('1:11'!$F$12)</x:f>
        <x:v>98</x:v>
      </x:c>
      <x:c r="G13" s="196"/>
      <x:c r="H13" s="54" t="s">
        <x:v>136</x:v>
      </x:c>
      <x:c r="I13" s="58"/>
      <x:c r="J13" s="54"/>
      <x:c r="K13" s="58"/>
      <x:c r="L13" s="60"/>
    </x:row>
    <x:row r="14" spans="1:12" ht="21.949999999999999" customHeight="1">
      <x:c r="A14" s="59" t="s">
        <x:v>40</x:v>
      </x:c>
      <x:c r="B14" s="193" t="s">
        <x:v>35</x:v>
      </x:c>
      <x:c r="C14" s="81">
        <x:v>34</x:v>
      </x:c>
      <x:c r="D14" s="150" t="s">
        <x:v>87</x:v>
      </x:c>
      <x:c r="E14" s="151"/>
      <x:c r="F14" s="197">
        <x:v>12</x:v>
      </x:c>
      <x:c r="G14" s="198"/>
      <x:c r="H14" s="54" t="s">
        <x:v>108</x:v>
      </x:c>
      <x:c r="I14" s="58"/>
      <x:c r="J14" s="54"/>
      <x:c r="K14" s="58"/>
      <x:c r="L14" s="60"/>
    </x:row>
    <x:row r="15" spans="1:12" ht="21.949999999999999" customHeight="1">
      <x:c r="A15" s="59" t="s">
        <x:v>116</x:v>
      </x:c>
      <x:c r="B15" s="194"/>
      <x:c r="C15" s="137">
        <x:f>SUM('1:11'!$C$14)</x:f>
        <x:v>405</x:v>
      </x:c>
      <x:c r="D15" s="152"/>
      <x:c r="E15" s="153"/>
      <x:c r="F15" s="195">
        <x:f>SUM('1:11'!$F$14)</x:f>
        <x:v>223</x:v>
      </x:c>
      <x:c r="G15" s="196"/>
      <x:c r="H15" s="54" t="s">
        <x:v>90</x:v>
      </x:c>
      <x:c r="I15" s="58">
        <x:f>11800+27500+17400+48800</x:f>
        <x:v>105500</x:v>
      </x:c>
      <x:c r="J15" s="54" t="s">
        <x:v>147</x:v>
      </x:c>
      <x:c r="K15" s="58"/>
      <x:c r="L15" s="60"/>
    </x:row>
    <x:row r="16" spans="1:12" ht="21.949999999999999" customHeight="1">
      <x:c r="A16" s="59" t="s">
        <x:v>40</x:v>
      </x:c>
      <x:c r="B16" s="193" t="s">
        <x:v>0</x:v>
      </x:c>
      <x:c r="C16" s="81">
        <x:v>3</x:v>
      </x:c>
      <x:c r="D16" s="150" t="s">
        <x:v>115</x:v>
      </x:c>
      <x:c r="E16" s="151"/>
      <x:c r="F16" s="199">
        <x:v>12</x:v>
      </x:c>
      <x:c r="G16" s="199"/>
      <x:c r="H16" s="54"/>
      <x:c r="I16" s="58"/>
      <x:c r="J16" s="54" t="s">
        <x:v>81</x:v>
      </x:c>
      <x:c r="K16" s="58">
        <x:v>25550</x:v>
      </x:c>
      <x:c r="L16" s="60"/>
    </x:row>
    <x:row r="17" spans="1:12" ht="21.949999999999999" customHeight="1">
      <x:c r="A17" s="59" t="s">
        <x:v>116</x:v>
      </x:c>
      <x:c r="B17" s="194"/>
      <x:c r="C17" s="137">
        <x:f>SUM('1:11'!$C$16)</x:f>
        <x:v>68</x:v>
      </x:c>
      <x:c r="D17" s="152"/>
      <x:c r="E17" s="153"/>
      <x:c r="F17" s="164">
        <x:f>SUM('1:11'!$F$16)</x:f>
        <x:v>151</x:v>
      </x:c>
      <x:c r="G17" s="164"/>
      <x:c r="H17" s="54" t="s">
        <x:v>59</x:v>
      </x:c>
      <x:c r="I17" s="58">
        <x:f>1600*4+1700*4</x:f>
        <x:v>13200</x:v>
      </x:c>
      <x:c r="J17" s="54" t="s">
        <x:v>75</x:v>
      </x:c>
      <x:c r="K17" s="58"/>
      <x:c r="L17" s="60"/>
    </x:row>
    <x:row r="18" spans="1:12" ht="21.949999999999999" customHeight="1">
      <x:c r="A18" s="59" t="s">
        <x:v>40</x:v>
      </x:c>
      <x:c r="B18" s="193" t="s">
        <x:v>124</x:v>
      </x:c>
      <x:c r="C18" s="81">
        <x:v>26</x:v>
      </x:c>
      <x:c r="D18" s="150" t="s">
        <x:v>126</x:v>
      </x:c>
      <x:c r="E18" s="151"/>
      <x:c r="F18" s="162">
        <x:v>9</x:v>
      </x:c>
      <x:c r="G18" s="163"/>
      <x:c r="H18" s="54"/>
      <x:c r="I18" s="58"/>
      <x:c r="J18" s="54"/>
      <x:c r="K18" s="58"/>
      <x:c r="L18" s="60"/>
    </x:row>
    <x:row r="19" spans="1:12" ht="21.949999999999999" customHeight="1">
      <x:c r="A19" s="59" t="s">
        <x:v>116</x:v>
      </x:c>
      <x:c r="B19" s="194"/>
      <x:c r="C19" s="137">
        <x:f>SUM('1:11'!$C$18)</x:f>
        <x:v>359</x:v>
      </x:c>
      <x:c r="D19" s="152"/>
      <x:c r="E19" s="153"/>
      <x:c r="F19" s="164">
        <x:f>SUM('1:11'!$F$18)</x:f>
        <x:v>124</x:v>
      </x:c>
      <x:c r="G19" s="164"/>
      <x:c r="H19" s="54"/>
      <x:c r="I19" s="58"/>
      <x:c r="J19" s="54"/>
      <x:c r="K19" s="58"/>
      <x:c r="L19" s="60"/>
    </x:row>
    <x:row r="20" spans="4:12" ht="21.949999999999999" customHeight="1">
      <x:c r="D20" s="166" t="s">
        <x:v>98</x:v>
      </x:c>
      <x:c r="E20" s="166"/>
      <x:c r="F20" s="199">
        <x:v>60</x:v>
      </x:c>
      <x:c r="G20" s="199"/>
      <x:c r="H20" s="54"/>
      <x:c r="I20" s="58"/>
      <x:c r="J20" s="54"/>
      <x:c r="K20" s="58"/>
      <x:c r="L20" s="60"/>
    </x:row>
    <x:row r="21" spans="4:12" ht="21.949999999999999" customHeight="1">
      <x:c r="D21" s="166" t="s">
        <x:v>137</x:v>
      </x:c>
      <x:c r="E21" s="166"/>
      <x:c r="F21" s="164">
        <x:f>SUM('1:11'!$F$20)</x:f>
        <x:v>580</x:v>
      </x:c>
      <x:c r="G21" s="164"/>
      <x:c r="H21" s="54"/>
      <x:c r="I21" s="58"/>
      <x:c r="J21" s="54"/>
      <x:c r="K21" s="58"/>
      <x:c r="L21" s="60"/>
    </x:row>
    <x:row r="22" spans="1:12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1719793</x:v>
      </x:c>
      <x:c r="J23" s="61" t="s">
        <x:v>102</x:v>
      </x:c>
      <x:c r="K23" s="62">
        <x:f>SUM(K4:K22)</x:f>
        <x:v>41264.28571428571</x:v>
      </x:c>
      <x:c r="M23" s="90" t="s">
        <x:v>111</x:v>
      </x:c>
      <x:c r="N23" s="155">
        <x:f>C5+C6</x:f>
        <x:v>187000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0.47175778356878345</x:v>
      </x:c>
      <x:c r="J24" s="61" t="s">
        <x:v>62</x:v>
      </x:c>
      <x:c r="K24" s="63">
        <x:f>K23/A25</x:f>
        <x:v>0.01131923898348257</x:v>
      </x:c>
    </x:row>
    <x:row r="25" spans="1:11" ht="34.149999999999999" customHeight="1">
      <x:c r="A25" s="202">
        <x:f>C2</x:f>
        <x:v>3645500</x:v>
      </x:c>
      <x:c r="B25" s="161"/>
      <x:c r="C25" s="161">
        <x:f>E25/I1</x:f>
        <x:v>3730318.1818181816</x:v>
      </x:c>
      <x:c r="D25" s="161"/>
      <x:c r="E25" s="161">
        <x:f>SUM('1:11'!$A$25)</x:f>
        <x:v>41033500</x:v>
      </x:c>
      <x:c r="F25" s="161"/>
      <x:c r="G25" s="161"/>
      <x:c r="H25" s="109" t="s">
        <x:v>19</x:v>
      </x:c>
      <x:c r="I25" s="110">
        <x:f>SUM('1:11'!$I$21)</x:f>
        <x:v>0</x:v>
      </x:c>
      <x:c r="J25" s="61" t="s">
        <x:v>19</x:v>
      </x:c>
      <x:c r="K25" s="62">
        <x:f>SUM('1:11'!$K$21)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9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>
        <x:f>13000*5</x:f>
        <x:v>65000</x:v>
      </x:c>
      <x:c r="G27" s="154"/>
      <x:c r="H27" s="113" t="s">
        <x:v>88</x:v>
      </x:c>
      <x:c r="I27" s="114">
        <x:f>SUM(C27:D34,F27:G30)</x:f>
        <x:v>824285.71428571432</x:v>
      </x:c>
    </x:row>
    <x:row r="28" spans="1:9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/>
      <x:c r="G28" s="165"/>
      <x:c r="H28" s="113" t="s">
        <x:v>62</x:v>
      </x:c>
      <x:c r="I28" s="115">
        <x:f>I27/$A$25</x:f>
        <x:v>0.22611046887552169</x:v>
      </x:c>
    </x:row>
    <x:row r="29" spans="1:9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SUM('1:11'!$I$25)</x:f>
        <x:v>67249914</x:v>
      </x:c>
    </x:row>
    <x:row r="30" spans="1:9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81.585684228769495</x:v>
      </x:c>
    </x:row>
    <x:row r="31" spans="1:7" customHeight="1">
      <x:c r="A31" s="204"/>
      <x:c r="B31" s="144" t="s">
        <x:v>41</x:v>
      </x:c>
      <x:c r="C31" s="206"/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O34"/>
  <x:sheetViews>
    <x:sheetView topLeftCell="B13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12</x:v>
      </x:c>
      <x:c r="G1" s="68" t="s">
        <x:v>39</x:v>
      </x:c>
      <x:c r="H1" s="52" t="s">
        <x:v>107</x:v>
      </x:c>
      <x:c r="I1" s="52">
        <x:f>F1-K1</x:f>
        <x:v>12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3944000</x:v>
      </x:c>
      <x:c r="D2" s="178"/>
      <x:c r="E2" s="167" t="s">
        <x:v>7</x:v>
      </x:c>
      <x:c r="F2" s="168"/>
      <x:c r="G2" s="169">
        <x:v>95600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3733000</x:v>
      </x:c>
      <x:c r="D4" s="154"/>
      <x:c r="E4" s="173" t="s">
        <x:v>144</x:v>
      </x:c>
      <x:c r="F4" s="173"/>
      <x:c r="G4" s="136">
        <x:f>INT(C4*0.0275)</x:f>
        <x:v>102657</x:v>
      </x:c>
      <x:c r="H4" s="54" t="s">
        <x:v>44</x:v>
      </x:c>
      <x:c r="I4" s="126">
        <x:f>275964+445200</x:f>
        <x:v>721164</x:v>
      </x:c>
      <x:c r="J4" s="83" t="s">
        <x:v>18</x:v>
      </x:c>
      <x:c r="K4" s="58">
        <x:v>342000</x:v>
      </x:c>
    </x:row>
    <x:row r="5" spans="1:11" ht="30.949999999999999" customHeight="1">
      <x:c r="A5" s="171" t="s">
        <x:v>52</x:v>
      </x:c>
      <x:c r="B5" s="172"/>
      <x:c r="C5" s="154">
        <x:v>211000</x:v>
      </x:c>
      <x:c r="D5" s="154"/>
      <x:c r="E5" s="166" t="s">
        <x:v>153</x:v>
      </x:c>
      <x:c r="F5" s="166"/>
      <x:c r="G5" s="136">
        <x:f>INT(C5*0.01)</x:f>
        <x:v>2110</x:v>
      </x:c>
      <x:c r="H5" s="54" t="s">
        <x:v>63</x:v>
      </x:c>
      <x:c r="I5" s="126">
        <x:f>10+40700+29656</x:f>
        <x:v>70366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220000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>
        <x:f>224720-10100</x:f>
        <x:v>214620</x:v>
      </x:c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86600</x:v>
      </x:c>
      <x:c r="D8" s="154"/>
      <x:c r="E8" s="150" t="s">
        <x:v>132</x:v>
      </x:c>
      <x:c r="F8" s="151"/>
      <x:c r="G8" s="190">
        <x:f>C5+G2-G6-C22</x:f>
        <x:v>86600</x:v>
      </x:c>
      <x:c r="H8" s="54" t="s">
        <x:v>15</x:v>
      </x:c>
      <x:c r="I8" s="126">
        <x:v>55000</x:v>
      </x:c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355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15</x:v>
      </x:c>
      <x:c r="D12" s="150" t="s">
        <x:v>104</x:v>
      </x:c>
      <x:c r="E12" s="151"/>
      <x:c r="F12" s="197">
        <x:v>6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SUM('1:12'!$C$12)</x:f>
        <x:v>140</x:v>
      </x:c>
      <x:c r="D13" s="152"/>
      <x:c r="E13" s="153"/>
      <x:c r="F13" s="195">
        <x:f>SUM('1:12'!$F$12)</x:f>
        <x:v>104</x:v>
      </x:c>
      <x:c r="G13" s="196"/>
      <x:c r="H13" s="54" t="s">
        <x:v>136</x:v>
      </x:c>
      <x:c r="I13" s="58">
        <x:v>240000</x:v>
      </x:c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32</x:v>
      </x:c>
      <x:c r="D14" s="150" t="s">
        <x:v>87</x:v>
      </x:c>
      <x:c r="E14" s="151"/>
      <x:c r="F14" s="197">
        <x:v>5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SUM('1:12'!$C$14)</x:f>
        <x:v>437</x:v>
      </x:c>
      <x:c r="D15" s="152"/>
      <x:c r="E15" s="153"/>
      <x:c r="F15" s="195">
        <x:f>SUM('1:12'!$F$14)</x:f>
        <x:v>228</x:v>
      </x:c>
      <x:c r="G15" s="196"/>
      <x:c r="H15" s="54" t="s">
        <x:v>90</x:v>
      </x:c>
      <x:c r="I15" s="58"/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12</x:v>
      </x:c>
      <x:c r="D16" s="150" t="s">
        <x:v>115</x:v>
      </x:c>
      <x:c r="E16" s="151"/>
      <x:c r="F16" s="199">
        <x:v>17</x:v>
      </x:c>
      <x:c r="G16" s="199"/>
      <x:c r="H16" s="54"/>
      <x:c r="I16" s="58">
        <x:f>2200+3200+53000+19200+11000+23600+61000+11500+9800+16500+3150+13000+3400</x:f>
        <x:v>230550</x:v>
      </x:c>
      <x:c r="J16" s="54" t="s">
        <x:v>81</x:v>
      </x:c>
      <x:c r="K16" s="58"/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SUM('1:12'!$C$16)</x:f>
        <x:v>80</x:v>
      </x:c>
      <x:c r="D17" s="152"/>
      <x:c r="E17" s="153"/>
      <x:c r="F17" s="164">
        <x:f>SUM('1:12'!$F$16)</x:f>
        <x:v>168</x:v>
      </x:c>
      <x:c r="G17" s="164"/>
      <x:c r="H17" s="54" t="s">
        <x:v>59</x:v>
      </x:c>
      <x:c r="I17" s="58"/>
      <x:c r="J17" s="54" t="s">
        <x:v>75</x:v>
      </x:c>
      <x:c r="K17" s="58">
        <x:v>13000</x:v>
      </x:c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38</x:v>
      </x:c>
      <x:c r="D18" s="150" t="s">
        <x:v>126</x:v>
      </x:c>
      <x:c r="E18" s="151"/>
      <x:c r="F18" s="162">
        <x:v>20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SUM('1:12'!$C$18)</x:f>
        <x:v>397</x:v>
      </x:c>
      <x:c r="D19" s="152"/>
      <x:c r="E19" s="153"/>
      <x:c r="F19" s="164">
        <x:f>SUM('1:12'!$F$18)</x:f>
        <x:v>144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37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SUM('1:12'!$F$20)</x:f>
        <x:v>617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0"/>
      <x:c r="E23" s="200"/>
      <x:c r="F23" s="200"/>
      <x:c r="G23" s="200"/>
      <x:c r="H23" s="109" t="s">
        <x:v>131</x:v>
      </x:c>
      <x:c r="I23" s="110">
        <x:f>SUM(I4:I22)</x:f>
        <x:v>1531700</x:v>
      </x:c>
      <x:c r="J23" s="61" t="s">
        <x:v>102</x:v>
      </x:c>
      <x:c r="K23" s="62">
        <x:f>SUM(K4:K22)</x:f>
        <x:v>370714.28571428574</x:v>
      </x:c>
      <x:c r="M23" s="90" t="s">
        <x:v>111</x:v>
      </x:c>
      <x:c r="N23" s="155">
        <x:f>C5+C6</x:f>
        <x:v>211000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0.38836206896551723</x:v>
      </x:c>
      <x:c r="J24" s="61" t="s">
        <x:v>62</x:v>
      </x:c>
      <x:c r="K24" s="63">
        <x:f>K23/A25</x:f>
        <x:v>0.093994494349463928</x:v>
      </x:c>
    </x:row>
    <x:row r="25" spans="1:11" ht="34.149999999999999" customHeight="1">
      <x:c r="A25" s="202">
        <x:f>C2</x:f>
        <x:v>3944000</x:v>
      </x:c>
      <x:c r="B25" s="161"/>
      <x:c r="C25" s="161">
        <x:f>E25/I1</x:f>
        <x:v>3748125</x:v>
      </x:c>
      <x:c r="D25" s="161"/>
      <x:c r="E25" s="161">
        <x:f>SUM('1:12'!$A$25)</x:f>
        <x:v>44977500</x:v>
      </x:c>
      <x:c r="F25" s="161"/>
      <x:c r="G25" s="161"/>
      <x:c r="H25" s="109" t="s">
        <x:v>19</x:v>
      </x:c>
      <x:c r="I25" s="110">
        <x:f>SUM('1:12'!$I$21)</x:f>
        <x:v>0</x:v>
      </x:c>
      <x:c r="J25" s="61" t="s">
        <x:v>19</x:v>
      </x:c>
      <x:c r="K25" s="62">
        <x:f>SUM('1:12'!$K$21)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356">
        <x:f>13000*5</x:f>
        <x:v>65000</x:v>
      </x:c>
      <x:c r="G27" s="356"/>
      <x:c r="H27" s="113" t="s">
        <x:v>88</x:v>
      </x:c>
      <x:c r="I27" s="114">
        <x:f>SUM(C27:D34,F27:G30)</x:f>
        <x:v>876285.71428571432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358">
        <x:f>13000*4</x:f>
        <x:v>52000</x:v>
      </x:c>
      <x:c r="G28" s="358"/>
      <x:c r="H28" s="113" t="s">
        <x:v>62</x:v>
      </x:c>
      <x:c r="I28" s="115">
        <x:f>I27/$A$25</x:f>
        <x:v>0.22218197623877137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SUM('1:12'!$I$25)</x:f>
        <x:v>67249914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f>120000</x:f>
        <x:v>120000</x:v>
      </x:c>
      <x:c r="G30" s="211"/>
      <x:c r="H30" s="113" t="s">
        <x:v>114</x:v>
      </x:c>
      <x:c r="I30" s="115">
        <x:f>I29/$I$27</x:f>
        <x:v>76.744277469840227</x:v>
      </x:c>
      <x:c r="M30" s="66"/>
    </x:row>
    <x:row r="31" spans="1:7" customHeight="1">
      <x:c r="A31" s="204"/>
      <x:c r="B31" s="144" t="s">
        <x:v>41</x:v>
      </x:c>
      <x:c r="C31" s="206"/>
      <x:c r="D31" s="207"/>
      <x:c r="E31" s="52"/>
      <x:c r="F31" s="357"/>
      <x:c r="G31" s="357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C29:D29"/>
    <x:mergeCell ref="F29:G29"/>
    <x:mergeCell ref="C26:D26"/>
    <x:mergeCell ref="E26:G26"/>
    <x:mergeCell ref="J2:K2"/>
    <x:mergeCell ref="H2:I2"/>
    <x:mergeCell ref="G2:G3"/>
    <x:mergeCell ref="C6:D7"/>
    <x:mergeCell ref="E6:F7"/>
    <x:mergeCell ref="E8:F9"/>
    <x:mergeCell ref="N23:O23"/>
    <x:mergeCell ref="G6:G7"/>
    <x:mergeCell ref="G8:G9"/>
    <x:mergeCell ref="C11:G11"/>
    <x:mergeCell ref="F18:G18"/>
    <x:mergeCell ref="F19:G19"/>
    <x:mergeCell ref="D18:E19"/>
    <x:mergeCell ref="D16:E17"/>
    <x:mergeCell ref="D21:E21"/>
    <x:mergeCell ref="F21:G21"/>
    <x:mergeCell ref="A10:B10"/>
    <x:mergeCell ref="C10:D10"/>
    <x:mergeCell ref="E10:F10"/>
    <x:mergeCell ref="A11:B11"/>
    <x:mergeCell ref="E2:F3"/>
    <x:mergeCell ref="A4:B4"/>
    <x:mergeCell ref="C4:D4"/>
    <x:mergeCell ref="E4:F4"/>
    <x:mergeCell ref="A2:B3"/>
    <x:mergeCell ref="C2:D3"/>
    <x:mergeCell ref="A5:B5"/>
    <x:mergeCell ref="C5:D5"/>
    <x:mergeCell ref="E5:F5"/>
    <x:mergeCell ref="A8:B9"/>
    <x:mergeCell ref="C8:D9"/>
    <x:mergeCell ref="A6:B7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A27:A34"/>
    <x:mergeCell ref="C32:D32"/>
    <x:mergeCell ref="C33:D33"/>
    <x:mergeCell ref="C34:D34"/>
    <x:mergeCell ref="F31:G31"/>
    <x:mergeCell ref="F30:G30"/>
    <x:mergeCell ref="C30:D30"/>
    <x:mergeCell ref="C31:D31"/>
    <x:mergeCell ref="C28:D28"/>
    <x:mergeCell ref="F28:G28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O34"/>
  <x:sheetViews>
    <x:sheetView topLeftCell="A17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13</x:v>
      </x:c>
      <x:c r="G1" s="68" t="s">
        <x:v>20</x:v>
      </x:c>
      <x:c r="H1" s="52" t="s">
        <x:v>107</x:v>
      </x:c>
      <x:c r="I1" s="52">
        <x:f>F1-K1</x:f>
        <x:v>13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3096500</x:v>
      </x:c>
      <x:c r="D2" s="178"/>
      <x:c r="E2" s="167" t="s">
        <x:v>7</x:v>
      </x:c>
      <x:c r="F2" s="168"/>
      <x:c r="G2" s="169">
        <x:v>86600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2979500</x:v>
      </x:c>
      <x:c r="D4" s="154"/>
      <x:c r="E4" s="173" t="s">
        <x:v>144</x:v>
      </x:c>
      <x:c r="F4" s="173"/>
      <x:c r="G4" s="136">
        <x:f>INT(C4*0.0275)</x:f>
        <x:v>81936</x:v>
      </x:c>
      <x:c r="H4" s="54" t="s">
        <x:v>44</x:v>
      </x:c>
      <x:c r="I4" s="126">
        <x:f>205200+402351+211792+415500</x:f>
        <x:v>1234843</x:v>
      </x:c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117000</x:v>
      </x:c>
      <x:c r="D5" s="154"/>
      <x:c r="E5" s="166" t="s">
        <x:v>153</x:v>
      </x:c>
      <x:c r="F5" s="166"/>
      <x:c r="G5" s="136">
        <x:f>INT(C5*0.01)</x:f>
        <x:v>1170</x:v>
      </x:c>
      <x:c r="H5" s="54" t="s">
        <x:v>63</x:v>
      </x:c>
      <x:c r="I5" s="126"/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100000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>
        <x:f>344220-19300</x:f>
        <x:v>324920</x:v>
      </x:c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103600</x:v>
      </x:c>
      <x:c r="D8" s="154"/>
      <x:c r="E8" s="150" t="s">
        <x:v>132</x:v>
      </x:c>
      <x:c r="F8" s="151"/>
      <x:c r="G8" s="190">
        <x:f>C5+G2-G6-C22</x:f>
        <x:v>103600</x:v>
      </x:c>
      <x:c r="H8" s="54" t="s">
        <x:v>15</x:v>
      </x:c>
      <x:c r="I8" s="126"/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13</x:v>
      </x:c>
      <x:c r="D12" s="150" t="s">
        <x:v>104</x:v>
      </x:c>
      <x:c r="E12" s="151"/>
      <x:c r="F12" s="197">
        <x:v>11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SUM('1:13'!$C$12)</x:f>
        <x:v>153</x:v>
      </x:c>
      <x:c r="D13" s="152"/>
      <x:c r="E13" s="153"/>
      <x:c r="F13" s="195">
        <x:f>SUM('1:13'!$F$12)</x:f>
        <x:v>115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36</x:v>
      </x:c>
      <x:c r="D14" s="150" t="s">
        <x:v>87</x:v>
      </x:c>
      <x:c r="E14" s="151"/>
      <x:c r="F14" s="197">
        <x:v>10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SUM('1:13'!$C$14)</x:f>
        <x:v>473</x:v>
      </x:c>
      <x:c r="D15" s="152"/>
      <x:c r="E15" s="153"/>
      <x:c r="F15" s="195">
        <x:f>SUM('1:13'!$F$14)</x:f>
        <x:v>238</x:v>
      </x:c>
      <x:c r="G15" s="196"/>
      <x:c r="H15" s="54" t="s">
        <x:v>90</x:v>
      </x:c>
      <x:c r="I15" s="58"/>
      <x:c r="J15" s="54" t="s">
        <x:v>147</x:v>
      </x:c>
      <x:c r="K15" s="58">
        <x:v>6200</x:v>
      </x:c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6</x:v>
      </x:c>
      <x:c r="D16" s="150" t="s">
        <x:v>115</x:v>
      </x:c>
      <x:c r="E16" s="151"/>
      <x:c r="F16" s="199">
        <x:v>16</x:v>
      </x:c>
      <x:c r="G16" s="199"/>
      <x:c r="H16" s="54"/>
      <x:c r="I16" s="58"/>
      <x:c r="J16" s="54" t="s">
        <x:v>81</x:v>
      </x:c>
      <x:c r="K16" s="58">
        <x:v>86672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SUM('1:13'!$C$16)</x:f>
        <x:v>86</x:v>
      </x:c>
      <x:c r="D17" s="152"/>
      <x:c r="E17" s="153"/>
      <x:c r="F17" s="164">
        <x:f>SUM('1:13'!$F$16)</x:f>
        <x:v>184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8</x:v>
      </x:c>
      <x:c r="D18" s="150" t="s">
        <x:v>126</x:v>
      </x:c>
      <x:c r="E18" s="151"/>
      <x:c r="F18" s="162">
        <x:v>4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SUM('1:13'!$C$18)</x:f>
        <x:v>405</x:v>
      </x:c>
      <x:c r="D19" s="152"/>
      <x:c r="E19" s="153"/>
      <x:c r="F19" s="164">
        <x:f>SUM('1:13'!$F$18)</x:f>
        <x:v>148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50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SUM('1:13'!$F$20)</x:f>
        <x:v>667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1559763</x:v>
      </x:c>
      <x:c r="J23" s="61" t="s">
        <x:v>102</x:v>
      </x:c>
      <x:c r="K23" s="62">
        <x:f>SUM(K4:K22)</x:f>
        <x:v>108586.28571428571</x:v>
      </x:c>
      <x:c r="M23" s="90" t="s">
        <x:v>111</x:v>
      </x:c>
      <x:c r="N23" s="155">
        <x:f>C5+C6</x:f>
        <x:v>117000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0.5037180687873406</x:v>
      </x:c>
      <x:c r="J24" s="61" t="s">
        <x:v>62</x:v>
      </x:c>
      <x:c r="K24" s="63">
        <x:f>K23/A25</x:f>
        <x:v>0.035067426356946783</x:v>
      </x:c>
    </x:row>
    <x:row r="25" spans="1:11" ht="34.149999999999999" customHeight="1">
      <x:c r="A25" s="202">
        <x:f>C2</x:f>
        <x:v>3096500</x:v>
      </x:c>
      <x:c r="B25" s="161"/>
      <x:c r="C25" s="161">
        <x:f>E25/I1</x:f>
        <x:v>3698000</x:v>
      </x:c>
      <x:c r="D25" s="161"/>
      <x:c r="E25" s="161">
        <x:f>SUM('1:13'!$A$25)</x:f>
        <x:v>48074000</x:v>
      </x:c>
      <x:c r="F25" s="161"/>
      <x:c r="G25" s="161"/>
      <x:c r="H25" s="109" t="s">
        <x:v>19</x:v>
      </x:c>
      <x:c r="I25" s="110">
        <x:f>SUM('1:13'!$I$21)</x:f>
        <x:v>0</x:v>
      </x:c>
      <x:c r="J25" s="61" t="s">
        <x:v>19</x:v>
      </x:c>
      <x:c r="K25" s="62">
        <x:f>SUM('1:13'!$K$21)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>
        <x:f>13000*5</x:f>
        <x:v>65000</x:v>
      </x:c>
      <x:c r="G27" s="154"/>
      <x:c r="H27" s="113" t="s">
        <x:v>88</x:v>
      </x:c>
      <x:c r="I27" s="114">
        <x:f>SUM(C27:D34,F27:G30)</x:f>
        <x:v>863285.71428571432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>
        <x:f>13000*3</x:f>
        <x:v>39000</x:v>
      </x:c>
      <x:c r="G28" s="165"/>
      <x:c r="H28" s="113" t="s">
        <x:v>62</x:v>
      </x:c>
      <x:c r="I28" s="115">
        <x:f>I27/$A$25</x:f>
        <x:v>0.27879403012617932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SUM('1:13'!$I$25)</x:f>
        <x:v>67249914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77.899950024822104</x:v>
      </x:c>
      <x:c r="M30" s="66"/>
    </x:row>
    <x:row r="31" spans="1:7" customHeight="1">
      <x:c r="A31" s="204"/>
      <x:c r="B31" s="144" t="s">
        <x:v>41</x:v>
      </x:c>
      <x:c r="C31" s="206"/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O34"/>
  <x:sheetViews>
    <x:sheetView topLeftCell="A1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14</x:v>
      </x:c>
      <x:c r="G1" s="68" t="s">
        <x:v>56</x:v>
      </x:c>
      <x:c r="H1" s="52" t="s">
        <x:v>107</x:v>
      </x:c>
      <x:c r="I1" s="52">
        <x:f>F1-K1</x:f>
        <x:v>14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4966500</x:v>
      </x:c>
      <x:c r="D2" s="178"/>
      <x:c r="E2" s="167" t="s">
        <x:v>7</x:v>
      </x:c>
      <x:c r="F2" s="168"/>
      <x:c r="G2" s="169">
        <x:v>103600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4542500</x:v>
      </x:c>
      <x:c r="D4" s="154"/>
      <x:c r="E4" s="173" t="s">
        <x:v>144</x:v>
      </x:c>
      <x:c r="F4" s="173"/>
      <x:c r="G4" s="136">
        <x:f>INT(C4*0.0275)</x:f>
        <x:v>124918</x:v>
      </x:c>
      <x:c r="H4" s="54" t="s">
        <x:v>44</x:v>
      </x:c>
      <x:c r="I4" s="126">
        <x:f>210600+262392</x:f>
        <x:v>472992</x:v>
      </x:c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424000</x:v>
      </x:c>
      <x:c r="D5" s="154"/>
      <x:c r="E5" s="166" t="s">
        <x:v>153</x:v>
      </x:c>
      <x:c r="F5" s="166"/>
      <x:c r="G5" s="136">
        <x:f>INT(C5*0.01)</x:f>
        <x:v>4240</x:v>
      </x:c>
      <x:c r="H5" s="54" t="s">
        <x:v>63</x:v>
      </x:c>
      <x:c r="I5" s="126">
        <x:f>29656+26220+34540+43120+38940+36080</x:f>
        <x:v>208556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410000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>
        <x:f>415490-14700</x:f>
        <x:v>400790</x:v>
      </x:c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117600</x:v>
      </x:c>
      <x:c r="D8" s="154"/>
      <x:c r="E8" s="150" t="s">
        <x:v>132</x:v>
      </x:c>
      <x:c r="F8" s="151"/>
      <x:c r="G8" s="190">
        <x:f>C5+G2-G6-C22</x:f>
        <x:v>117600</x:v>
      </x:c>
      <x:c r="H8" s="54" t="s">
        <x:v>15</x:v>
      </x:c>
      <x:c r="I8" s="126">
        <x:v>55000</x:v>
      </x:c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24</x:v>
      </x:c>
      <x:c r="D12" s="150" t="s">
        <x:v>104</x:v>
      </x:c>
      <x:c r="E12" s="151"/>
      <x:c r="F12" s="197">
        <x:v>6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SUM('1:14'!$C$12)</x:f>
        <x:v>177</x:v>
      </x:c>
      <x:c r="D13" s="152"/>
      <x:c r="E13" s="153"/>
      <x:c r="F13" s="195">
        <x:f>SUM('1:14'!$F$12)</x:f>
        <x:v>121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63</x:v>
      </x:c>
      <x:c r="D14" s="150" t="s">
        <x:v>87</x:v>
      </x:c>
      <x:c r="E14" s="151"/>
      <x:c r="F14" s="197">
        <x:v>9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SUM('1:14'!$C$14)</x:f>
        <x:v>536</x:v>
      </x:c>
      <x:c r="D15" s="152"/>
      <x:c r="E15" s="153"/>
      <x:c r="F15" s="195">
        <x:f>SUM('1:14'!$F$14)</x:f>
        <x:v>247</x:v>
      </x:c>
      <x:c r="G15" s="196"/>
      <x:c r="H15" s="54" t="s">
        <x:v>90</x:v>
      </x:c>
      <x:c r="I15" s="58">
        <x:f>17700+61000+16500+19200+13500+3900+4900+2500+3500+35000</x:f>
        <x:v>177700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15</x:v>
      </x:c>
      <x:c r="D16" s="150" t="s">
        <x:v>115</x:v>
      </x:c>
      <x:c r="E16" s="151"/>
      <x:c r="F16" s="199">
        <x:v>11</x:v>
      </x:c>
      <x:c r="G16" s="199"/>
      <x:c r="H16" s="54" t="s">
        <x:v>17</x:v>
      </x:c>
      <x:c r="I16" s="58"/>
      <x:c r="J16" s="54" t="s">
        <x:v>81</x:v>
      </x:c>
      <x:c r="K16" s="58"/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SUM('1:14'!$C$16)</x:f>
        <x:v>101</x:v>
      </x:c>
      <x:c r="D17" s="152"/>
      <x:c r="E17" s="153"/>
      <x:c r="F17" s="164">
        <x:f>SUM('1:14'!$F$16)</x:f>
        <x:v>195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34</x:v>
      </x:c>
      <x:c r="D18" s="150" t="s">
        <x:v>126</x:v>
      </x:c>
      <x:c r="E18" s="151"/>
      <x:c r="F18" s="162">
        <x:v>4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SUM('1:14'!$C$18)</x:f>
        <x:v>439</x:v>
      </x:c>
      <x:c r="D19" s="152"/>
      <x:c r="E19" s="153"/>
      <x:c r="F19" s="164">
        <x:f>SUM('1:14'!$F$18)</x:f>
        <x:v>152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67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SUM('1:14'!$F$20)</x:f>
        <x:v>734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1315038</x:v>
      </x:c>
      <x:c r="J23" s="61" t="s">
        <x:v>102</x:v>
      </x:c>
      <x:c r="K23" s="62">
        <x:f>SUM(K4:K22)</x:f>
        <x:v>15714.285714285714</x:v>
      </x:c>
      <x:c r="M23" s="90" t="s">
        <x:v>111</x:v>
      </x:c>
      <x:c r="N23" s="155">
        <x:f>C5+C6</x:f>
        <x:v>424000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0.26478163696768348</x:v>
      </x:c>
      <x:c r="J24" s="61" t="s">
        <x:v>62</x:v>
      </x:c>
      <x:c r="K24" s="63">
        <x:f>K23/A25</x:f>
        <x:v>0.0031640563202024997</x:v>
      </x:c>
    </x:row>
    <x:row r="25" spans="1:11" ht="34.149999999999999" customHeight="1">
      <x:c r="A25" s="202">
        <x:f>C2</x:f>
        <x:v>4966500</x:v>
      </x:c>
      <x:c r="B25" s="161"/>
      <x:c r="C25" s="161">
        <x:f>E25/I1</x:f>
        <x:v>3788607.1428571427</x:v>
      </x:c>
      <x:c r="D25" s="161"/>
      <x:c r="E25" s="161">
        <x:f>SUM('1:14'!$A$25)</x:f>
        <x:v>53040500</x:v>
      </x:c>
      <x:c r="F25" s="161"/>
      <x:c r="G25" s="161"/>
      <x:c r="H25" s="109" t="s">
        <x:v>19</x:v>
      </x:c>
      <x:c r="I25" s="110">
        <x:f>SUM('1:14'!$I$21)</x:f>
        <x:v>0</x:v>
      </x:c>
      <x:c r="J25" s="61" t="s">
        <x:v>19</x:v>
      </x:c>
      <x:c r="K25" s="62">
        <x:f>SUM('1:14'!$K$21)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>
        <x:f>13000*5</x:f>
        <x:v>65000</x:v>
      </x:c>
      <x:c r="G27" s="154"/>
      <x:c r="H27" s="113" t="s">
        <x:v>88</x:v>
      </x:c>
      <x:c r="I27" s="114">
        <x:f>SUM(C27:D34,F27:G30)</x:f>
        <x:v>882785.71428571432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>
        <x:f>13000*4.5</x:f>
        <x:v>58500</x:v>
      </x:c>
      <x:c r="G28" s="165"/>
      <x:c r="H28" s="113" t="s">
        <x:v>62</x:v>
      </x:c>
      <x:c r="I28" s="115">
        <x:f>I27/$A$25</x:f>
        <x:v>0.17774805482446679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SUM('1:14'!$I$25)</x:f>
        <x:v>67249914</x:v>
      </x:c>
      <x:c r="M29" s="66" t="s">
        <x:v>57</x:v>
      </x:c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76.179205113682329</x:v>
      </x:c>
      <x:c r="M30" s="66"/>
    </x:row>
    <x:row r="31" spans="1:7" customHeight="1">
      <x:c r="A31" s="204"/>
      <x:c r="B31" s="144" t="s">
        <x:v>41</x:v>
      </x:c>
      <x:c r="C31" s="206"/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O34"/>
  <x:sheetViews>
    <x:sheetView topLeftCell="A17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4" width="8.625" style="53" bestFit="1" customWidth="1"/>
    <x:col min="15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15</x:v>
      </x:c>
      <x:c r="G1" s="68" t="s">
        <x:v>51</x:v>
      </x:c>
      <x:c r="H1" s="52" t="s">
        <x:v>107</x:v>
      </x:c>
      <x:c r="I1" s="52">
        <x:f>F1-K1</x:f>
        <x:v>15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4793500</x:v>
      </x:c>
      <x:c r="D2" s="178"/>
      <x:c r="E2" s="167" t="s">
        <x:v>7</x:v>
      </x:c>
      <x:c r="F2" s="168"/>
      <x:c r="G2" s="169">
        <x:v>117600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4226500</x:v>
      </x:c>
      <x:c r="D4" s="154"/>
      <x:c r="E4" s="173" t="s">
        <x:v>144</x:v>
      </x:c>
      <x:c r="F4" s="173"/>
      <x:c r="G4" s="136">
        <x:f>INT(C4*0.0275)</x:f>
        <x:v>116228</x:v>
      </x:c>
      <x:c r="H4" s="54" t="s">
        <x:v>44</x:v>
      </x:c>
      <x:c r="I4" s="126">
        <x:f>383400+194773+177783+266916+56200+415500</x:f>
        <x:v>1494572</x:v>
      </x:c>
      <x:c r="J4" s="83" t="s">
        <x:v>18</x:v>
      </x:c>
      <x:c r="K4" s="58"/>
    </x:row>
    <x:row r="5" spans="1:13" ht="30.949999999999999" customHeight="1">
      <x:c r="A5" s="171" t="s">
        <x:v>52</x:v>
      </x:c>
      <x:c r="B5" s="172"/>
      <x:c r="C5" s="154">
        <x:v>567000</x:v>
      </x:c>
      <x:c r="D5" s="154"/>
      <x:c r="E5" s="166" t="s">
        <x:v>153</x:v>
      </x:c>
      <x:c r="F5" s="166"/>
      <x:c r="G5" s="136">
        <x:f>INT(C5*0.01)</x:f>
        <x:v>5670</x:v>
      </x:c>
      <x:c r="H5" s="54" t="s">
        <x:v>63</x:v>
      </x:c>
      <x:c r="I5" s="126">
        <x:f>59312+29100+13110+68600</x:f>
        <x:v>170122</x:v>
      </x:c>
      <x:c r="J5" s="83"/>
      <x:c r="K5" s="58"/>
      <x:c r="M5" s="139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550000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/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134600</x:v>
      </x:c>
      <x:c r="D8" s="154"/>
      <x:c r="E8" s="150" t="s">
        <x:v>132</x:v>
      </x:c>
      <x:c r="F8" s="151"/>
      <x:c r="G8" s="190">
        <x:f>C5+G2-G6-C22</x:f>
        <x:v>134600</x:v>
      </x:c>
      <x:c r="H8" s="54" t="s">
        <x:v>15</x:v>
      </x:c>
      <x:c r="I8" s="126"/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12</x:v>
      </x:c>
      <x:c r="D12" s="150" t="s">
        <x:v>104</x:v>
      </x:c>
      <x:c r="E12" s="151"/>
      <x:c r="F12" s="197">
        <x:v>5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SUM('1:15'!$C$12)</x:f>
        <x:v>189</x:v>
      </x:c>
      <x:c r="D13" s="152"/>
      <x:c r="E13" s="153"/>
      <x:c r="F13" s="195">
        <x:f>SUM('1:15'!$F$12)</x:f>
        <x:v>126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72</x:v>
      </x:c>
      <x:c r="D14" s="150" t="s">
        <x:v>87</x:v>
      </x:c>
      <x:c r="E14" s="151"/>
      <x:c r="F14" s="197">
        <x:v>38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SUM('1:15'!$C$14)</x:f>
        <x:v>608</x:v>
      </x:c>
      <x:c r="D15" s="152"/>
      <x:c r="E15" s="153"/>
      <x:c r="F15" s="195">
        <x:f>SUM('1:15'!$F$14)</x:f>
        <x:v>285</x:v>
      </x:c>
      <x:c r="G15" s="196"/>
      <x:c r="H15" s="54" t="s">
        <x:v>90</x:v>
      </x:c>
      <x:c r="I15" s="58">
        <x:f>9000+24400+5500+3200+2200+6600+19200+17500+27500+8900</x:f>
        <x:v>124000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13</x:v>
      </x:c>
      <x:c r="D16" s="150" t="s">
        <x:v>115</x:v>
      </x:c>
      <x:c r="E16" s="151"/>
      <x:c r="F16" s="199">
        <x:v>19</x:v>
      </x:c>
      <x:c r="G16" s="199"/>
      <x:c r="H16" s="54"/>
      <x:c r="I16" s="58"/>
      <x:c r="J16" s="54" t="s">
        <x:v>81</x:v>
      </x:c>
      <x:c r="K16" s="58">
        <x:v>17640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SUM('1:15'!$C$16)</x:f>
        <x:v>114</x:v>
      </x:c>
      <x:c r="D17" s="152"/>
      <x:c r="E17" s="153"/>
      <x:c r="F17" s="164">
        <x:f>SUM('1:15'!$F$16)</x:f>
        <x:v>214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37</x:v>
      </x:c>
      <x:c r="D18" s="150" t="s">
        <x:v>126</x:v>
      </x:c>
      <x:c r="E18" s="151"/>
      <x:c r="F18" s="162">
        <x:v>13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SUM('1:15'!$C$18)</x:f>
        <x:v>476</x:v>
      </x:c>
      <x:c r="D19" s="152"/>
      <x:c r="E19" s="153"/>
      <x:c r="F19" s="164">
        <x:f>SUM('1:15'!$F$18)</x:f>
        <x:v>165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61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SUM('1:15'!$F$20)</x:f>
        <x:v>795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1788694</x:v>
      </x:c>
      <x:c r="J23" s="61" t="s">
        <x:v>102</x:v>
      </x:c>
      <x:c r="K23" s="62">
        <x:f>SUM(K4:K22)</x:f>
        <x:v>33354.28571428571</x:v>
      </x:c>
      <x:c r="M23" s="90" t="s">
        <x:v>111</x:v>
      </x:c>
      <x:c r="N23" s="155">
        <x:f>C5+C6</x:f>
        <x:v>567000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0.37314989047668717</x:v>
      </x:c>
      <x:c r="J24" s="61" t="s">
        <x:v>62</x:v>
      </x:c>
      <x:c r="K24" s="63">
        <x:f>K23/A25</x:f>
        <x:v>0.0069582321298186523</x:v>
      </x:c>
    </x:row>
    <x:row r="25" spans="1:11" ht="34.149999999999999" customHeight="1">
      <x:c r="A25" s="202">
        <x:f>C2</x:f>
        <x:v>4793500</x:v>
      </x:c>
      <x:c r="B25" s="161"/>
      <x:c r="C25" s="161">
        <x:f>E25/I1</x:f>
        <x:v>3855600</x:v>
      </x:c>
      <x:c r="D25" s="161"/>
      <x:c r="E25" s="161">
        <x:f>SUM('1:15'!$A$25)</x:f>
        <x:v>57834000</x:v>
      </x:c>
      <x:c r="F25" s="161"/>
      <x:c r="G25" s="161"/>
      <x:c r="H25" s="109" t="s">
        <x:v>19</x:v>
      </x:c>
      <x:c r="I25" s="110">
        <x:f>SUM('1:15'!$I$21)</x:f>
        <x:v>0</x:v>
      </x:c>
      <x:c r="J25" s="61" t="s">
        <x:v>19</x:v>
      </x:c>
      <x:c r="K25" s="62">
        <x:f>SUM('1:15'!$K$21)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872085.71428571432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/>
      <x:c r="G28" s="165"/>
      <x:c r="H28" s="113" t="s">
        <x:v>62</x:v>
      </x:c>
      <x:c r="I28" s="115">
        <x:f>I27/$A$25</x:f>
        <x:v>0.18193088855444128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>
        <x:f>11700*4</x:f>
        <x:v>46800</x:v>
      </x:c>
      <x:c r="G29" s="154"/>
      <x:c r="H29" s="113" t="s">
        <x:v>19</x:v>
      </x:c>
      <x:c r="I29" s="114">
        <x:f>SUM('1:15'!$I$25)</x:f>
        <x:v>67249914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130000</x:v>
      </x:c>
      <x:c r="G30" s="211"/>
      <x:c r="H30" s="113" t="s">
        <x:v>114</x:v>
      </x:c>
      <x:c r="I30" s="115">
        <x:f>I29/$I$27</x:f>
        <x:v>77.113881007764633</x:v>
      </x:c>
      <x:c r="M30" s="66"/>
    </x:row>
    <x:row r="31" spans="1:7" customHeight="1">
      <x:c r="A31" s="204"/>
      <x:c r="B31" s="144" t="s">
        <x:v>41</x:v>
      </x:c>
      <x:c r="C31" s="206">
        <x:f>14000*4</x:f>
        <x:v>56000</x:v>
      </x:c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/>
  <x:dimension ref="A1:O34"/>
  <x:sheetViews>
    <x:sheetView topLeftCell="A13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2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16</x:v>
      </x:c>
      <x:c r="G1" s="68" t="s">
        <x:v>34</x:v>
      </x:c>
      <x:c r="H1" s="52" t="s">
        <x:v>107</x:v>
      </x:c>
      <x:c r="I1" s="52">
        <x:f>F1-K1</x:f>
        <x:v>16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3819000</x:v>
      </x:c>
      <x:c r="D2" s="178"/>
      <x:c r="E2" s="167" t="s">
        <x:v>7</x:v>
      </x:c>
      <x:c r="F2" s="168"/>
      <x:c r="G2" s="169">
        <x:v>134600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2" ht="30.949999999999999" customHeight="1">
      <x:c r="A4" s="171" t="s">
        <x:v>10</x:v>
      </x:c>
      <x:c r="B4" s="172"/>
      <x:c r="C4" s="154">
        <x:v>2994000</x:v>
      </x:c>
      <x:c r="D4" s="154"/>
      <x:c r="E4" s="173" t="s">
        <x:v>144</x:v>
      </x:c>
      <x:c r="F4" s="173"/>
      <x:c r="G4" s="136">
        <x:f>INT(C4*0.0275)</x:f>
        <x:v>82335</x:v>
      </x:c>
      <x:c r="H4" s="54" t="s">
        <x:v>44</x:v>
      </x:c>
      <x:c r="I4" s="126"/>
      <x:c r="J4" s="83" t="s">
        <x:v>18</x:v>
      </x:c>
      <x:c r="K4" s="58"/>
      <x:c r="L4" s="99"/>
    </x:row>
    <x:row r="5" spans="1:11" ht="30.949999999999999" customHeight="1">
      <x:c r="A5" s="171" t="s">
        <x:v>52</x:v>
      </x:c>
      <x:c r="B5" s="172"/>
      <x:c r="C5" s="154">
        <x:v>825000</x:v>
      </x:c>
      <x:c r="D5" s="154"/>
      <x:c r="E5" s="166" t="s">
        <x:v>153</x:v>
      </x:c>
      <x:c r="F5" s="166"/>
      <x:c r="G5" s="136">
        <x:f>INT(C5*0.01)</x:f>
        <x:v>8250</x:v>
      </x:c>
      <x:c r="H5" s="54" t="s">
        <x:v>63</x:v>
      </x:c>
      <x:c r="I5" s="126"/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800000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/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159600</x:v>
      </x:c>
      <x:c r="D8" s="154"/>
      <x:c r="E8" s="150" t="s">
        <x:v>132</x:v>
      </x:c>
      <x:c r="F8" s="151"/>
      <x:c r="G8" s="190">
        <x:f>C5+G2-G6-C22</x:f>
        <x:v>159600</x:v>
      </x:c>
      <x:c r="H8" s="54" t="s">
        <x:v>15</x:v>
      </x:c>
      <x:c r="I8" s="126"/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22</x:v>
      </x:c>
      <x:c r="D12" s="150" t="s">
        <x:v>104</x:v>
      </x:c>
      <x:c r="E12" s="151"/>
      <x:c r="F12" s="197">
        <x:v>11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SUM('1:16'!$C$12)</x:f>
        <x:v>211</x:v>
      </x:c>
      <x:c r="D13" s="152"/>
      <x:c r="E13" s="153"/>
      <x:c r="F13" s="195">
        <x:f>SUM('1:16'!$F$12)</x:f>
        <x:v>137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64</x:v>
      </x:c>
      <x:c r="D14" s="150" t="s">
        <x:v>87</x:v>
      </x:c>
      <x:c r="E14" s="151"/>
      <x:c r="F14" s="197">
        <x:v>14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SUM('1:16'!$C$14)</x:f>
        <x:v>672</x:v>
      </x:c>
      <x:c r="D15" s="152"/>
      <x:c r="E15" s="153"/>
      <x:c r="F15" s="195">
        <x:f>SUM('1:16'!$F$14)</x:f>
        <x:v>299</x:v>
      </x:c>
      <x:c r="G15" s="196"/>
      <x:c r="H15" s="54" t="s">
        <x:v>90</x:v>
      </x:c>
      <x:c r="I15" s="58"/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7</x:v>
      </x:c>
      <x:c r="D16" s="150" t="s">
        <x:v>115</x:v>
      </x:c>
      <x:c r="E16" s="151"/>
      <x:c r="F16" s="199">
        <x:v>9</x:v>
      </x:c>
      <x:c r="G16" s="199"/>
      <x:c r="H16" s="54"/>
      <x:c r="I16" s="58"/>
      <x:c r="J16" s="54" t="s">
        <x:v>81</x:v>
      </x:c>
      <x:c r="K16" s="58">
        <x:v>16746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SUM('1:16'!$C$16)</x:f>
        <x:v>121</x:v>
      </x:c>
      <x:c r="D17" s="152"/>
      <x:c r="E17" s="153"/>
      <x:c r="F17" s="164">
        <x:f>SUM('1:16'!$F$16)</x:f>
        <x:v>223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29</x:v>
      </x:c>
      <x:c r="D18" s="150" t="s">
        <x:v>126</x:v>
      </x:c>
      <x:c r="E18" s="151"/>
      <x:c r="F18" s="162">
        <x:v>14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SUM('1:16'!$C$18)</x:f>
        <x:v>505</x:v>
      </x:c>
      <x:c r="D19" s="152"/>
      <x:c r="E19" s="153"/>
      <x:c r="F19" s="164">
        <x:f>SUM('1:16'!$F$18)</x:f>
        <x:v>179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57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SUM('1:16'!$F$20)</x:f>
        <x:v>852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0</x:v>
      </x:c>
      <x:c r="J23" s="61" t="s">
        <x:v>102</x:v>
      </x:c>
      <x:c r="K23" s="62">
        <x:f>SUM(K4:K22)</x:f>
        <x:v>32460.285714285714</x:v>
      </x:c>
      <x:c r="M23" s="90" t="s">
        <x:v>111</x:v>
      </x:c>
      <x:c r="N23" s="155">
        <x:f>C5+C6</x:f>
        <x:v>825000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</x:v>
      </x:c>
      <x:c r="J24" s="61" t="s">
        <x:v>62</x:v>
      </x:c>
      <x:c r="K24" s="63">
        <x:f>K23/A25</x:f>
        <x:v>0.0084996820409232038</x:v>
      </x:c>
    </x:row>
    <x:row r="25" spans="1:11" ht="34.149999999999999" customHeight="1">
      <x:c r="A25" s="202">
        <x:f>C2</x:f>
        <x:v>3819000</x:v>
      </x:c>
      <x:c r="B25" s="161"/>
      <x:c r="C25" s="161">
        <x:f>E25/I1</x:f>
        <x:v>3853312.5</x:v>
      </x:c>
      <x:c r="D25" s="161"/>
      <x:c r="E25" s="161">
        <x:f>SUM('1:16'!$A$25)</x:f>
        <x:v>61653000</x:v>
      </x:c>
      <x:c r="F25" s="161"/>
      <x:c r="G25" s="161"/>
      <x:c r="H25" s="109" t="s">
        <x:v>19</x:v>
      </x:c>
      <x:c r="I25" s="110">
        <x:f>SUM('1:16'!$I$21)</x:f>
        <x:v>0</x:v>
      </x:c>
      <x:c r="J25" s="61" t="s">
        <x:v>19</x:v>
      </x:c>
      <x:c r="K25" s="62">
        <x:f>SUM('1:16'!$K$21)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860385.71428571432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/>
      <x:c r="G28" s="165"/>
      <x:c r="H28" s="113" t="s">
        <x:v>62</x:v>
      </x:c>
      <x:c r="I28" s="115">
        <x:f>I27/$A$25</x:f>
        <x:v>0.22529083903789324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>
        <x:f>11700*3</x:f>
        <x:v>35100</x:v>
      </x:c>
      <x:c r="G29" s="154"/>
      <x:c r="H29" s="113" t="s">
        <x:v>19</x:v>
      </x:c>
      <x:c r="I29" s="114">
        <x:f>SUM('1:16'!$I$25)</x:f>
        <x:v>67249914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130000</x:v>
      </x:c>
      <x:c r="G30" s="211"/>
      <x:c r="H30" s="113" t="s">
        <x:v>114</x:v>
      </x:c>
      <x:c r="I30" s="115">
        <x:f>I29/$I$27</x:f>
        <x:v>78.162518139704787</x:v>
      </x:c>
      <x:c r="M30" s="66"/>
    </x:row>
    <x:row r="31" spans="1:7" customHeight="1">
      <x:c r="A31" s="204"/>
      <x:c r="B31" s="144" t="s">
        <x:v>41</x:v>
      </x:c>
      <x:c r="C31" s="206">
        <x:f>14000*4</x:f>
        <x:v>56000</x:v>
      </x:c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/>
  <x:dimension ref="A1:O34"/>
  <x:sheetViews>
    <x:sheetView view="pageBreakPreview" topLeftCell="A10" zoomScale="60" zoomScaleNormal="85" zoomScaleSheetLayoutView="60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17</x:v>
      </x:c>
      <x:c r="G1" s="68" t="s">
        <x:v>1</x:v>
      </x:c>
      <x:c r="H1" s="52" t="s">
        <x:v>107</x:v>
      </x:c>
      <x:c r="I1" s="52">
        <x:f>F1-K1</x:f>
        <x:v>17</x:v>
      </x:c>
      <x:c r="J1" s="52" t="s">
        <x:v>96</x:v>
      </x:c>
      <x:c r="K1" s="52"/>
    </x:row>
    <x:row r="2" spans="1:11" ht="20.100000000000001" customHeight="1">
      <x:c r="A2" s="339" t="s">
        <x:v>24</x:v>
      </x:c>
      <x:c r="B2" s="340"/>
      <x:c r="C2" s="343">
        <x:f>SUM(C4:D7)</x:f>
        <x:v>3353000</x:v>
      </x:c>
      <x:c r="D2" s="344"/>
      <x:c r="E2" s="167" t="s">
        <x:v>7</x:v>
      </x:c>
      <x:c r="F2" s="168"/>
      <x:c r="G2" s="169">
        <x:v>159600</x:v>
      </x:c>
      <x:c r="H2" s="347" t="s">
        <x:v>63</x:v>
      </x:c>
      <x:c r="I2" s="348"/>
      <x:c r="J2" s="157" t="s">
        <x:v>147</x:v>
      </x:c>
      <x:c r="K2" s="349"/>
    </x:row>
    <x:row r="3" spans="1:11" ht="20.100000000000001" customHeight="1">
      <x:c r="A3" s="341"/>
      <x:c r="B3" s="342"/>
      <x:c r="C3" s="345"/>
      <x:c r="D3" s="346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330" t="s">
        <x:v>10</x:v>
      </x:c>
      <x:c r="B4" s="331"/>
      <x:c r="C4" s="210">
        <x:v>3156000</x:v>
      </x:c>
      <x:c r="D4" s="211"/>
      <x:c r="E4" s="332" t="s">
        <x:v>144</x:v>
      </x:c>
      <x:c r="F4" s="333"/>
      <x:c r="G4" s="136">
        <x:f>INT(C4*0.0275)</x:f>
        <x:v>86790</x:v>
      </x:c>
      <x:c r="H4" s="54" t="s">
        <x:v>44</x:v>
      </x:c>
      <x:c r="I4" s="126">
        <x:f>168426+183427+226800+415500+269178+445200</x:f>
        <x:v>1708531</x:v>
      </x:c>
      <x:c r="J4" s="83" t="s">
        <x:v>18</x:v>
      </x:c>
      <x:c r="K4" s="58"/>
    </x:row>
    <x:row r="5" spans="1:11" ht="30.949999999999999" customHeight="1">
      <x:c r="A5" s="330" t="s">
        <x:v>52</x:v>
      </x:c>
      <x:c r="B5" s="331"/>
      <x:c r="C5" s="210">
        <x:v>197000</x:v>
      </x:c>
      <x:c r="D5" s="211"/>
      <x:c r="E5" s="197" t="s">
        <x:v>153</x:v>
      </x:c>
      <x:c r="F5" s="198"/>
      <x:c r="G5" s="136">
        <x:f>INT(C5*0.01)</x:f>
        <x:v>1970</x:v>
      </x:c>
      <x:c r="H5" s="54" t="s">
        <x:v>63</x:v>
      </x:c>
      <x:c r="I5" s="126"/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230000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>
        <x:f>217300-43100</x:f>
        <x:v>174200</x:v>
      </x:c>
      <x:c r="J7" s="83" t="s">
        <x:v>122</x:v>
      </x:c>
      <x:c r="K7" s="58">
        <x:v>12500</x:v>
      </x:c>
    </x:row>
    <x:row r="8" spans="1:11" ht="21.949999999999999" customHeight="1">
      <x:c r="A8" s="337" t="s">
        <x:v>112</x:v>
      </x:c>
      <x:c r="B8" s="151"/>
      <x:c r="C8" s="185">
        <x:v>126600</x:v>
      </x:c>
      <x:c r="D8" s="186"/>
      <x:c r="E8" s="150" t="s">
        <x:v>132</x:v>
      </x:c>
      <x:c r="F8" s="151"/>
      <x:c r="G8" s="190">
        <x:f>C5+G2-G6-C22</x:f>
        <x:v>126600</x:v>
      </x:c>
      <x:c r="H8" s="54" t="s">
        <x:v>15</x:v>
      </x:c>
      <x:c r="I8" s="126">
        <x:v>57000</x:v>
      </x:c>
      <x:c r="J8" s="83"/>
      <x:c r="K8" s="58"/>
    </x:row>
    <x:row r="9" spans="1:11" ht="21.949999999999999" customHeight="1">
      <x:c r="A9" s="338"/>
      <x:c r="B9" s="153"/>
      <x:c r="C9" s="187"/>
      <x:c r="D9" s="188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322" t="s">
        <x:v>134</x:v>
      </x:c>
      <x:c r="B10" s="198"/>
      <x:c r="C10" s="210"/>
      <x:c r="D10" s="211"/>
      <x:c r="E10" s="197" t="s">
        <x:v>72</x:v>
      </x:c>
      <x:c r="F10" s="198"/>
      <x:c r="G10" s="55"/>
      <x:c r="H10" s="54"/>
      <x:c r="I10" s="126"/>
      <x:c r="J10" s="54" t="s">
        <x:v>2</x:v>
      </x:c>
      <x:c r="K10" s="58">
        <x:v>6000</x:v>
      </x:c>
    </x:row>
    <x:row r="11" spans="1:11" ht="33" customHeight="1">
      <x:c r="A11" s="322" t="s">
        <x:v>110</x:v>
      </x:c>
      <x:c r="B11" s="198"/>
      <x:c r="C11" s="334"/>
      <x:c r="D11" s="335"/>
      <x:c r="E11" s="335"/>
      <x:c r="F11" s="335"/>
      <x:c r="G11" s="336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10</x:v>
      </x:c>
      <x:c r="D12" s="150" t="s">
        <x:v>104</x:v>
      </x:c>
      <x:c r="E12" s="151"/>
      <x:c r="F12" s="197">
        <x:v>4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SUM('1:17'!$C$12)</x:f>
        <x:v>221</x:v>
      </x:c>
      <x:c r="D13" s="152"/>
      <x:c r="E13" s="153"/>
      <x:c r="F13" s="195">
        <x:f>SUM('1:17'!$F$12)</x:f>
        <x:v>141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31</x:v>
      </x:c>
      <x:c r="D14" s="150" t="s">
        <x:v>87</x:v>
      </x:c>
      <x:c r="E14" s="151"/>
      <x:c r="F14" s="197">
        <x:v>10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SUM('1:17'!$C$14)</x:f>
        <x:v>703</x:v>
      </x:c>
      <x:c r="D15" s="152"/>
      <x:c r="E15" s="153"/>
      <x:c r="F15" s="195">
        <x:f>SUM('1:17'!$F$14)</x:f>
        <x:v>309</x:v>
      </x:c>
      <x:c r="G15" s="196"/>
      <x:c r="H15" s="54" t="s">
        <x:v>90</x:v>
      </x:c>
      <x:c r="I15" s="58">
        <x:f>48800+5500+3500+11800+9600+26500+4900+52000+15000</x:f>
        <x:v>177600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4</x:v>
      </x:c>
      <x:c r="D16" s="150" t="s">
        <x:v>115</x:v>
      </x:c>
      <x:c r="E16" s="151"/>
      <x:c r="F16" s="328">
        <x:v>7</x:v>
      </x:c>
      <x:c r="G16" s="329"/>
      <x:c r="H16" s="54"/>
      <x:c r="I16" s="58"/>
      <x:c r="J16" s="54" t="s">
        <x:v>81</x:v>
      </x:c>
      <x:c r="K16" s="58"/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SUM('1:17'!$C$16)</x:f>
        <x:v>125</x:v>
      </x:c>
      <x:c r="D17" s="152"/>
      <x:c r="E17" s="153"/>
      <x:c r="F17" s="195">
        <x:f>SUM('1:17'!$F$16)</x:f>
        <x:v>230</x:v>
      </x:c>
      <x:c r="G17" s="196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31</x:v>
      </x:c>
      <x:c r="D18" s="150" t="s">
        <x:v>126</x:v>
      </x:c>
      <x:c r="E18" s="151"/>
      <x:c r="F18" s="328">
        <x:v>13</x:v>
      </x:c>
      <x:c r="G18" s="32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SUM('1:17'!$C$18)</x:f>
        <x:v>536</x:v>
      </x:c>
      <x:c r="D19" s="152"/>
      <x:c r="E19" s="153"/>
      <x:c r="F19" s="195">
        <x:f>SUM('1:17'!$F$18)</x:f>
        <x:v>192</x:v>
      </x:c>
      <x:c r="G19" s="196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97" t="s">
        <x:v>98</x:v>
      </x:c>
      <x:c r="E20" s="198"/>
      <x:c r="F20" s="328">
        <x:v>47</x:v>
      </x:c>
      <x:c r="G20" s="32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97" t="s">
        <x:v>137</x:v>
      </x:c>
      <x:c r="E21" s="198"/>
      <x:c r="F21" s="195">
        <x:f>SUM('1:17'!$F$20)</x:f>
        <x:v>899</x:v>
      </x:c>
      <x:c r="G21" s="196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322" t="s">
        <x:v>80</x:v>
      </x:c>
      <x:c r="B22" s="198"/>
      <x:c r="C22" s="325"/>
      <x:c r="D22" s="326"/>
      <x:c r="E22" s="326"/>
      <x:c r="F22" s="326"/>
      <x:c r="G22" s="32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322" t="s">
        <x:v>125</x:v>
      </x:c>
      <x:c r="B23" s="198"/>
      <x:c r="C23" s="352"/>
      <x:c r="D23" s="353"/>
      <x:c r="E23" s="353"/>
      <x:c r="F23" s="353"/>
      <x:c r="G23" s="354"/>
      <x:c r="H23" s="109" t="s">
        <x:v>131</x:v>
      </x:c>
      <x:c r="I23" s="110">
        <x:f>SUM(I4:I22)</x:f>
        <x:v>2117331</x:v>
      </x:c>
      <x:c r="J23" s="61" t="s">
        <x:v>102</x:v>
      </x:c>
      <x:c r="K23" s="62">
        <x:f>SUM(K4:K22)</x:f>
        <x:v>34214.28571428571</x:v>
      </x:c>
      <x:c r="M23" s="90" t="s">
        <x:v>111</x:v>
      </x:c>
      <x:c r="N23" s="155">
        <x:f>C5+C6</x:f>
        <x:v>197000</x:v>
      </x:c>
      <x:c r="O23" s="156"/>
    </x:row>
    <x:row r="24" spans="1:11" ht="34.149999999999999" customHeight="1">
      <x:c r="A24" s="322" t="s">
        <x:v>62</x:v>
      </x:c>
      <x:c r="B24" s="198"/>
      <x:c r="C24" s="197" t="s">
        <x:v>94</x:v>
      </x:c>
      <x:c r="D24" s="198"/>
      <x:c r="E24" s="197" t="s">
        <x:v>140</x:v>
      </x:c>
      <x:c r="F24" s="351"/>
      <x:c r="G24" s="198"/>
      <x:c r="H24" s="109" t="s">
        <x:v>62</x:v>
      </x:c>
      <x:c r="I24" s="111">
        <x:f>I23/A25</x:f>
        <x:v>0.63147360572621536</x:v>
      </x:c>
      <x:c r="J24" s="61" t="s">
        <x:v>62</x:v>
      </x:c>
      <x:c r="K24" s="63">
        <x:f>K23/A25</x:f>
        <x:v>0.01020408163265306</x:v>
      </x:c>
    </x:row>
    <x:row r="25" spans="1:11" ht="34.149999999999999" customHeight="1">
      <x:c r="A25" s="324">
        <x:f>C2</x:f>
        <x:v>3353000</x:v>
      </x:c>
      <x:c r="B25" s="209"/>
      <x:c r="C25" s="208">
        <x:f>E25/I1</x:f>
        <x:v>3823882.3529411764</x:v>
      </x:c>
      <x:c r="D25" s="209"/>
      <x:c r="E25" s="208">
        <x:f>SUM('1:17'!$A$25)</x:f>
        <x:v>65006000</x:v>
      </x:c>
      <x:c r="F25" s="350"/>
      <x:c r="G25" s="209"/>
      <x:c r="H25" s="109" t="s">
        <x:v>19</x:v>
      </x:c>
      <x:c r="I25" s="110">
        <x:f>SUM('1:17'!$I$21)</x:f>
        <x:v>0</x:v>
      </x:c>
      <x:c r="J25" s="61" t="s">
        <x:v>19</x:v>
      </x:c>
      <x:c r="K25" s="62">
        <x:f>SUM('1:17'!$K$21)</x:f>
        <x:v>0</x:v>
      </x:c>
    </x:row>
    <x:row r="26" spans="1:11" ht="34.149999999999999" customHeight="1">
      <x:c r="A26" s="322" t="s">
        <x:v>74</x:v>
      </x:c>
      <x:c r="B26" s="198"/>
      <x:c r="C26" s="197"/>
      <x:c r="D26" s="198"/>
      <x:c r="E26" s="210"/>
      <x:c r="F26" s="323"/>
      <x:c r="G26" s="211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317" t="s">
        <x:v>71</x:v>
      </x:c>
      <x:c r="B27" s="54" t="s">
        <x:v>45</x:v>
      </x:c>
      <x:c r="C27" s="208">
        <x:f>4000000/28</x:f>
        <x:v>142857.14285714287</x:v>
      </x:c>
      <x:c r="D27" s="209"/>
      <x:c r="E27" s="55" t="s">
        <x:v>54</x:v>
      </x:c>
      <x:c r="F27" s="210"/>
      <x:c r="G27" s="211"/>
      <x:c r="H27" s="113" t="s">
        <x:v>88</x:v>
      </x:c>
      <x:c r="I27" s="114">
        <x:f>SUM(C27:D34,F27:G30)</x:f>
        <x:v>804785.71428571432</x:v>
      </x:c>
      <x:c r="M27" s="66"/>
    </x:row>
    <x:row r="28" spans="1:13" ht="30.949999999999999" customHeight="1">
      <x:c r="A28" s="318"/>
      <x:c r="B28" s="54" t="s">
        <x:v>29</x:v>
      </x:c>
      <x:c r="C28" s="208">
        <x:f>3800000/28</x:f>
        <x:v>135714.28571428571</x:v>
      </x:c>
      <x:c r="D28" s="209"/>
      <x:c r="E28" s="55" t="s">
        <x:v>54</x:v>
      </x:c>
      <x:c r="F28" s="206">
        <x:f>13000*3.5</x:f>
        <x:v>45500</x:v>
      </x:c>
      <x:c r="G28" s="207"/>
      <x:c r="H28" s="113" t="s">
        <x:v>62</x:v>
      </x:c>
      <x:c r="I28" s="115">
        <x:f>I27/$A$25</x:f>
        <x:v>0.24001959865365771</x:v>
      </x:c>
      <x:c r="M28" s="66"/>
    </x:row>
    <x:row r="29" spans="1:13" ht="30.949999999999999" customHeight="1">
      <x:c r="A29" s="318"/>
      <x:c r="B29" s="54" t="s">
        <x:v>21</x:v>
      </x:c>
      <x:c r="C29" s="208">
        <x:f>3200000/28</x:f>
        <x:v>114285.71428571429</x:v>
      </x:c>
      <x:c r="D29" s="209"/>
      <x:c r="E29" s="55" t="s">
        <x:v>54</x:v>
      </x:c>
      <x:c r="F29" s="210"/>
      <x:c r="G29" s="211"/>
      <x:c r="H29" s="113" t="s">
        <x:v>19</x:v>
      </x:c>
      <x:c r="I29" s="114">
        <x:f>SUM('1:17'!$I$25)</x:f>
        <x:v>67249914</x:v>
      </x:c>
      <x:c r="M29" s="66"/>
    </x:row>
    <x:row r="30" spans="1:13" ht="30.949999999999999" customHeight="1">
      <x:c r="A30" s="318"/>
      <x:c r="B30" s="54" t="s">
        <x:v>42</x:v>
      </x:c>
      <x:c r="C30" s="208">
        <x:f>3400000/28</x:f>
        <x:v>121428.57142857143</x:v>
      </x:c>
      <x:c r="D30" s="209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83.562509629892602</x:v>
      </x:c>
      <x:c r="M30" s="66"/>
    </x:row>
    <x:row r="31" spans="1:7" customHeight="1">
      <x:c r="A31" s="318"/>
      <x:c r="B31" s="144" t="s">
        <x:v>41</x:v>
      </x:c>
      <x:c r="C31" s="206"/>
      <x:c r="D31" s="207"/>
      <x:c r="E31" s="52"/>
      <x:c r="F31" s="321"/>
      <x:c r="G31" s="321"/>
    </x:row>
    <x:row r="32" spans="1:4" customHeight="1">
      <x:c r="A32" s="318"/>
      <x:c r="B32" s="54"/>
      <x:c r="C32" s="206"/>
      <x:c r="D32" s="207"/>
    </x:row>
    <x:row r="33" spans="1:4" customHeight="1">
      <x:c r="A33" s="318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319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51" firstPageNumber="1" fitToWidth="1" fitToHeight="1" orientation="portrait" usePrinterDefaults="1" blackAndWhite="0" draft="0" useFirstPageNumber="0" horizontalDpi="600" verticalDpi="600" copie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A1:O34"/>
  <x:sheetViews>
    <x:sheetView topLeftCell="A13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18</x:v>
      </x:c>
      <x:c r="G1" s="68" t="s">
        <x:v>50</x:v>
      </x:c>
      <x:c r="H1" s="52" t="s">
        <x:v>107</x:v>
      </x:c>
      <x:c r="I1" s="52">
        <x:f>F1-K1</x:f>
        <x:v>18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3460500</x:v>
      </x:c>
      <x:c r="D2" s="178"/>
      <x:c r="E2" s="167" t="s">
        <x:v>7</x:v>
      </x:c>
      <x:c r="F2" s="168"/>
      <x:c r="G2" s="169">
        <x:v>126600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3155500</x:v>
      </x:c>
      <x:c r="D4" s="154"/>
      <x:c r="E4" s="173" t="s">
        <x:v>144</x:v>
      </x:c>
      <x:c r="F4" s="173"/>
      <x:c r="G4" s="136">
        <x:f>INT(C4*0.0275)</x:f>
        <x:v>86776</x:v>
      </x:c>
      <x:c r="H4" s="54" t="s">
        <x:v>44</x:v>
      </x:c>
      <x:c r="I4" s="126">
        <x:f>210600+415500+190259</x:f>
        <x:v>816359</x:v>
      </x:c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305000</x:v>
      </x:c>
      <x:c r="D5" s="154"/>
      <x:c r="E5" s="166" t="s">
        <x:v>153</x:v>
      </x:c>
      <x:c r="F5" s="166"/>
      <x:c r="G5" s="136">
        <x:f>INT(C5*0.01)</x:f>
        <x:v>3050</x:v>
      </x:c>
      <x:c r="H5" s="54" t="s">
        <x:v>63</x:v>
      </x:c>
      <x:c r="I5" s="126">
        <x:f>10+59312+36080+25600+43800+8900+12980+22000</x:f>
        <x:v>208682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320000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/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111600</x:v>
      </x:c>
      <x:c r="D8" s="154"/>
      <x:c r="E8" s="150" t="s">
        <x:v>132</x:v>
      </x:c>
      <x:c r="F8" s="151"/>
      <x:c r="G8" s="190">
        <x:f>C5+G2-G6-C22</x:f>
        <x:v>111600</x:v>
      </x:c>
      <x:c r="H8" s="54" t="s">
        <x:v>15</x:v>
      </x:c>
      <x:c r="I8" s="126"/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13</x:v>
      </x:c>
      <x:c r="D12" s="150" t="s">
        <x:v>104</x:v>
      </x:c>
      <x:c r="E12" s="151"/>
      <x:c r="F12" s="197">
        <x:v>8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SUM('1:18'!$C$12)</x:f>
        <x:v>234</x:v>
      </x:c>
      <x:c r="D13" s="152"/>
      <x:c r="E13" s="153"/>
      <x:c r="F13" s="195">
        <x:f>SUM('1:18'!$F$12)</x:f>
        <x:v>149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22</x:v>
      </x:c>
      <x:c r="D14" s="150" t="s">
        <x:v>87</x:v>
      </x:c>
      <x:c r="E14" s="151"/>
      <x:c r="F14" s="197">
        <x:v>6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SUM('1:18'!$C$14)</x:f>
        <x:v>725</x:v>
      </x:c>
      <x:c r="D15" s="152"/>
      <x:c r="E15" s="153"/>
      <x:c r="F15" s="195">
        <x:f>SUM('1:18'!$F$14)</x:f>
        <x:v>315</x:v>
      </x:c>
      <x:c r="G15" s="196"/>
      <x:c r="H15" s="54" t="s">
        <x:v>90</x:v>
      </x:c>
      <x:c r="I15" s="58">
        <x:f>12500+13500</x:f>
        <x:v>26000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5</x:v>
      </x:c>
      <x:c r="D16" s="150" t="s">
        <x:v>115</x:v>
      </x:c>
      <x:c r="E16" s="151"/>
      <x:c r="F16" s="199">
        <x:v>9</x:v>
      </x:c>
      <x:c r="G16" s="199"/>
      <x:c r="H16" s="54"/>
      <x:c r="I16" s="58"/>
      <x:c r="J16" s="54" t="s">
        <x:v>81</x:v>
      </x:c>
      <x:c r="K16" s="58">
        <x:v>111668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SUM('1:18'!$C$16)</x:f>
        <x:v>130</x:v>
      </x:c>
      <x:c r="D17" s="152"/>
      <x:c r="E17" s="153"/>
      <x:c r="F17" s="164">
        <x:f>SUM('1:18'!$F$16)</x:f>
        <x:v>239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39</x:v>
      </x:c>
      <x:c r="D18" s="150" t="s">
        <x:v>126</x:v>
      </x:c>
      <x:c r="E18" s="151"/>
      <x:c r="F18" s="162">
        <x:v>13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SUM('1:18'!$C$18)</x:f>
        <x:v>575</x:v>
      </x:c>
      <x:c r="D19" s="152"/>
      <x:c r="E19" s="153"/>
      <x:c r="F19" s="164">
        <x:f>SUM('1:18'!$F$18)</x:f>
        <x:v>205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48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SUM('1:18'!$F$20)</x:f>
        <x:v>947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1051041</x:v>
      </x:c>
      <x:c r="J23" s="61" t="s">
        <x:v>102</x:v>
      </x:c>
      <x:c r="K23" s="62">
        <x:f>SUM(K4:K22)</x:f>
        <x:v>127382.28571428571</x:v>
      </x:c>
      <x:c r="M23" s="90" t="s">
        <x:v>111</x:v>
      </x:c>
      <x:c r="N23" s="155">
        <x:f>C5+C6</x:f>
        <x:v>305000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0.30372518422193323</x:v>
      </x:c>
      <x:c r="J24" s="61" t="s">
        <x:v>62</x:v>
      </x:c>
      <x:c r="K24" s="63">
        <x:f>K23/A25</x:f>
        <x:v>0.036810370095155531</x:v>
      </x:c>
    </x:row>
    <x:row r="25" spans="1:11" ht="34.149999999999999" customHeight="1">
      <x:c r="A25" s="202">
        <x:f>C2</x:f>
        <x:v>3460500</x:v>
      </x:c>
      <x:c r="B25" s="161"/>
      <x:c r="C25" s="161">
        <x:f>E25/I1</x:f>
        <x:v>3803694.4444444445</x:v>
      </x:c>
      <x:c r="D25" s="161"/>
      <x:c r="E25" s="161">
        <x:f>SUM('1:18'!$A$25)</x:f>
        <x:v>68466500</x:v>
      </x:c>
      <x:c r="F25" s="161"/>
      <x:c r="G25" s="161"/>
      <x:c r="H25" s="109" t="s">
        <x:v>19</x:v>
      </x:c>
      <x:c r="I25" s="110">
        <x:f>SUM('1:18'!$I$21)</x:f>
        <x:v>0</x:v>
      </x:c>
      <x:c r="J25" s="61" t="s">
        <x:v>19</x:v>
      </x:c>
      <x:c r="K25" s="62">
        <x:f>SUM('1:18'!$K$21)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759285.71428571432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/>
      <x:c r="G28" s="165"/>
      <x:c r="H28" s="113" t="s">
        <x:v>62</x:v>
      </x:c>
      <x:c r="I28" s="115">
        <x:f>I27/$A$25</x:f>
        <x:v>0.21941503085846389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SUM('1:18'!$I$25)</x:f>
        <x:v>67249914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88.569971401693323</x:v>
      </x:c>
      <x:c r="M30" s="66"/>
    </x:row>
    <x:row r="31" spans="1:7" customHeight="1">
      <x:c r="A31" s="204"/>
      <x:c r="B31" s="144" t="s">
        <x:v>41</x:v>
      </x:c>
      <x:c r="C31" s="206"/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/>
  <x:dimension ref="A1:O34"/>
  <x:sheetViews>
    <x:sheetView topLeftCell="A22" zoomScale="60" zoomScaleNormal="60" zoomScaleSheetLayoutView="75" workbookViewId="0">
      <x:selection activeCell="M29" activeCellId="0" sqref="M29:M29"/>
    </x:sheetView>
  </x:sheetViews>
  <x:sheetFormatPr defaultColWidth="8.625" defaultRowHeight="13.199999999999999"/>
  <x:cols>
    <x:col min="1" max="1" width="8.625" style="53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ht="30" customHeight="1">
      <x:c r="A1" s="51"/>
      <x:c r="B1" s="51"/>
      <x:c r="C1" s="68" t="s">
        <x:v>92</x:v>
      </x:c>
      <x:c r="D1" s="68"/>
      <x:c r="E1" s="68" t="s">
        <x:v>9</x:v>
      </x:c>
      <x:c r="F1" s="68">
        <x:v>19</x:v>
      </x:c>
      <x:c r="G1" s="68" t="s">
        <x:v>39</x:v>
      </x:c>
      <x:c r="H1" s="52" t="s">
        <x:v>107</x:v>
      </x:c>
      <x:c r="I1" s="52">
        <x:f>F1-K1</x:f>
        <x:v>19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3590000</x:v>
      </x:c>
      <x:c r="D2" s="178"/>
      <x:c r="E2" s="167" t="s">
        <x:v>7</x:v>
      </x:c>
      <x:c r="F2" s="168"/>
      <x:c r="G2" s="169">
        <x:v>111600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3432000</x:v>
      </x:c>
      <x:c r="D4" s="154"/>
      <x:c r="E4" s="173" t="s">
        <x:v>144</x:v>
      </x:c>
      <x:c r="F4" s="173"/>
      <x:c r="G4" s="136">
        <x:f>INT(C4*0.0275)</x:f>
        <x:v>94380</x:v>
      </x:c>
      <x:c r="H4" s="54" t="s">
        <x:v>44</x:v>
      </x:c>
      <x:c r="I4" s="126">
        <x:f>415500+221400+185318+56200+61300+300846</x:f>
        <x:v>1240564</x:v>
      </x:c>
      <x:c r="J4" s="83" t="s">
        <x:v>18</x:v>
      </x:c>
      <x:c r="K4" s="58">
        <x:v>278000</x:v>
      </x:c>
    </x:row>
    <x:row r="5" spans="1:11" ht="30.949999999999999" customHeight="1">
      <x:c r="A5" s="171" t="s">
        <x:v>52</x:v>
      </x:c>
      <x:c r="B5" s="172"/>
      <x:c r="C5" s="154">
        <x:v>158000</x:v>
      </x:c>
      <x:c r="D5" s="154"/>
      <x:c r="E5" s="166" t="s">
        <x:v>153</x:v>
      </x:c>
      <x:c r="F5" s="166"/>
      <x:c r="G5" s="136">
        <x:f>INT(C5*0.01)</x:f>
        <x:v>1580</x:v>
      </x:c>
      <x:c r="H5" s="54" t="s">
        <x:v>63</x:v>
      </x:c>
      <x:c r="I5" s="126">
        <x:f>47300+41250+38940+88968+144320</x:f>
        <x:v>360778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150000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>
        <x:v>-24800</x:v>
      </x:c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119600</x:v>
      </x:c>
      <x:c r="D8" s="154"/>
      <x:c r="E8" s="150" t="s">
        <x:v>132</x:v>
      </x:c>
      <x:c r="F8" s="151"/>
      <x:c r="G8" s="190">
        <x:f>C5+G2-G6-C22</x:f>
        <x:v>119600</x:v>
      </x:c>
      <x:c r="H8" s="54" t="s">
        <x:v>15</x:v>
      </x:c>
      <x:c r="I8" s="126">
        <x:v>55000</x:v>
      </x:c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 t="s">
        <x:v>142</x:v>
      </x:c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4</x:v>
      </x:c>
      <x:c r="D12" s="150" t="s">
        <x:v>104</x:v>
      </x:c>
      <x:c r="E12" s="151"/>
      <x:c r="F12" s="197">
        <x:v>6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SUM('1:19'!$C$12)</x:f>
        <x:v>238</x:v>
      </x:c>
      <x:c r="D13" s="152"/>
      <x:c r="E13" s="153"/>
      <x:c r="F13" s="195">
        <x:f>SUM('1:19'!$F$12)</x:f>
        <x:v>155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48</x:v>
      </x:c>
      <x:c r="D14" s="150" t="s">
        <x:v>87</x:v>
      </x:c>
      <x:c r="E14" s="151"/>
      <x:c r="F14" s="197">
        <x:v>12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SUM('1:19'!$C$14)</x:f>
        <x:v>773</x:v>
      </x:c>
      <x:c r="D15" s="152"/>
      <x:c r="E15" s="153"/>
      <x:c r="F15" s="195">
        <x:f>SUM('1:19'!$F$14)</x:f>
        <x:v>327</x:v>
      </x:c>
      <x:c r="G15" s="196"/>
      <x:c r="H15" s="54" t="s">
        <x:v>90</x:v>
      </x:c>
      <x:c r="I15" s="58">
        <x:f>5500+5500+30500+23600+7500+17600+3200+3500+27500+9600+4900+19200+6200</x:f>
        <x:v>164300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6</x:v>
      </x:c>
      <x:c r="D16" s="150" t="s">
        <x:v>115</x:v>
      </x:c>
      <x:c r="E16" s="151"/>
      <x:c r="F16" s="199">
        <x:v>2</x:v>
      </x:c>
      <x:c r="G16" s="199"/>
      <x:c r="H16" s="54"/>
      <x:c r="I16" s="58"/>
      <x:c r="J16" s="54" t="s">
        <x:v>81</x:v>
      </x:c>
      <x:c r="K16" s="58">
        <x:v>8890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SUM('1:19'!$C$16)</x:f>
        <x:v>136</x:v>
      </x:c>
      <x:c r="D17" s="152"/>
      <x:c r="E17" s="153"/>
      <x:c r="F17" s="164">
        <x:f>SUM('1:19'!$F$16)</x:f>
        <x:v>241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26</x:v>
      </x:c>
      <x:c r="D18" s="150" t="s">
        <x:v>126</x:v>
      </x:c>
      <x:c r="E18" s="151"/>
      <x:c r="F18" s="162">
        <x:v>9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SUM('1:19'!$C$18)</x:f>
        <x:v>601</x:v>
      </x:c>
      <x:c r="D19" s="152"/>
      <x:c r="E19" s="153"/>
      <x:c r="F19" s="164">
        <x:f>SUM('1:19'!$F$18)</x:f>
        <x:v>214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54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SUM('1:19'!$F$20)</x:f>
        <x:v>1001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1795842</x:v>
      </x:c>
      <x:c r="J23" s="61" t="s">
        <x:v>102</x:v>
      </x:c>
      <x:c r="K23" s="62">
        <x:f>SUM(K4:K22)</x:f>
        <x:v>302604.28571428574</x:v>
      </x:c>
      <x:c r="M23" s="90" t="s">
        <x:v>111</x:v>
      </x:c>
      <x:c r="N23" s="155">
        <x:f>C5+C6</x:f>
        <x:v>158000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0.50023454038997217</x:v>
      </x:c>
      <x:c r="J24" s="61" t="s">
        <x:v>62</x:v>
      </x:c>
      <x:c r="K24" s="63">
        <x:f>K23/A25</x:f>
        <x:v>0.084290887385594912</x:v>
      </x:c>
    </x:row>
    <x:row r="25" spans="1:11" ht="34.149999999999999" customHeight="1">
      <x:c r="A25" s="202">
        <x:f>C2</x:f>
        <x:v>3590000</x:v>
      </x:c>
      <x:c r="B25" s="161"/>
      <x:c r="C25" s="161">
        <x:f>E25/I1</x:f>
        <x:v>3792447.3684210526</x:v>
      </x:c>
      <x:c r="D25" s="161"/>
      <x:c r="E25" s="161">
        <x:f>SUM('1:19'!$A$25)</x:f>
        <x:v>72056500</x:v>
      </x:c>
      <x:c r="F25" s="161"/>
      <x:c r="G25" s="161"/>
      <x:c r="H25" s="109" t="s">
        <x:v>19</x:v>
      </x:c>
      <x:c r="I25" s="110">
        <x:f>SUM('1:18'!$I$21)</x:f>
        <x:v>0</x:v>
      </x:c>
      <x:c r="J25" s="61" t="s">
        <x:v>19</x:v>
      </x:c>
      <x:c r="K25" s="62">
        <x:f>SUM('1:18'!$K$21)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804785.71428571432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>
        <x:f>13000*3.5</x:f>
        <x:v>45500</x:v>
      </x:c>
      <x:c r="G28" s="165"/>
      <x:c r="H28" s="113" t="s">
        <x:v>62</x:v>
      </x:c>
      <x:c r="I28" s="115">
        <x:f>I27/$A$25</x:f>
        <x:v>0.22417429367290093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SUM('1:18'!$I$25)</x:f>
        <x:v>67249914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83.562509629892602</x:v>
      </x:c>
      <x:c r="M30" s="66"/>
    </x:row>
    <x:row r="31" spans="1:7" ht="30" customHeight="1">
      <x:c r="A31" s="204"/>
      <x:c r="B31" s="144" t="s">
        <x:v>41</x:v>
      </x:c>
      <x:c r="C31" s="206"/>
      <x:c r="D31" s="207"/>
      <x:c r="E31" s="52"/>
      <x:c r="F31" s="212"/>
      <x:c r="G31" s="212"/>
    </x:row>
    <x:row r="32" spans="1:4" ht="30" customHeight="1">
      <x:c r="A32" s="204"/>
      <x:c r="B32" s="54"/>
      <x:c r="C32" s="206"/>
      <x:c r="D32" s="207"/>
    </x:row>
    <x:row r="33" spans="1:4" ht="30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ht="30" customHeight="1">
      <x:c r="A34" s="205"/>
      <x:c r="B34" s="54"/>
      <x:c r="C34" s="210"/>
      <x:c r="D34" s="211"/>
    </x:row>
  </x:sheetData>
  <x:mergeCells count="73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B16:B17"/>
    <x:mergeCell ref="D16:E17"/>
    <x:mergeCell ref="F16:G16"/>
    <x:mergeCell ref="F17:G17"/>
    <x:mergeCell ref="B18:B19"/>
    <x:mergeCell ref="D18:E19"/>
    <x:mergeCell ref="F18:G18"/>
    <x:mergeCell ref="F19:G19"/>
    <x:mergeCell ref="B14:B15"/>
    <x:mergeCell ref="D14:E15"/>
    <x:mergeCell ref="F14:G14"/>
    <x:mergeCell ref="F15:G15"/>
    <x:mergeCell ref="B12:B13"/>
    <x:mergeCell ref="D12:E13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/>
  <x:dimension ref="A1:O34"/>
  <x:sheetViews>
    <x:sheetView topLeftCell="A22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20</x:v>
      </x:c>
      <x:c r="G1" s="68" t="s">
        <x:v>20</x:v>
      </x:c>
      <x:c r="H1" s="52" t="s">
        <x:v>107</x:v>
      </x:c>
      <x:c r="I1" s="52">
        <x:f>F1-K1</x:f>
        <x:v>20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4182000</x:v>
      </x:c>
      <x:c r="D2" s="178"/>
      <x:c r="E2" s="167" t="s">
        <x:v>7</x:v>
      </x:c>
      <x:c r="F2" s="168"/>
      <x:c r="G2" s="169">
        <x:v>119600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3851000</x:v>
      </x:c>
      <x:c r="D4" s="154"/>
      <x:c r="E4" s="173" t="s">
        <x:v>144</x:v>
      </x:c>
      <x:c r="F4" s="173"/>
      <x:c r="G4" s="136">
        <x:f>INT(C4*0.0275)</x:f>
        <x:v>105902</x:v>
      </x:c>
      <x:c r="H4" s="54" t="s">
        <x:v>44</x:v>
      </x:c>
      <x:c r="I4" s="126">
        <x:f>221400+177754+253344+445200</x:f>
        <x:v>1097698</x:v>
      </x:c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331000</x:v>
      </x:c>
      <x:c r="D5" s="154"/>
      <x:c r="E5" s="166" t="s">
        <x:v>153</x:v>
      </x:c>
      <x:c r="F5" s="166"/>
      <x:c r="G5" s="136">
        <x:f>INT(C5*0.01)</x:f>
        <x:v>3310</x:v>
      </x:c>
      <x:c r="H5" s="54" t="s">
        <x:v>63</x:v>
      </x:c>
      <x:c r="I5" s="126">
        <x:f>51600+25600+17500</x:f>
        <x:v>94700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300000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>
        <x:v>354750</x:v>
      </x:c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150600</x:v>
      </x:c>
      <x:c r="D8" s="154"/>
      <x:c r="E8" s="150" t="s">
        <x:v>132</x:v>
      </x:c>
      <x:c r="F8" s="151"/>
      <x:c r="G8" s="190">
        <x:f>C5+G2-G6-C22</x:f>
        <x:v>150600</x:v>
      </x:c>
      <x:c r="H8" s="54" t="s">
        <x:v>15</x:v>
      </x:c>
      <x:c r="I8" s="126"/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>
        <x:v>200000</x:v>
      </x:c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15</x:v>
      </x:c>
      <x:c r="D12" s="150" t="s">
        <x:v>104</x:v>
      </x:c>
      <x:c r="E12" s="151"/>
      <x:c r="F12" s="197">
        <x:v>11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SUM('1:20'!$C$12)</x:f>
        <x:v>253</x:v>
      </x:c>
      <x:c r="D13" s="152"/>
      <x:c r="E13" s="153"/>
      <x:c r="F13" s="195">
        <x:f>SUM('1:20'!$F$12)</x:f>
        <x:v>166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55</x:v>
      </x:c>
      <x:c r="D14" s="150" t="s">
        <x:v>87</x:v>
      </x:c>
      <x:c r="E14" s="151"/>
      <x:c r="F14" s="197">
        <x:v>22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SUM('1:20'!$C$14)</x:f>
        <x:v>828</x:v>
      </x:c>
      <x:c r="D15" s="152"/>
      <x:c r="E15" s="153"/>
      <x:c r="F15" s="195">
        <x:f>SUM('1:20'!$F$14)</x:f>
        <x:v>349</x:v>
      </x:c>
      <x:c r="G15" s="196"/>
      <x:c r="H15" s="54" t="s">
        <x:v>90</x:v>
      </x:c>
      <x:c r="I15" s="58">
        <x:f>18300+26500+4900+5500+23600+52000+19500+11000</x:f>
        <x:v>161300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6</x:v>
      </x:c>
      <x:c r="D16" s="150" t="s">
        <x:v>115</x:v>
      </x:c>
      <x:c r="E16" s="151"/>
      <x:c r="F16" s="199">
        <x:v>9</x:v>
      </x:c>
      <x:c r="G16" s="199"/>
      <x:c r="H16" s="54"/>
      <x:c r="I16" s="58"/>
      <x:c r="J16" s="54" t="s">
        <x:v>81</x:v>
      </x:c>
      <x:c r="K16" s="58">
        <x:v>41373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SUM('1:20'!$C$16)</x:f>
        <x:v>142</x:v>
      </x:c>
      <x:c r="D17" s="152"/>
      <x:c r="E17" s="153"/>
      <x:c r="F17" s="164">
        <x:f>SUM('1:20'!$F$16)</x:f>
        <x:v>250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18</x:v>
      </x:c>
      <x:c r="D18" s="150" t="s">
        <x:v>126</x:v>
      </x:c>
      <x:c r="E18" s="151"/>
      <x:c r="F18" s="162">
        <x:v>17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SUM('1:20'!$C$18)</x:f>
        <x:v>619</x:v>
      </x:c>
      <x:c r="D19" s="152"/>
      <x:c r="E19" s="153"/>
      <x:c r="F19" s="164">
        <x:f>SUM('1:20'!$F$18)</x:f>
        <x:v>231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54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SUM('1:20'!$F$20)</x:f>
        <x:v>1055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1908448</x:v>
      </x:c>
      <x:c r="J23" s="61" t="s">
        <x:v>102</x:v>
      </x:c>
      <x:c r="K23" s="62">
        <x:f>SUM(K4:K22)</x:f>
        <x:v>57087.28571428571</x:v>
      </x:c>
      <x:c r="M23" s="90" t="s">
        <x:v>111</x:v>
      </x:c>
      <x:c r="N23" s="155">
        <x:f>C5+C6</x:f>
        <x:v>331000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0.45634815877570539</x:v>
      </x:c>
      <x:c r="J24" s="61" t="s">
        <x:v>62</x:v>
      </x:c>
      <x:c r="K24" s="63">
        <x:f>K23/A25</x:f>
        <x:v>0.01365071394411423</x:v>
      </x:c>
    </x:row>
    <x:row r="25" spans="1:11" ht="34.149999999999999" customHeight="1">
      <x:c r="A25" s="202">
        <x:f>C2</x:f>
        <x:v>4182000</x:v>
      </x:c>
      <x:c r="B25" s="161"/>
      <x:c r="C25" s="161">
        <x:f>E25/I1</x:f>
        <x:v>3811925</x:v>
      </x:c>
      <x:c r="D25" s="161"/>
      <x:c r="E25" s="161">
        <x:f>SUM('1:20'!$A$25)</x:f>
        <x:v>76238500</x:v>
      </x:c>
      <x:c r="F25" s="161"/>
      <x:c r="G25" s="161"/>
      <x:c r="H25" s="109" t="s">
        <x:v>19</x:v>
      </x:c>
      <x:c r="I25" s="110">
        <x:f>SUM('1:20'!$I$21)</x:f>
        <x:v>0</x:v>
      </x:c>
      <x:c r="J25" s="61" t="s">
        <x:v>19</x:v>
      </x:c>
      <x:c r="K25" s="62">
        <x:f>SUM('1:20'!$K$21)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811285.71428571432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>
        <x:f>13000*4</x:f>
        <x:v>52000</x:v>
      </x:c>
      <x:c r="G28" s="165"/>
      <x:c r="H28" s="113" t="s">
        <x:v>62</x:v>
      </x:c>
      <x:c r="I28" s="115">
        <x:f>I27/$A$25</x:f>
        <x:v>0.19399467103914739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SUM('1:20'!$I$25)</x:f>
        <x:v>67249914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82.893008980454297</x:v>
      </x:c>
      <x:c r="M30" s="66"/>
    </x:row>
    <x:row r="31" spans="1:7" customHeight="1">
      <x:c r="A31" s="204"/>
      <x:c r="B31" s="144" t="s">
        <x:v>41</x:v>
      </x:c>
      <x:c r="C31" s="206"/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3"/>
  <x:dimension ref="A1:O34"/>
  <x:sheetViews>
    <x:sheetView topLeftCell="A25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21</x:v>
      </x:c>
      <x:c r="G1" s="68" t="s">
        <x:v>32</x:v>
      </x:c>
      <x:c r="H1" s="52" t="s">
        <x:v>107</x:v>
      </x:c>
      <x:c r="I1" s="52">
        <x:f>F1-K1</x:f>
        <x:v>21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4447500</x:v>
      </x:c>
      <x:c r="D2" s="178"/>
      <x:c r="E2" s="167" t="s">
        <x:v>7</x:v>
      </x:c>
      <x:c r="F2" s="168"/>
      <x:c r="G2" s="169">
        <x:v>150600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4112500</x:v>
      </x:c>
      <x:c r="D4" s="154"/>
      <x:c r="E4" s="173" t="s">
        <x:v>144</x:v>
      </x:c>
      <x:c r="F4" s="173"/>
      <x:c r="G4" s="136">
        <x:f>INT(C4*0.0275)</x:f>
        <x:v>113093</x:v>
      </x:c>
      <x:c r="H4" s="54" t="s">
        <x:v>44</x:v>
      </x:c>
      <x:c r="I4" s="126">
        <x:f>415500+221400+192882+177783+10+271440</x:f>
        <x:v>1279015</x:v>
      </x:c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335000</x:v>
      </x:c>
      <x:c r="D5" s="154"/>
      <x:c r="E5" s="166" t="s">
        <x:v>153</x:v>
      </x:c>
      <x:c r="F5" s="166"/>
      <x:c r="G5" s="136">
        <x:f>INT(C5*0.01)</x:f>
        <x:v>3350</x:v>
      </x:c>
      <x:c r="H5" s="54" t="s">
        <x:v>63</x:v>
      </x:c>
      <x:c r="I5" s="126">
        <x:f>5500+17800+39180+21900</x:f>
        <x:v>84380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400000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>
        <x:f>351200-15100</x:f>
        <x:v>336100</x:v>
      </x:c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85700</x:v>
      </x:c>
      <x:c r="D8" s="154"/>
      <x:c r="E8" s="150" t="s">
        <x:v>132</x:v>
      </x:c>
      <x:c r="F8" s="151"/>
      <x:c r="G8" s="190">
        <x:f>C5+G2-G6-C22</x:f>
        <x:v>85600</x:v>
      </x:c>
      <x:c r="H8" s="54" t="s">
        <x:v>15</x:v>
      </x:c>
      <x:c r="I8" s="126">
        <x:v>57000</x:v>
      </x:c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13</x:v>
      </x:c>
      <x:c r="D12" s="150" t="s">
        <x:v>104</x:v>
      </x:c>
      <x:c r="E12" s="151"/>
      <x:c r="F12" s="197">
        <x:v>16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SUM('1:21'!$C$12)</x:f>
        <x:v>266</x:v>
      </x:c>
      <x:c r="D13" s="152"/>
      <x:c r="E13" s="153"/>
      <x:c r="F13" s="195">
        <x:f>SUM('1:21'!$F$12)</x:f>
        <x:v>182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48</x:v>
      </x:c>
      <x:c r="D14" s="150" t="s">
        <x:v>87</x:v>
      </x:c>
      <x:c r="E14" s="151"/>
      <x:c r="F14" s="197">
        <x:v>20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SUM('1:21'!$C$14)</x:f>
        <x:v>876</x:v>
      </x:c>
      <x:c r="D15" s="152"/>
      <x:c r="E15" s="153"/>
      <x:c r="F15" s="195">
        <x:f>SUM('1:21'!$F$14)</x:f>
        <x:v>369</x:v>
      </x:c>
      <x:c r="G15" s="196"/>
      <x:c r="H15" s="54" t="s">
        <x:v>90</x:v>
      </x:c>
      <x:c r="I15" s="58">
        <x:f>48800+4900+5500+11800+17500+3500+12000+3900+1700</x:f>
        <x:v>109600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9</x:v>
      </x:c>
      <x:c r="D16" s="150" t="s">
        <x:v>115</x:v>
      </x:c>
      <x:c r="E16" s="151"/>
      <x:c r="F16" s="199">
        <x:v>17</x:v>
      </x:c>
      <x:c r="G16" s="199"/>
      <x:c r="H16" s="54"/>
      <x:c r="I16" s="58"/>
      <x:c r="J16" s="54" t="s">
        <x:v>81</x:v>
      </x:c>
      <x:c r="K16" s="58">
        <x:v>23934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SUM('1:21'!$C$16)</x:f>
        <x:v>151</x:v>
      </x:c>
      <x:c r="D17" s="152"/>
      <x:c r="E17" s="153"/>
      <x:c r="F17" s="164">
        <x:f>SUM('1:21'!$F$16)</x:f>
        <x:v>267</x:v>
      </x:c>
      <x:c r="G17" s="164"/>
      <x:c r="H17" s="54" t="s">
        <x:v>59</x:v>
      </x:c>
      <x:c r="I17" s="58"/>
      <x:c r="J17" s="54" t="s">
        <x:v>75</x:v>
      </x:c>
      <x:c r="K17" s="58">
        <x:v>4000</x:v>
      </x:c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27</x:v>
      </x:c>
      <x:c r="D18" s="150" t="s">
        <x:v>126</x:v>
      </x:c>
      <x:c r="E18" s="151"/>
      <x:c r="F18" s="162">
        <x:v>12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SUM('1:21'!$C$18)</x:f>
        <x:v>646</x:v>
      </x:c>
      <x:c r="D19" s="152"/>
      <x:c r="E19" s="153"/>
      <x:c r="F19" s="164">
        <x:f>SUM('1:21'!$F$18)</x:f>
        <x:v>243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65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SUM('1:21'!$F$20)</x:f>
        <x:v>1120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1866095</x:v>
      </x:c>
      <x:c r="J23" s="61" t="s">
        <x:v>102</x:v>
      </x:c>
      <x:c r="K23" s="62">
        <x:f>SUM(K4:K22)</x:f>
        <x:v>43648.28571428571</x:v>
      </x:c>
      <x:c r="M23" s="90" t="s">
        <x:v>111</x:v>
      </x:c>
      <x:c r="N23" s="155">
        <x:f>C5+C6</x:f>
        <x:v>335000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0.41958291174817314</x:v>
      </x:c>
      <x:c r="J24" s="61" t="s">
        <x:v>62</x:v>
      </x:c>
      <x:c r="K24" s="63">
        <x:f>K23/A25</x:f>
        <x:v>0.0098141170802216321</x:v>
      </x:c>
    </x:row>
    <x:row r="25" spans="1:11" ht="34.149999999999999" customHeight="1">
      <x:c r="A25" s="202">
        <x:f>C2</x:f>
        <x:v>4447500</x:v>
      </x:c>
      <x:c r="B25" s="161"/>
      <x:c r="C25" s="161">
        <x:f>E25/I1</x:f>
        <x:v>3842190.4761904762</x:v>
      </x:c>
      <x:c r="D25" s="161"/>
      <x:c r="E25" s="161">
        <x:f>SUM('1:21'!$A$25)</x:f>
        <x:v>80686000</x:v>
      </x:c>
      <x:c r="F25" s="161"/>
      <x:c r="G25" s="161"/>
      <x:c r="H25" s="109" t="s">
        <x:v>19</x:v>
      </x:c>
      <x:c r="I25" s="110">
        <x:f>SUM('1:21'!$I$21)</x:f>
        <x:v>0</x:v>
      </x:c>
      <x:c r="J25" s="61" t="s">
        <x:v>19</x:v>
      </x:c>
      <x:c r="K25" s="62">
        <x:f>SUM('1:21'!$K$21)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824285.71428571432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>
        <x:f>13000*5</x:f>
        <x:v>65000</x:v>
      </x:c>
      <x:c r="G28" s="165"/>
      <x:c r="H28" s="113" t="s">
        <x:v>62</x:v>
      </x:c>
      <x:c r="I28" s="115">
        <x:f>I27/$A$25</x:f>
        <x:v>0.1853368666184855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SUM('1:21'!$I$25)</x:f>
        <x:v>67249914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81.585684228769495</x:v>
      </x:c>
      <x:c r="M30" s="66"/>
    </x:row>
    <x:row r="31" spans="1:7" customHeight="1">
      <x:c r="A31" s="204"/>
      <x:c r="B31" s="144" t="s">
        <x:v>41</x:v>
      </x:c>
      <x:c r="C31" s="206"/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148">
        <x:f>3500000/28</x:f>
        <x:v>125000</x:v>
      </x:c>
      <x:c r="D33" s="148"/>
    </x:row>
    <x:row r="34" spans="1:4" customHeight="1">
      <x:c r="A34" s="205"/>
      <x:c r="B34" s="54"/>
      <x:c r="C34" s="210"/>
      <x:c r="D34" s="211"/>
    </x:row>
  </x:sheetData>
  <x:mergeCells count="72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4"/>
  <x:dimension ref="A1:O34"/>
  <x:sheetViews>
    <x:sheetView topLeftCell="A26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22</x:v>
      </x:c>
      <x:c r="G1" s="68" t="s">
        <x:v>30</x:v>
      </x:c>
      <x:c r="H1" s="52" t="s">
        <x:v>107</x:v>
      </x:c>
      <x:c r="I1" s="52">
        <x:f>F1-K1</x:f>
        <x:v>22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4322000</x:v>
      </x:c>
      <x:c r="D2" s="178"/>
      <x:c r="E2" s="167" t="s">
        <x:v>7</x:v>
      </x:c>
      <x:c r="F2" s="168"/>
      <x:c r="G2" s="169">
        <x:v>85700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3817750</x:v>
      </x:c>
      <x:c r="D4" s="154"/>
      <x:c r="E4" s="173" t="s">
        <x:v>144</x:v>
      </x:c>
      <x:c r="F4" s="173"/>
      <x:c r="G4" s="136">
        <x:f>INT(C4*0.0275)</x:f>
        <x:v>104988</x:v>
      </x:c>
      <x:c r="H4" s="54" t="s">
        <x:v>44</x:v>
      </x:c>
      <x:c r="I4" s="126">
        <x:f>415500+232200+371161+529308</x:f>
        <x:v>1548169</x:v>
      </x:c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504250</x:v>
      </x:c>
      <x:c r="D5" s="154"/>
      <x:c r="E5" s="166" t="s">
        <x:v>153</x:v>
      </x:c>
      <x:c r="F5" s="166"/>
      <x:c r="G5" s="136">
        <x:f>INT(C5*0.01)</x:f>
        <x:v>5042</x:v>
      </x:c>
      <x:c r="H5" s="54" t="s">
        <x:v>63</x:v>
      </x:c>
      <x:c r="I5" s="126">
        <x:f>34540+41250+59312+36080+51600+25600</x:f>
        <x:v>248382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450000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/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139950</x:v>
      </x:c>
      <x:c r="D8" s="154"/>
      <x:c r="E8" s="150" t="s">
        <x:v>132</x:v>
      </x:c>
      <x:c r="F8" s="151"/>
      <x:c r="G8" s="190">
        <x:f>C5+G2-G6-C22</x:f>
        <x:v>139950</x:v>
      </x:c>
      <x:c r="H8" s="54" t="s">
        <x:v>15</x:v>
      </x:c>
      <x:c r="I8" s="126"/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19</x:v>
      </x:c>
      <x:c r="D12" s="150" t="s">
        <x:v>104</x:v>
      </x:c>
      <x:c r="E12" s="151"/>
      <x:c r="F12" s="197">
        <x:v>2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SUM('1:22'!$C$12)</x:f>
        <x:v>285</x:v>
      </x:c>
      <x:c r="D13" s="152"/>
      <x:c r="E13" s="153"/>
      <x:c r="F13" s="195">
        <x:f>SUM('1:22'!$F$12)</x:f>
        <x:v>184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57</x:v>
      </x:c>
      <x:c r="D14" s="150" t="s">
        <x:v>87</x:v>
      </x:c>
      <x:c r="E14" s="151"/>
      <x:c r="F14" s="197">
        <x:v>31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SUM('1:22'!$C$14)</x:f>
        <x:v>933</x:v>
      </x:c>
      <x:c r="D15" s="152"/>
      <x:c r="E15" s="153"/>
      <x:c r="F15" s="195">
        <x:f>SUM('1:22'!$F$14)</x:f>
        <x:v>400</x:v>
      </x:c>
      <x:c r="G15" s="196"/>
      <x:c r="H15" s="54" t="s">
        <x:v>90</x:v>
      </x:c>
      <x:c r="I15" s="58">
        <x:f>38400+12500+13500+4000+20400+53000+58000+4900+5500+7500+20000</x:f>
        <x:v>237700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5</x:v>
      </x:c>
      <x:c r="D16" s="150" t="s">
        <x:v>115</x:v>
      </x:c>
      <x:c r="E16" s="151"/>
      <x:c r="F16" s="199">
        <x:v>18</x:v>
      </x:c>
      <x:c r="G16" s="199"/>
      <x:c r="H16" s="54"/>
      <x:c r="I16" s="58"/>
      <x:c r="J16" s="54" t="s">
        <x:v>81</x:v>
      </x:c>
      <x:c r="K16" s="58">
        <x:f>32900+14430</x:f>
        <x:v>47330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SUM('1:22'!$C$16)</x:f>
        <x:v>156</x:v>
      </x:c>
      <x:c r="D17" s="152"/>
      <x:c r="E17" s="153"/>
      <x:c r="F17" s="164">
        <x:f>SUM('1:22'!$F$16)</x:f>
        <x:v>285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40</x:v>
      </x:c>
      <x:c r="D18" s="150" t="s">
        <x:v>126</x:v>
      </x:c>
      <x:c r="E18" s="151"/>
      <x:c r="F18" s="162">
        <x:v>17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SUM('1:22'!$C$18)</x:f>
        <x:v>686</x:v>
      </x:c>
      <x:c r="D19" s="152"/>
      <x:c r="E19" s="153"/>
      <x:c r="F19" s="164">
        <x:f>SUM('1:22'!$F$18)</x:f>
        <x:v>260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38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SUM('1:22'!$F$20)</x:f>
        <x:v>1158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2034251</x:v>
      </x:c>
      <x:c r="J23" s="61" t="s">
        <x:v>102</x:v>
      </x:c>
      <x:c r="K23" s="62">
        <x:f>SUM(K4:K22)</x:f>
        <x:v>63044.28571428571</x:v>
      </x:c>
      <x:c r="M23" s="90" t="s">
        <x:v>111</x:v>
      </x:c>
      <x:c r="N23" s="155">
        <x:f>C5+C6</x:f>
        <x:v>504250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0.47067353077279039</x:v>
      </x:c>
      <x:c r="J24" s="61" t="s">
        <x:v>62</x:v>
      </x:c>
      <x:c r="K24" s="63">
        <x:f>K23/A25</x:f>
        <x:v>0.01458683149335625</x:v>
      </x:c>
    </x:row>
    <x:row r="25" spans="1:11" ht="34.149999999999999" customHeight="1">
      <x:c r="A25" s="202">
        <x:f>C2</x:f>
        <x:v>4322000</x:v>
      </x:c>
      <x:c r="B25" s="161"/>
      <x:c r="C25" s="161">
        <x:f>E25/I1</x:f>
        <x:v>3864000</x:v>
      </x:c>
      <x:c r="D25" s="161"/>
      <x:c r="E25" s="161">
        <x:f>SUM('1:22'!$A$25)</x:f>
        <x:v>85008000</x:v>
      </x:c>
      <x:c r="F25" s="161"/>
      <x:c r="G25" s="161"/>
      <x:c r="H25" s="109" t="s">
        <x:v>19</x:v>
      </x:c>
      <x:c r="I25" s="110">
        <x:f>SUM('1:22'!$I$21)</x:f>
        <x:v>0</x:v>
      </x:c>
      <x:c r="J25" s="61" t="s">
        <x:v>19</x:v>
      </x:c>
      <x:c r="K25" s="62">
        <x:f>SUM('1:22'!$K$21)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832285.71428571432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/>
      <x:c r="G28" s="165"/>
      <x:c r="H28" s="113" t="s">
        <x:v>62</x:v>
      </x:c>
      <x:c r="I28" s="115">
        <x:f>I27/$A$25</x:f>
        <x:v>0.19256957757651882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SUM('1:22'!$I$25)</x:f>
        <x:v>67249914</x:v>
      </x:c>
      <x:c r="M29" s="66"/>
    </x:row>
    <x:row r="30" spans="1:13" ht="30.949999999999999" customHeight="1">
      <x:c r="A30" s="204"/>
      <x:c r="B30" s="55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130000</x:v>
      </x:c>
      <x:c r="G30" s="211"/>
      <x:c r="H30" s="113" t="s">
        <x:v>114</x:v>
      </x:c>
      <x:c r="I30" s="115">
        <x:f>I29/$I$27</x:f>
        <x:v>80.801475798146242</x:v>
      </x:c>
      <x:c r="M30" s="66"/>
    </x:row>
    <x:row r="31" spans="1:7" customHeight="1">
      <x:c r="A31" s="204"/>
      <x:c r="B31" s="144" t="s">
        <x:v>41</x:v>
      </x:c>
      <x:c r="C31" s="206">
        <x:f>14000*4.5</x:f>
        <x:v>63000</x:v>
      </x:c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J2:K2"/>
    <x:mergeCell ref="H2:I2"/>
    <x:mergeCell ref="D16:E17"/>
    <x:mergeCell ref="A27:A34"/>
    <x:mergeCell ref="C32:D32"/>
    <x:mergeCell ref="C33:D33"/>
    <x:mergeCell ref="C34:D34"/>
    <x:mergeCell ref="C31:D31"/>
    <x:mergeCell ref="F31:G31"/>
    <x:mergeCell ref="D20:E20"/>
    <x:mergeCell ref="F20:G20"/>
    <x:mergeCell ref="D21:E21"/>
    <x:mergeCell ref="F21:G21"/>
    <x:mergeCell ref="C28:D28"/>
    <x:mergeCell ref="F28:G28"/>
    <x:mergeCell ref="F30:G30"/>
    <x:mergeCell ref="C29:D29"/>
    <x:mergeCell ref="F29:G29"/>
    <x:mergeCell ref="C30:D30"/>
    <x:mergeCell ref="N23:O23"/>
    <x:mergeCell ref="G6:G7"/>
    <x:mergeCell ref="G8:G9"/>
    <x:mergeCell ref="C26:D26"/>
    <x:mergeCell ref="E26:G26"/>
    <x:mergeCell ref="F13:G13"/>
    <x:mergeCell ref="F18:G18"/>
    <x:mergeCell ref="F19:G19"/>
    <x:mergeCell ref="D18:E19"/>
    <x:mergeCell ref="A5:B5"/>
    <x:mergeCell ref="C5:D5"/>
    <x:mergeCell ref="E5:F5"/>
    <x:mergeCell ref="E2:F3"/>
    <x:mergeCell ref="G2:G3"/>
    <x:mergeCell ref="A4:B4"/>
    <x:mergeCell ref="C4:D4"/>
    <x:mergeCell ref="E4:F4"/>
    <x:mergeCell ref="A2:B3"/>
    <x:mergeCell ref="C2:D3"/>
    <x:mergeCell ref="A6:B7"/>
    <x:mergeCell ref="A11:B11"/>
    <x:mergeCell ref="C11:G11"/>
    <x:mergeCell ref="B12:B13"/>
    <x:mergeCell ref="B14:B15"/>
    <x:mergeCell ref="F12:G12"/>
    <x:mergeCell ref="D12:E13"/>
    <x:mergeCell ref="A10:B10"/>
    <x:mergeCell ref="C10:D10"/>
    <x:mergeCell ref="E10:F10"/>
    <x:mergeCell ref="A8:B9"/>
    <x:mergeCell ref="C8:D9"/>
    <x:mergeCell ref="F14:G14"/>
    <x:mergeCell ref="C6:D7"/>
    <x:mergeCell ref="E6:F7"/>
    <x:mergeCell ref="E8:F9"/>
    <x:mergeCell ref="B16:B17"/>
    <x:mergeCell ref="F15:G15"/>
    <x:mergeCell ref="A23:B23"/>
    <x:mergeCell ref="C23:G23"/>
    <x:mergeCell ref="F16:G16"/>
    <x:mergeCell ref="D14:E15"/>
    <x:mergeCell ref="F17:G17"/>
    <x:mergeCell ref="B18:B19"/>
    <x:mergeCell ref="A24:B24"/>
    <x:mergeCell ref="C24:D24"/>
    <x:mergeCell ref="E24:G24"/>
    <x:mergeCell ref="A22:B22"/>
    <x:mergeCell ref="C22:G22"/>
    <x:mergeCell ref="A25:B25"/>
    <x:mergeCell ref="C25:D25"/>
    <x:mergeCell ref="E25:G25"/>
    <x:mergeCell ref="A26:B26"/>
    <x:mergeCell ref="F27:G27"/>
    <x:mergeCell ref="C27:D2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5"/>
  <x:dimension ref="A1:O34"/>
  <x:sheetViews>
    <x:sheetView topLeftCell="A1" zoomScale="90" zoomScaleNormal="90" zoomScaleSheetLayoutView="75" workbookViewId="0">
      <x:selection activeCell="I10" activeCellId="0" sqref="I10:I10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" width="8.625" style="53"/>
    <x:col min="17" max="17" width="8.625" style="53" bestFit="1" customWidth="1"/>
    <x:col min="18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23</x:v>
      </x:c>
      <x:c r="G1" s="68" t="s">
        <x:v>47</x:v>
      </x:c>
      <x:c r="H1" s="52" t="s">
        <x:v>107</x:v>
      </x:c>
      <x:c r="I1" s="52">
        <x:f>F1-K1</x:f>
        <x:v>23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4215500</x:v>
      </x:c>
      <x:c r="D2" s="178"/>
      <x:c r="E2" s="167" t="s">
        <x:v>7</x:v>
      </x:c>
      <x:c r="F2" s="168"/>
      <x:c r="G2" s="169">
        <x:v>139950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3425500</x:v>
      </x:c>
      <x:c r="D4" s="154"/>
      <x:c r="E4" s="173" t="s">
        <x:v>144</x:v>
      </x:c>
      <x:c r="F4" s="173"/>
      <x:c r="G4" s="136">
        <x:f>INT(C4*0.0275)</x:f>
        <x:v>94201</x:v>
      </x:c>
      <x:c r="H4" s="54" t="s">
        <x:v>44</x:v>
      </x:c>
      <x:c r="I4" s="126"/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790000</x:v>
      </x:c>
      <x:c r="D5" s="154"/>
      <x:c r="E5" s="166" t="s">
        <x:v>153</x:v>
      </x:c>
      <x:c r="F5" s="166"/>
      <x:c r="G5" s="136">
        <x:v>0</x:v>
      </x:c>
      <x:c r="H5" s="54" t="s">
        <x:v>63</x:v>
      </x:c>
      <x:c r="I5" s="126"/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770000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/>
      <x:c r="J7" s="83" t="s">
        <x:v>122</x:v>
      </x:c>
      <x:c r="K7" s="58">
        <x:v>12500</x:v>
      </x:c>
    </x:row>
    <x:row r="8" spans="1:11" ht="21.949999999999999" customHeight="1">
      <x:c r="A8" s="179" t="s">
        <x:v>112</x:v>
      </x:c>
      <x:c r="B8" s="166"/>
      <x:c r="C8" s="154">
        <x:v>159950</x:v>
      </x:c>
      <x:c r="D8" s="154"/>
      <x:c r="E8" s="150" t="s">
        <x:v>132</x:v>
      </x:c>
      <x:c r="F8" s="151"/>
      <x:c r="G8" s="190">
        <x:f>C5+G2-G6-C22</x:f>
        <x:v>159950</x:v>
      </x:c>
      <x:c r="H8" s="54" t="s">
        <x:v>15</x:v>
      </x:c>
      <x:c r="I8" s="126"/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19</x:v>
      </x:c>
      <x:c r="D12" s="150" t="s">
        <x:v>104</x:v>
      </x:c>
      <x:c r="E12" s="151"/>
      <x:c r="F12" s="197">
        <x:v>4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SUM('1:23'!$C$12)</x:f>
        <x:v>304</x:v>
      </x:c>
      <x:c r="D13" s="152"/>
      <x:c r="E13" s="153"/>
      <x:c r="F13" s="195">
        <x:f>SUM('1:23'!$F$12)</x:f>
        <x:v>188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66</x:v>
      </x:c>
      <x:c r="D14" s="150" t="s">
        <x:v>87</x:v>
      </x:c>
      <x:c r="E14" s="151"/>
      <x:c r="F14" s="197">
        <x:v>22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SUM('1:23'!$C$14)</x:f>
        <x:v>999</x:v>
      </x:c>
      <x:c r="D15" s="152"/>
      <x:c r="E15" s="153"/>
      <x:c r="F15" s="195">
        <x:f>SUM('1:23'!$F$14)</x:f>
        <x:v>422</x:v>
      </x:c>
      <x:c r="G15" s="196"/>
      <x:c r="H15" s="54" t="s">
        <x:v>90</x:v>
      </x:c>
      <x:c r="I15" s="58"/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7</x:v>
      </x:c>
      <x:c r="D16" s="150" t="s">
        <x:v>115</x:v>
      </x:c>
      <x:c r="E16" s="151"/>
      <x:c r="F16" s="199">
        <x:v>24</x:v>
      </x:c>
      <x:c r="G16" s="199"/>
      <x:c r="H16" s="54"/>
      <x:c r="I16" s="58"/>
      <x:c r="J16" s="54" t="s">
        <x:v>81</x:v>
      </x:c>
      <x:c r="K16" s="58"/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SUM('1:23'!$C$16)</x:f>
        <x:v>163</x:v>
      </x:c>
      <x:c r="D17" s="152"/>
      <x:c r="E17" s="153"/>
      <x:c r="F17" s="164">
        <x:f>SUM('1:23'!$F$16)</x:f>
        <x:v>309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23</x:v>
      </x:c>
      <x:c r="D18" s="150" t="s">
        <x:v>126</x:v>
      </x:c>
      <x:c r="E18" s="151"/>
      <x:c r="F18" s="162">
        <x:v>18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SUM('1:23'!$C$18)</x:f>
        <x:v>709</x:v>
      </x:c>
      <x:c r="D19" s="152"/>
      <x:c r="E19" s="153"/>
      <x:c r="F19" s="164">
        <x:f>SUM('1:23'!$F$18)</x:f>
        <x:v>278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61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SUM('1:23'!$F$20)</x:f>
        <x:v>1219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0</x:v>
      </x:c>
      <x:c r="J23" s="61" t="s">
        <x:v>102</x:v>
      </x:c>
      <x:c r="K23" s="62">
        <x:f>SUM(K4:K22)</x:f>
        <x:v>28214.285714285714</x:v>
      </x:c>
      <x:c r="M23" s="90" t="s">
        <x:v>111</x:v>
      </x:c>
      <x:c r="N23" s="155">
        <x:f>C5+C6</x:f>
        <x:v>790000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</x:v>
      </x:c>
      <x:c r="J24" s="61" t="s">
        <x:v>62</x:v>
      </x:c>
      <x:c r="K24" s="63">
        <x:f>K23/A25</x:f>
        <x:v>0.0066929867665248997</x:v>
      </x:c>
    </x:row>
    <x:row r="25" spans="1:11" ht="34.149999999999999" customHeight="1">
      <x:c r="A25" s="202">
        <x:f>C2</x:f>
        <x:v>4215500</x:v>
      </x:c>
      <x:c r="B25" s="161"/>
      <x:c r="C25" s="161">
        <x:f>E25/I1</x:f>
        <x:v>3879282.6086956523</x:v>
      </x:c>
      <x:c r="D25" s="161"/>
      <x:c r="E25" s="161">
        <x:f>SUM('1:23'!$A$25)</x:f>
        <x:v>89223500</x:v>
      </x:c>
      <x:c r="F25" s="161"/>
      <x:c r="G25" s="161"/>
      <x:c r="H25" s="109" t="s">
        <x:v>19</x:v>
      </x:c>
      <x:c r="I25" s="110">
        <x:f>SUM('1:23'!$I$21)</x:f>
        <x:v>0</x:v>
      </x:c>
      <x:c r="J25" s="61" t="s">
        <x:v>19</x:v>
      </x:c>
      <x:c r="K25" s="62">
        <x:f>SUM('1:23'!$K$21)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839285.71428571432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/>
      <x:c r="G28" s="165"/>
      <x:c r="H28" s="113" t="s">
        <x:v>62</x:v>
      </x:c>
      <x:c r="I28" s="115">
        <x:f>I27/$A$25</x:f>
        <x:v>0.19909517596624701</x:v>
      </x:c>
      <x:c r="M28" s="66" t="s">
        <x:v>57</x:v>
      </x:c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SUM('1:23'!$I$25)</x:f>
        <x:v>67249914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130000</x:v>
      </x:c>
      <x:c r="G30" s="211"/>
      <x:c r="H30" s="113" t="s">
        <x:v>114</x:v>
      </x:c>
      <x:c r="I30" s="115">
        <x:f>I29/$I$27</x:f>
        <x:v>80.12755710638298</x:v>
      </x:c>
      <x:c r="M30" s="66"/>
    </x:row>
    <x:row r="31" spans="1:7" customHeight="1">
      <x:c r="A31" s="204"/>
      <x:c r="B31" s="144" t="s">
        <x:v>41</x:v>
      </x:c>
      <x:c r="C31" s="206">
        <x:f>14000*5</x:f>
        <x:v>70000</x:v>
      </x:c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6"/>
  <x:dimension ref="A1:O34"/>
  <x:sheetViews>
    <x:sheetView topLeftCell="A19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24</x:v>
      </x:c>
      <x:c r="G1" s="68" t="s">
        <x:v>1</x:v>
      </x:c>
      <x:c r="H1" s="52" t="s">
        <x:v>107</x:v>
      </x:c>
      <x:c r="I1" s="52">
        <x:f>F1-K1</x:f>
        <x:v>24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3703500</x:v>
      </x:c>
      <x:c r="D2" s="178"/>
      <x:c r="E2" s="167" t="s">
        <x:v>7</x:v>
      </x:c>
      <x:c r="F2" s="168"/>
      <x:c r="G2" s="169">
        <x:v>159950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3098500</x:v>
      </x:c>
      <x:c r="D4" s="154"/>
      <x:c r="E4" s="173" t="s">
        <x:v>144</x:v>
      </x:c>
      <x:c r="F4" s="173"/>
      <x:c r="G4" s="136">
        <x:f>INT(C4*0.0275)</x:f>
        <x:v>85208</x:v>
      </x:c>
      <x:c r="H4" s="54" t="s">
        <x:v>44</x:v>
      </x:c>
      <x:c r="I4" s="126">
        <x:f>415500+172800+185318+264654</x:f>
        <x:v>1038272</x:v>
      </x:c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605000</x:v>
      </x:c>
      <x:c r="D5" s="154"/>
      <x:c r="E5" s="166" t="s">
        <x:v>153</x:v>
      </x:c>
      <x:c r="F5" s="166"/>
      <x:c r="G5" s="136">
        <x:f>INT(C5*0.01)</x:f>
        <x:v>6050</x:v>
      </x:c>
      <x:c r="H5" s="54" t="s">
        <x:v>63</x:v>
      </x:c>
      <x:c r="I5" s="126">
        <x:f>38940+29656+36080+21900+9150+13720+51600+25600+11000+154350</x:f>
        <x:v>391996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610000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>
        <x:f>168500-34400</x:f>
        <x:v>134100</x:v>
      </x:c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154950</x:v>
      </x:c>
      <x:c r="D8" s="154"/>
      <x:c r="E8" s="150" t="s">
        <x:v>132</x:v>
      </x:c>
      <x:c r="F8" s="151"/>
      <x:c r="G8" s="190">
        <x:f>C5+G2-G6-C22</x:f>
        <x:v>154950</x:v>
      </x:c>
      <x:c r="H8" s="54" t="s">
        <x:v>15</x:v>
      </x:c>
      <x:c r="I8" s="126">
        <x:v>57000</x:v>
      </x:c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18</x:v>
      </x:c>
      <x:c r="D12" s="150" t="s">
        <x:v>104</x:v>
      </x:c>
      <x:c r="E12" s="151"/>
      <x:c r="F12" s="197">
        <x:v>16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SUM('1:24'!$C$12)</x:f>
        <x:v>322</x:v>
      </x:c>
      <x:c r="D13" s="152"/>
      <x:c r="E13" s="153"/>
      <x:c r="F13" s="195">
        <x:f>SUM('1:24'!$F$12)</x:f>
        <x:v>204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28</x:v>
      </x:c>
      <x:c r="D14" s="150" t="s">
        <x:v>87</x:v>
      </x:c>
      <x:c r="E14" s="151"/>
      <x:c r="F14" s="197">
        <x:v>10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SUM('1:24'!$C$14)</x:f>
        <x:v>1027</x:v>
      </x:c>
      <x:c r="D15" s="152"/>
      <x:c r="E15" s="153"/>
      <x:c r="F15" s="195">
        <x:f>SUM('1:24'!$F$14)</x:f>
        <x:v>432</x:v>
      </x:c>
      <x:c r="G15" s="196"/>
      <x:c r="H15" s="54" t="s">
        <x:v>90</x:v>
      </x:c>
      <x:c r="I15" s="58">
        <x:f>5500+11800+3200+9600+19200</x:f>
        <x:v>49300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3</x:v>
      </x:c>
      <x:c r="D16" s="150" t="s">
        <x:v>115</x:v>
      </x:c>
      <x:c r="E16" s="151"/>
      <x:c r="F16" s="199">
        <x:v>11</x:v>
      </x:c>
      <x:c r="G16" s="199"/>
      <x:c r="H16" s="54"/>
      <x:c r="I16" s="58"/>
      <x:c r="J16" s="54" t="s">
        <x:v>81</x:v>
      </x:c>
      <x:c r="K16" s="58">
        <x:v>22800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SUM('1:24'!$C$16)</x:f>
        <x:v>166</x:v>
      </x:c>
      <x:c r="D17" s="152"/>
      <x:c r="E17" s="153"/>
      <x:c r="F17" s="164">
        <x:f>SUM('1:24'!$F$16)</x:f>
        <x:v>320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25</x:v>
      </x:c>
      <x:c r="D18" s="150" t="s">
        <x:v>126</x:v>
      </x:c>
      <x:c r="E18" s="151"/>
      <x:c r="F18" s="162">
        <x:v>22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SUM('1:24'!$C$18)</x:f>
        <x:v>734</x:v>
      </x:c>
      <x:c r="D19" s="152"/>
      <x:c r="E19" s="153"/>
      <x:c r="F19" s="164">
        <x:f>SUM('1:24'!$F$18)</x:f>
        <x:v>300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56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SUM('1:24'!$F$20)</x:f>
        <x:v>1275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1670668</x:v>
      </x:c>
      <x:c r="J23" s="61" t="s">
        <x:v>102</x:v>
      </x:c>
      <x:c r="K23" s="62">
        <x:f>SUM(K4:K22)</x:f>
        <x:v>38514.28571428571</x:v>
      </x:c>
      <x:c r="M23" s="90" t="s">
        <x:v>111</x:v>
      </x:c>
      <x:c r="N23" s="155">
        <x:f>C5+C6</x:f>
        <x:v>605000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0.45110517078439316</x:v>
      </x:c>
      <x:c r="J24" s="61" t="s">
        <x:v>62</x:v>
      </x:c>
      <x:c r="K24" s="63">
        <x:f>K23/A25</x:f>
        <x:v>0.010399429111458271</x:v>
      </x:c>
    </x:row>
    <x:row r="25" spans="1:11" ht="34.149999999999999" customHeight="1">
      <x:c r="A25" s="202">
        <x:f>C2</x:f>
        <x:v>3703500</x:v>
      </x:c>
      <x:c r="B25" s="161"/>
      <x:c r="C25" s="161">
        <x:f>E25/I1</x:f>
        <x:v>3871958.3333333335</x:v>
      </x:c>
      <x:c r="D25" s="161"/>
      <x:c r="E25" s="161">
        <x:f>SUM('1:24'!$A$25)</x:f>
        <x:v>92927000</x:v>
      </x:c>
      <x:c r="F25" s="161"/>
      <x:c r="G25" s="161"/>
      <x:c r="H25" s="109" t="s">
        <x:v>19</x:v>
      </x:c>
      <x:c r="I25" s="110">
        <x:f>SUM('1:24'!$I$21)</x:f>
        <x:v>0</x:v>
      </x:c>
      <x:c r="J25" s="61" t="s">
        <x:v>19</x:v>
      </x:c>
      <x:c r="K25" s="62">
        <x:f>SUM('1:24'!$K$21)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834285.71428571432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>
        <x:f>13000*5</x:f>
        <x:v>65000</x:v>
      </x:c>
      <x:c r="G28" s="165"/>
      <x:c r="H28" s="113" t="s">
        <x:v>62</x:v>
      </x:c>
      <x:c r="I28" s="115">
        <x:f>I27/$A$25</x:f>
        <x:v>0.22526953268144034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SUM('1:24'!$I$25)</x:f>
        <x:v>67249914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130000</x:v>
      </x:c>
      <x:c r="G30" s="211"/>
      <x:c r="H30" s="113" t="s">
        <x:v>114</x:v>
      </x:c>
      <x:c r="I30" s="115">
        <x:f>I29/$I$27</x:f>
        <x:v>80.60777363013699</x:v>
      </x:c>
      <x:c r="M30" s="66"/>
    </x:row>
    <x:row r="31" spans="1:7" customHeight="1">
      <x:c r="A31" s="204"/>
      <x:c r="B31" s="144" t="s">
        <x:v>41</x:v>
      </x:c>
      <x:c r="C31" s="206"/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7"/>
  <x:dimension ref="A1:O34"/>
  <x:sheetViews>
    <x:sheetView topLeftCell="A16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25</x:v>
      </x:c>
      <x:c r="G1" s="68" t="s">
        <x:v>50</x:v>
      </x:c>
      <x:c r="H1" s="52" t="s">
        <x:v>107</x:v>
      </x:c>
      <x:c r="I1" s="52">
        <x:f>F1-K1</x:f>
        <x:v>25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3970500</x:v>
      </x:c>
      <x:c r="D2" s="178"/>
      <x:c r="E2" s="167" t="s">
        <x:v>7</x:v>
      </x:c>
      <x:c r="F2" s="168"/>
      <x:c r="G2" s="169">
        <x:v>154950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3781500</x:v>
      </x:c>
      <x:c r="D4" s="154"/>
      <x:c r="E4" s="173" t="s">
        <x:v>144</x:v>
      </x:c>
      <x:c r="F4" s="173"/>
      <x:c r="G4" s="136">
        <x:f>INT(C4*0.0275)</x:f>
        <x:v>103991</x:v>
      </x:c>
      <x:c r="H4" s="54" t="s">
        <x:v>44</x:v>
      </x:c>
      <x:c r="I4" s="126">
        <x:f>415500+162000+202735+285012+445200</x:f>
        <x:v>1510447</x:v>
      </x:c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189000</x:v>
      </x:c>
      <x:c r="D5" s="154"/>
      <x:c r="E5" s="166" t="s">
        <x:v>153</x:v>
      </x:c>
      <x:c r="F5" s="166"/>
      <x:c r="G5" s="136">
        <x:f>INT(C5*0.01)</x:f>
        <x:v>1890</x:v>
      </x:c>
      <x:c r="H5" s="54" t="s">
        <x:v>63</x:v>
      </x:c>
      <x:c r="I5" s="126">
        <x:f>51600+25600</x:f>
        <x:v>77200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230000</x:v>
      </x:c>
      <x:c r="H6" s="54"/>
      <x:c r="I6" s="126"/>
      <x:c r="J6" s="83" t="s">
        <x:v>118</x:v>
      </x:c>
      <x:c r="K6" s="58">
        <x:v>84000</x:v>
      </x:c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>
        <x:f>128600-14700</x:f>
        <x:v>113900</x:v>
      </x:c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113950</x:v>
      </x:c>
      <x:c r="D8" s="154"/>
      <x:c r="E8" s="150" t="s">
        <x:v>132</x:v>
      </x:c>
      <x:c r="F8" s="151"/>
      <x:c r="G8" s="190">
        <x:f>C5+G2-G6-C22</x:f>
        <x:v>113950</x:v>
      </x:c>
      <x:c r="H8" s="54" t="s">
        <x:v>15</x:v>
      </x:c>
      <x:c r="I8" s="126"/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7</x:v>
      </x:c>
      <x:c r="D12" s="150" t="s">
        <x:v>104</x:v>
      </x:c>
      <x:c r="E12" s="151"/>
      <x:c r="F12" s="197">
        <x:v>5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SUM('1:25'!$C$12)</x:f>
        <x:v>329</x:v>
      </x:c>
      <x:c r="D13" s="152"/>
      <x:c r="E13" s="153"/>
      <x:c r="F13" s="195">
        <x:f>SUM('1:25'!$F$12)</x:f>
        <x:v>209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23</x:v>
      </x:c>
      <x:c r="D14" s="150" t="s">
        <x:v>87</x:v>
      </x:c>
      <x:c r="E14" s="151"/>
      <x:c r="F14" s="197">
        <x:v>23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SUM('1:25'!$C$14)</x:f>
        <x:v>1050</x:v>
      </x:c>
      <x:c r="D15" s="152"/>
      <x:c r="E15" s="153"/>
      <x:c r="F15" s="195">
        <x:f>SUM('1:25'!$F$14)</x:f>
        <x:v>455</x:v>
      </x:c>
      <x:c r="G15" s="196"/>
      <x:c r="H15" s="54" t="s">
        <x:v>90</x:v>
      </x:c>
      <x:c r="I15" s="58">
        <x:f>5500+4900+19200+29000+13600+7500+13500+3500+5500+52000+2200</x:f>
        <x:v>156400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4</x:v>
      </x:c>
      <x:c r="D16" s="150" t="s">
        <x:v>115</x:v>
      </x:c>
      <x:c r="E16" s="151"/>
      <x:c r="F16" s="199">
        <x:v>16</x:v>
      </x:c>
      <x:c r="G16" s="199"/>
      <x:c r="H16" s="54"/>
      <x:c r="I16" s="58"/>
      <x:c r="J16" s="54" t="s">
        <x:v>81</x:v>
      </x:c>
      <x:c r="K16" s="58">
        <x:f>32900+102397</x:f>
        <x:v>135297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SUM('1:25'!$C$16)</x:f>
        <x:v>170</x:v>
      </x:c>
      <x:c r="D17" s="152"/>
      <x:c r="E17" s="153"/>
      <x:c r="F17" s="164">
        <x:f>SUM('1:25'!$F$16)</x:f>
        <x:v>336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21</x:v>
      </x:c>
      <x:c r="D18" s="150" t="s">
        <x:v>126</x:v>
      </x:c>
      <x:c r="E18" s="151"/>
      <x:c r="F18" s="162">
        <x:v>16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SUM('1:25'!$C$18)</x:f>
        <x:v>755</x:v>
      </x:c>
      <x:c r="D19" s="152"/>
      <x:c r="E19" s="153"/>
      <x:c r="F19" s="164">
        <x:f>SUM('1:25'!$F$18)</x:f>
        <x:v>316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64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SUM('1:25'!$F$20)</x:f>
        <x:v>1339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1857947</x:v>
      </x:c>
      <x:c r="J23" s="61" t="s">
        <x:v>102</x:v>
      </x:c>
      <x:c r="K23" s="62">
        <x:f>SUM(K4:K22)</x:f>
        <x:v>235011.28571428571</x:v>
      </x:c>
      <x:c r="M23" s="90" t="s">
        <x:v>111</x:v>
      </x:c>
      <x:c r="N23" s="155">
        <x:f>C5+C6</x:f>
        <x:v>189000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0.46793779121017504</x:v>
      </x:c>
      <x:c r="J24" s="61" t="s">
        <x:v>62</x:v>
      </x:c>
      <x:c r="K24" s="63">
        <x:f>K23/A25</x:f>
        <x:v>0.059189342831957113</x:v>
      </x:c>
    </x:row>
    <x:row r="25" spans="1:11" ht="34.149999999999999" customHeight="1">
      <x:c r="A25" s="202">
        <x:f>C2</x:f>
        <x:v>3970500</x:v>
      </x:c>
      <x:c r="B25" s="161"/>
      <x:c r="C25" s="161">
        <x:f>E25/I1</x:f>
        <x:v>3875900</x:v>
      </x:c>
      <x:c r="D25" s="161"/>
      <x:c r="E25" s="161">
        <x:f>SUM('1:25'!$A$25)</x:f>
        <x:v>96897500</x:v>
      </x:c>
      <x:c r="F25" s="161"/>
      <x:c r="G25" s="161"/>
      <x:c r="H25" s="109" t="s">
        <x:v>19</x:v>
      </x:c>
      <x:c r="I25" s="110">
        <x:f>SUM('1:25'!$I$21)</x:f>
        <x:v>0</x:v>
      </x:c>
      <x:c r="J25" s="61" t="s">
        <x:v>19</x:v>
      </x:c>
      <x:c r="K25" s="62">
        <x:f>SUM('1:25'!$K$21)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759285.71428571432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/>
      <x:c r="G28" s="165"/>
      <x:c r="H28" s="113" t="s">
        <x:v>62</x:v>
      </x:c>
      <x:c r="I28" s="115">
        <x:f>I27/$A$25</x:f>
        <x:v>0.19123176282224261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SUM('1:25'!$I$25)</x:f>
        <x:v>67249914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88.569971401693323</x:v>
      </x:c>
      <x:c r="M30" s="66"/>
    </x:row>
    <x:row r="31" spans="1:7" customHeight="1">
      <x:c r="A31" s="204"/>
      <x:c r="B31" s="144" t="s">
        <x:v>41</x:v>
      </x:c>
      <x:c r="C31" s="206"/>
      <x:c r="D31" s="207"/>
      <x:c r="E31" s="54" t="s">
        <x:v>103</x:v>
      </x:c>
      <x:c r="F31" s="154">
        <x:v>132000</x:v>
      </x:c>
      <x:c r="G31" s="154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8"/>
  <x:dimension ref="A1:O34"/>
  <x:sheetViews>
    <x:sheetView topLeftCell="A16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1.75" style="53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26</x:v>
      </x:c>
      <x:c r="G1" s="68" t="s">
        <x:v>39</x:v>
      </x:c>
      <x:c r="H1" s="52" t="s">
        <x:v>107</x:v>
      </x:c>
      <x:c r="I1" s="52">
        <x:f>F1-K1</x:f>
        <x:v>26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4284000</x:v>
      </x:c>
      <x:c r="D2" s="178"/>
      <x:c r="E2" s="167" t="s">
        <x:v>7</x:v>
      </x:c>
      <x:c r="F2" s="168"/>
      <x:c r="G2" s="169">
        <x:v>113950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4130000</x:v>
      </x:c>
      <x:c r="D4" s="154"/>
      <x:c r="E4" s="173" t="s">
        <x:v>144</x:v>
      </x:c>
      <x:c r="F4" s="173"/>
      <x:c r="G4" s="136">
        <x:f>INT(C4*0.0275)</x:f>
        <x:v>113575</x:v>
      </x:c>
      <x:c r="H4" s="54" t="s">
        <x:v>44</x:v>
      </x:c>
      <x:c r="I4" s="126">
        <x:v>177754</x:v>
      </x:c>
      <x:c r="J4" s="83" t="s">
        <x:v>18</x:v>
      </x:c>
      <x:c r="K4" s="58">
        <x:v>860000</x:v>
      </x:c>
    </x:row>
    <x:row r="5" spans="1:11" ht="30.949999999999999" customHeight="1">
      <x:c r="A5" s="171" t="s">
        <x:v>52</x:v>
      </x:c>
      <x:c r="B5" s="172"/>
      <x:c r="C5" s="154">
        <x:v>154000</x:v>
      </x:c>
      <x:c r="D5" s="154"/>
      <x:c r="E5" s="166" t="s">
        <x:v>153</x:v>
      </x:c>
      <x:c r="F5" s="166"/>
      <x:c r="G5" s="136">
        <x:f>INT(C5*0.01)</x:f>
        <x:v>1540</x:v>
      </x:c>
      <x:c r="H5" s="54" t="s">
        <x:v>63</x:v>
      </x:c>
      <x:c r="I5" s="126">
        <x:f>10+59312+21900+29100</x:f>
        <x:v>110322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140000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>
        <x:f>96300-10100</x:f>
        <x:v>86200</x:v>
      </x:c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127950</x:v>
      </x:c>
      <x:c r="D8" s="154"/>
      <x:c r="E8" s="150" t="s">
        <x:v>132</x:v>
      </x:c>
      <x:c r="F8" s="151"/>
      <x:c r="G8" s="190">
        <x:f>C5+G2-G6-C22</x:f>
        <x:v>127950</x:v>
      </x:c>
      <x:c r="H8" s="54" t="s">
        <x:v>15</x:v>
      </x:c>
      <x:c r="I8" s="126">
        <x:v>57000</x:v>
      </x:c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6</x:v>
      </x:c>
      <x:c r="D12" s="150" t="s">
        <x:v>104</x:v>
      </x:c>
      <x:c r="E12" s="151"/>
      <x:c r="F12" s="197">
        <x:v>14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SUM('1:26'!$C$12)</x:f>
        <x:v>335</x:v>
      </x:c>
      <x:c r="D13" s="152"/>
      <x:c r="E13" s="153"/>
      <x:c r="F13" s="195">
        <x:f>SUM('1:26'!$F$12)</x:f>
        <x:v>223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45</x:v>
      </x:c>
      <x:c r="D14" s="150" t="s">
        <x:v>87</x:v>
      </x:c>
      <x:c r="E14" s="151"/>
      <x:c r="F14" s="197">
        <x:v>7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SUM('1:26'!$C$14)</x:f>
        <x:v>1095</x:v>
      </x:c>
      <x:c r="D15" s="152"/>
      <x:c r="E15" s="153"/>
      <x:c r="F15" s="195">
        <x:f>SUM('1:26'!$F$14)</x:f>
        <x:v>462</x:v>
      </x:c>
      <x:c r="G15" s="196"/>
      <x:c r="H15" s="54" t="s">
        <x:v>90</x:v>
      </x:c>
      <x:c r="I15" s="58">
        <x:f>52200+11800+6600+3200+19200+18900</x:f>
        <x:v>111900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5</x:v>
      </x:c>
      <x:c r="D16" s="150" t="s">
        <x:v>115</x:v>
      </x:c>
      <x:c r="E16" s="151"/>
      <x:c r="F16" s="199">
        <x:v>14</x:v>
      </x:c>
      <x:c r="G16" s="199"/>
      <x:c r="H16" s="54"/>
      <x:c r="I16" s="58"/>
      <x:c r="J16" s="54" t="s">
        <x:v>81</x:v>
      </x:c>
      <x:c r="K16" s="58">
        <x:v>144734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SUM('1:26'!$C$16)</x:f>
        <x:v>175</x:v>
      </x:c>
      <x:c r="D17" s="152"/>
      <x:c r="E17" s="153"/>
      <x:c r="F17" s="164">
        <x:f>SUM('1:26'!$F$16)</x:f>
        <x:v>350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41</x:v>
      </x:c>
      <x:c r="D18" s="150" t="s">
        <x:v>126</x:v>
      </x:c>
      <x:c r="E18" s="151"/>
      <x:c r="F18" s="162">
        <x:v>5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SUM('1:26'!$C$18)</x:f>
        <x:v>796</x:v>
      </x:c>
      <x:c r="D19" s="152"/>
      <x:c r="E19" s="153"/>
      <x:c r="F19" s="164">
        <x:f>SUM('1:26'!$F$18)</x:f>
        <x:v>321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60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SUM('1:26'!$F$20)</x:f>
        <x:v>1399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543176</x:v>
      </x:c>
      <x:c r="J23" s="61" t="s">
        <x:v>102</x:v>
      </x:c>
      <x:c r="K23" s="62">
        <x:f>SUM(K4:K22)</x:f>
        <x:v>1020448.2857142857</x:v>
      </x:c>
      <x:c r="M23" s="90" t="s">
        <x:v>111</x:v>
      </x:c>
      <x:c r="N23" s="155">
        <x:f>C5+C6</x:f>
        <x:v>154000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0.12679178338001867</x:v>
      </x:c>
      <x:c r="J24" s="61" t="s">
        <x:v>62</x:v>
      </x:c>
      <x:c r="K24" s="63">
        <x:f>K23/A25</x:f>
        <x:v>0.23819987995198078</x:v>
      </x:c>
    </x:row>
    <x:row r="25" spans="1:11" ht="34.149999999999999" customHeight="1">
      <x:c r="A25" s="202">
        <x:f>C2</x:f>
        <x:v>4284000</x:v>
      </x:c>
      <x:c r="B25" s="161"/>
      <x:c r="C25" s="161">
        <x:f>E25/I1</x:f>
        <x:v>3891596.153846154</x:v>
      </x:c>
      <x:c r="D25" s="161"/>
      <x:c r="E25" s="161">
        <x:f>SUM('1:26'!$A$25)</x:f>
        <x:v>101181500</x:v>
      </x:c>
      <x:c r="F25" s="161"/>
      <x:c r="G25" s="161"/>
      <x:c r="H25" s="109" t="s">
        <x:v>19</x:v>
      </x:c>
      <x:c r="I25" s="110">
        <x:f>SUM('1:26'!$I$21)</x:f>
        <x:v>0</x:v>
      </x:c>
      <x:c r="J25" s="61" t="s">
        <x:v>19</x:v>
      </x:c>
      <x:c r="K25" s="62">
        <x:f>SUM('1:26'!$K$21)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817785.71428571432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>
        <x:f>13000*4.5</x:f>
        <x:v>58500</x:v>
      </x:c>
      <x:c r="G28" s="165"/>
      <x:c r="H28" s="113" t="s">
        <x:v>62</x:v>
      </x:c>
      <x:c r="I28" s="115">
        <x:f>I27/$A$25</x:f>
        <x:v>0.19089302387621715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SUM('1:26'!$I$25)</x:f>
        <x:v>67249914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82.234151104899993</x:v>
      </x:c>
      <x:c r="M30" s="66"/>
    </x:row>
    <x:row r="31" spans="1:7" customHeight="1">
      <x:c r="A31" s="204"/>
      <x:c r="B31" s="144" t="s">
        <x:v>41</x:v>
      </x:c>
      <x:c r="C31" s="206"/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9"/>
  <x:dimension ref="A1:O34"/>
  <x:sheetViews>
    <x:sheetView topLeftCell="A16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27</x:v>
      </x:c>
      <x:c r="G1" s="68" t="s">
        <x:v>20</x:v>
      </x:c>
      <x:c r="H1" s="52" t="s">
        <x:v>107</x:v>
      </x:c>
      <x:c r="I1" s="52">
        <x:f>F1-K1</x:f>
        <x:v>27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4341500</x:v>
      </x:c>
      <x:c r="D2" s="178"/>
      <x:c r="E2" s="167" t="s">
        <x:v>7</x:v>
      </x:c>
      <x:c r="F2" s="168"/>
      <x:c r="G2" s="169">
        <x:v>127950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4143500</x:v>
      </x:c>
      <x:c r="D4" s="154"/>
      <x:c r="E4" s="173" t="s">
        <x:v>144</x:v>
      </x:c>
      <x:c r="F4" s="173"/>
      <x:c r="G4" s="136">
        <x:f>INT(C4*0.0275)</x:f>
        <x:v>113946</x:v>
      </x:c>
      <x:c r="H4" s="54" t="s">
        <x:v>44</x:v>
      </x:c>
      <x:c r="I4" s="126">
        <x:f>216000+185318+196497+56200+285012</x:f>
        <x:v>939027</x:v>
      </x:c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198000</x:v>
      </x:c>
      <x:c r="D5" s="154"/>
      <x:c r="E5" s="166" t="s">
        <x:v>153</x:v>
      </x:c>
      <x:c r="F5" s="166"/>
      <x:c r="G5" s="136">
        <x:f>INT(C5*0.01)</x:f>
        <x:v>1980</x:v>
      </x:c>
      <x:c r="H5" s="54" t="s">
        <x:v>63</x:v>
      </x:c>
      <x:c r="I5" s="126">
        <x:f>40700+51600+25600+21900+18300+6000</x:f>
        <x:v>164100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210000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>
        <x:f>79800-20200</x:f>
        <x:v>59600</x:v>
      </x:c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115950</x:v>
      </x:c>
      <x:c r="D8" s="154"/>
      <x:c r="E8" s="150" t="s">
        <x:v>132</x:v>
      </x:c>
      <x:c r="F8" s="151"/>
      <x:c r="G8" s="190">
        <x:f>C5+G2-G6-C22</x:f>
        <x:v>115950</x:v>
      </x:c>
      <x:c r="H8" s="54" t="s">
        <x:v>15</x:v>
      </x:c>
      <x:c r="I8" s="126"/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10</x:v>
      </x:c>
      <x:c r="D12" s="150" t="s">
        <x:v>104</x:v>
      </x:c>
      <x:c r="E12" s="151"/>
      <x:c r="F12" s="197">
        <x:v>14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SUM('1:27'!$C$12)</x:f>
        <x:v>345</x:v>
      </x:c>
      <x:c r="D13" s="152"/>
      <x:c r="E13" s="153"/>
      <x:c r="F13" s="195">
        <x:f>SUM('1:27'!$F$12)</x:f>
        <x:v>237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35</x:v>
      </x:c>
      <x:c r="D14" s="150" t="s">
        <x:v>87</x:v>
      </x:c>
      <x:c r="E14" s="151"/>
      <x:c r="F14" s="197">
        <x:v>11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SUM('1:27'!$C$14)</x:f>
        <x:v>1130</x:v>
      </x:c>
      <x:c r="D15" s="152"/>
      <x:c r="E15" s="153"/>
      <x:c r="F15" s="195">
        <x:f>SUM('1:27'!$F$14)</x:f>
        <x:v>473</x:v>
      </x:c>
      <x:c r="G15" s="196"/>
      <x:c r="H15" s="54" t="s">
        <x:v>90</x:v>
      </x:c>
      <x:c r="I15" s="58">
        <x:f>40600+3500+4900+3150</x:f>
        <x:v>52150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10</x:v>
      </x:c>
      <x:c r="D16" s="150" t="s">
        <x:v>115</x:v>
      </x:c>
      <x:c r="E16" s="151"/>
      <x:c r="F16" s="199">
        <x:v>21</x:v>
      </x:c>
      <x:c r="G16" s="199"/>
      <x:c r="H16" s="54"/>
      <x:c r="I16" s="58"/>
      <x:c r="J16" s="54" t="s">
        <x:v>81</x:v>
      </x:c>
      <x:c r="K16" s="58">
        <x:v>4990</x:v>
      </x:c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SUM('1:27'!$C$16)</x:f>
        <x:v>185</x:v>
      </x:c>
      <x:c r="D17" s="152"/>
      <x:c r="E17" s="153"/>
      <x:c r="F17" s="164">
        <x:f>SUM('1:27'!$F$16)</x:f>
        <x:v>371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40</x:v>
      </x:c>
      <x:c r="D18" s="150" t="s">
        <x:v>126</x:v>
      </x:c>
      <x:c r="E18" s="151"/>
      <x:c r="F18" s="162">
        <x:v>5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SUM('1:27'!$C$18)</x:f>
        <x:v>836</x:v>
      </x:c>
      <x:c r="D19" s="152"/>
      <x:c r="E19" s="153"/>
      <x:c r="F19" s="164">
        <x:f>SUM('1:27'!$F$18)</x:f>
        <x:v>326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58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SUM('1:27'!$F$20)</x:f>
        <x:v>1457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1214877</x:v>
      </x:c>
      <x:c r="J23" s="61" t="s">
        <x:v>102</x:v>
      </x:c>
      <x:c r="K23" s="62">
        <x:f>SUM(K4:K22)</x:f>
        <x:v>20704.285714285714</x:v>
      </x:c>
      <x:c r="M23" s="90" t="s">
        <x:v>111</x:v>
      </x:c>
      <x:c r="N23" s="155">
        <x:f>C5+C6</x:f>
        <x:v>198000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0.27982886099274445</x:v>
      </x:c>
      <x:c r="J24" s="61" t="s">
        <x:v>62</x:v>
      </x:c>
      <x:c r="K24" s="63">
        <x:f>K23/A25</x:f>
        <x:v>0.0047689244994323886</x:v>
      </x:c>
    </x:row>
    <x:row r="25" spans="1:11" ht="34.149999999999999" customHeight="1">
      <x:c r="A25" s="202">
        <x:f>C2</x:f>
        <x:v>4341500</x:v>
      </x:c>
      <x:c r="B25" s="161"/>
      <x:c r="C25" s="161">
        <x:f>E25/I1</x:f>
        <x:v>3908259.2592592593</x:v>
      </x:c>
      <x:c r="D25" s="161"/>
      <x:c r="E25" s="161">
        <x:f>SUM('1:27'!$A$25)</x:f>
        <x:v>105523000</x:v>
      </x:c>
      <x:c r="F25" s="161"/>
      <x:c r="G25" s="161"/>
      <x:c r="H25" s="109" t="s">
        <x:v>19</x:v>
      </x:c>
      <x:c r="I25" s="110">
        <x:f>SUM('1:27'!$I$21)</x:f>
        <x:v>0</x:v>
      </x:c>
      <x:c r="J25" s="61" t="s">
        <x:v>19</x:v>
      </x:c>
      <x:c r="K25" s="62">
        <x:f>SUM('1:27'!$K$21)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817785.71428571432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>
        <x:f>13000*4.5</x:f>
        <x:v>58500</x:v>
      </x:c>
      <x:c r="G28" s="165"/>
      <x:c r="H28" s="113" t="s">
        <x:v>62</x:v>
      </x:c>
      <x:c r="I28" s="115">
        <x:f>I27/$A$25</x:f>
        <x:v>0.18836478504795906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SUM('1:27'!$I$25)</x:f>
        <x:v>67249914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82.234151104899993</x:v>
      </x:c>
      <x:c r="M30" s="66"/>
    </x:row>
    <x:row r="31" spans="1:7" customHeight="1">
      <x:c r="A31" s="204"/>
      <x:c r="B31" s="144" t="s">
        <x:v>41</x:v>
      </x:c>
      <x:c r="C31" s="206"/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0"/>
  <x:dimension ref="A1:O34"/>
  <x:sheetViews>
    <x:sheetView topLeftCell="A19" zoomScale="60" zoomScaleNormal="60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92</x:v>
      </x:c>
      <x:c r="D1" s="68"/>
      <x:c r="E1" s="68" t="s">
        <x:v>9</x:v>
      </x:c>
      <x:c r="F1" s="68">
        <x:v>28</x:v>
      </x:c>
      <x:c r="G1" s="68" t="s">
        <x:v>32</x:v>
      </x:c>
      <x:c r="H1" s="52" t="s">
        <x:v>107</x:v>
      </x:c>
      <x:c r="I1" s="52">
        <x:f>F1-K1</x:f>
        <x:v>28</x:v>
      </x:c>
      <x:c r="J1" s="52" t="s">
        <x:v>96</x:v>
      </x:c>
      <x:c r="K1" s="52"/>
    </x:row>
    <x:row r="2" spans="1:11" ht="20.100000000000001" customHeight="1">
      <x:c r="A2" s="174" t="s">
        <x:v>24</x:v>
      </x:c>
      <x:c r="B2" s="175"/>
      <x:c r="C2" s="178">
        <x:f>SUM(C4:D7)</x:f>
        <x:v>4842000</x:v>
      </x:c>
      <x:c r="D2" s="178"/>
      <x:c r="E2" s="167" t="s">
        <x:v>7</x:v>
      </x:c>
      <x:c r="F2" s="168"/>
      <x:c r="G2" s="169">
        <x:v>115950</x:v>
      </x:c>
      <x:c r="H2" s="159" t="s">
        <x:v>63</x:v>
      </x:c>
      <x:c r="I2" s="160"/>
      <x:c r="J2" s="157" t="s">
        <x:v>147</x:v>
      </x:c>
      <x:c r="K2" s="158"/>
    </x:row>
    <x:row r="3" spans="1:11" ht="20.100000000000001" customHeight="1">
      <x:c r="A3" s="176"/>
      <x:c r="B3" s="177"/>
      <x:c r="C3" s="161"/>
      <x:c r="D3" s="161"/>
      <x:c r="E3" s="152"/>
      <x:c r="F3" s="153"/>
      <x:c r="G3" s="170"/>
      <x:c r="H3" s="54" t="s">
        <x:v>31</x:v>
      </x:c>
      <x:c r="I3" s="56" t="s">
        <x:v>5</x:v>
      </x:c>
      <x:c r="J3" s="57" t="s">
        <x:v>31</x:v>
      </x:c>
      <x:c r="K3" s="56" t="s">
        <x:v>5</x:v>
      </x:c>
    </x:row>
    <x:row r="4" spans="1:11" ht="30.949999999999999" customHeight="1">
      <x:c r="A4" s="171" t="s">
        <x:v>10</x:v>
      </x:c>
      <x:c r="B4" s="172"/>
      <x:c r="C4" s="154">
        <x:v>4711000</x:v>
      </x:c>
      <x:c r="D4" s="154"/>
      <x:c r="E4" s="173" t="s">
        <x:v>144</x:v>
      </x:c>
      <x:c r="F4" s="173"/>
      <x:c r="G4" s="136">
        <x:f>INT(C4*0.0275)</x:f>
        <x:v>129552</x:v>
      </x:c>
      <x:c r="H4" s="54" t="s">
        <x:v>44</x:v>
      </x:c>
      <x:c r="I4" s="126">
        <x:f>61300+287274+189100+445200</x:f>
        <x:v>982874</x:v>
      </x:c>
      <x:c r="J4" s="83" t="s">
        <x:v>18</x:v>
      </x:c>
      <x:c r="K4" s="58"/>
    </x:row>
    <x:row r="5" spans="1:11" ht="30.949999999999999" customHeight="1">
      <x:c r="A5" s="171" t="s">
        <x:v>52</x:v>
      </x:c>
      <x:c r="B5" s="172"/>
      <x:c r="C5" s="154">
        <x:v>131000</x:v>
      </x:c>
      <x:c r="D5" s="154"/>
      <x:c r="E5" s="166" t="s">
        <x:v>153</x:v>
      </x:c>
      <x:c r="F5" s="166"/>
      <x:c r="G5" s="136">
        <x:f>INT(C5*0.01)</x:f>
        <x:v>1310</x:v>
      </x:c>
      <x:c r="H5" s="54" t="s">
        <x:v>63</x:v>
      </x:c>
      <x:c r="I5" s="126">
        <x:f>59312+38940+51200+34120</x:f>
        <x:v>183572</x:v>
      </x:c>
      <x:c r="J5" s="83"/>
      <x:c r="K5" s="58"/>
    </x:row>
    <x:row r="6" spans="1:11" ht="21.949999999999999" customHeight="1">
      <x:c r="A6" s="181" t="s">
        <x:v>86</x:v>
      </x:c>
      <x:c r="B6" s="182"/>
      <x:c r="C6" s="185"/>
      <x:c r="D6" s="186"/>
      <x:c r="E6" s="150" t="s">
        <x:v>78</x:v>
      </x:c>
      <x:c r="F6" s="151"/>
      <x:c r="G6" s="189">
        <x:v>160000</x:v>
      </x:c>
      <x:c r="H6" s="54"/>
      <x:c r="I6" s="126"/>
      <x:c r="J6" s="83" t="s">
        <x:v>118</x:v>
      </x:c>
      <x:c r="K6" s="58"/>
    </x:row>
    <x:row r="7" spans="1:11" ht="21.949999999999999" customHeight="1">
      <x:c r="A7" s="183"/>
      <x:c r="B7" s="184"/>
      <x:c r="C7" s="187"/>
      <x:c r="D7" s="188"/>
      <x:c r="E7" s="152"/>
      <x:c r="F7" s="153"/>
      <x:c r="G7" s="170"/>
      <x:c r="H7" s="54" t="s">
        <x:v>36</x:v>
      </x:c>
      <x:c r="I7" s="126">
        <x:f>217300-10100</x:f>
        <x:v>207200</x:v>
      </x:c>
      <x:c r="J7" s="83" t="s">
        <x:v>122</x:v>
      </x:c>
      <x:c r="K7" s="58"/>
    </x:row>
    <x:row r="8" spans="1:11" ht="21.949999999999999" customHeight="1">
      <x:c r="A8" s="179" t="s">
        <x:v>112</x:v>
      </x:c>
      <x:c r="B8" s="166"/>
      <x:c r="C8" s="154">
        <x:v>86950</x:v>
      </x:c>
      <x:c r="D8" s="154"/>
      <x:c r="E8" s="150" t="s">
        <x:v>132</x:v>
      </x:c>
      <x:c r="F8" s="151"/>
      <x:c r="G8" s="190">
        <x:f>C5+G2-G6-C22</x:f>
        <x:v>86950</x:v>
      </x:c>
      <x:c r="H8" s="54" t="s">
        <x:v>15</x:v>
      </x:c>
      <x:c r="I8" s="126">
        <x:v>57000</x:v>
      </x:c>
      <x:c r="J8" s="83"/>
      <x:c r="K8" s="58"/>
    </x:row>
    <x:row r="9" spans="1:11" ht="21.949999999999999" customHeight="1">
      <x:c r="A9" s="179"/>
      <x:c r="B9" s="166"/>
      <x:c r="C9" s="154"/>
      <x:c r="D9" s="154"/>
      <x:c r="E9" s="152"/>
      <x:c r="F9" s="153"/>
      <x:c r="G9" s="191"/>
      <x:c r="H9" s="54"/>
      <x:c r="I9" s="126"/>
      <x:c r="J9" s="54" t="s">
        <x:v>43</x:v>
      </x:c>
      <x:c r="K9" s="58"/>
    </x:row>
    <x:row r="10" spans="1:11" ht="30.949999999999999" customHeight="1">
      <x:c r="A10" s="179" t="s">
        <x:v>134</x:v>
      </x:c>
      <x:c r="B10" s="166"/>
      <x:c r="C10" s="154"/>
      <x:c r="D10" s="154"/>
      <x:c r="E10" s="166" t="s">
        <x:v>72</x:v>
      </x:c>
      <x:c r="F10" s="166"/>
      <x:c r="G10" s="55"/>
      <x:c r="H10" s="54"/>
      <x:c r="I10" s="126"/>
      <x:c r="J10" s="54" t="s">
        <x:v>2</x:v>
      </x:c>
      <x:c r="K10" s="58"/>
    </x:row>
    <x:row r="11" spans="1:11" ht="33" customHeight="1">
      <x:c r="A11" s="179" t="s">
        <x:v>110</x:v>
      </x:c>
      <x:c r="B11" s="166"/>
      <x:c r="C11" s="180"/>
      <x:c r="D11" s="180"/>
      <x:c r="E11" s="180"/>
      <x:c r="F11" s="180"/>
      <x:c r="G11" s="180"/>
      <x:c r="H11" s="54" t="s">
        <x:v>38</x:v>
      </x:c>
      <x:c r="I11" s="58"/>
      <x:c r="J11" s="54" t="s">
        <x:v>106</x:v>
      </x:c>
      <x:c r="K11" s="138">
        <x:f>440000/28</x:f>
        <x:v>15714.285714285714</x:v>
      </x:c>
    </x:row>
    <x:row r="12" spans="1:13" ht="21.949999999999999" customHeight="1">
      <x:c r="A12" s="59" t="s">
        <x:v>40</x:v>
      </x:c>
      <x:c r="B12" s="193" t="s">
        <x:v>22</x:v>
      </x:c>
      <x:c r="C12" s="81">
        <x:v>13</x:v>
      </x:c>
      <x:c r="D12" s="150" t="s">
        <x:v>104</x:v>
      </x:c>
      <x:c r="E12" s="151"/>
      <x:c r="F12" s="197">
        <x:v>3</x:v>
      </x:c>
      <x:c r="G12" s="198"/>
      <x:c r="H12" s="54" t="s">
        <x:v>83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116</x:v>
      </x:c>
      <x:c r="B13" s="194"/>
      <x:c r="C13" s="137">
        <x:f>SUM('1:28'!$C$12)</x:f>
        <x:v>358</x:v>
      </x:c>
      <x:c r="D13" s="152"/>
      <x:c r="E13" s="153"/>
      <x:c r="F13" s="195">
        <x:f>SUM('1:28'!$F$12)</x:f>
        <x:v>240</x:v>
      </x:c>
      <x:c r="G13" s="196"/>
      <x:c r="H13" s="54" t="s">
        <x:v>136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40</x:v>
      </x:c>
      <x:c r="B14" s="193" t="s">
        <x:v>35</x:v>
      </x:c>
      <x:c r="C14" s="81">
        <x:v>53</x:v>
      </x:c>
      <x:c r="D14" s="150" t="s">
        <x:v>87</x:v>
      </x:c>
      <x:c r="E14" s="151"/>
      <x:c r="F14" s="197">
        <x:v>8</x:v>
      </x:c>
      <x:c r="G14" s="198"/>
      <x:c r="H14" s="54" t="s">
        <x:v>108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116</x:v>
      </x:c>
      <x:c r="B15" s="194"/>
      <x:c r="C15" s="137">
        <x:f>SUM('1:28'!$C$14)</x:f>
        <x:v>1183</x:v>
      </x:c>
      <x:c r="D15" s="152"/>
      <x:c r="E15" s="153"/>
      <x:c r="F15" s="195">
        <x:f>SUM('1:28'!$F$14)</x:f>
        <x:v>481</x:v>
      </x:c>
      <x:c r="G15" s="196"/>
      <x:c r="H15" s="54" t="s">
        <x:v>90</x:v>
      </x:c>
      <x:c r="I15" s="58">
        <x:f>3600+13500+87000+6400+57600+15000+13000+9800+24000+53000+11800+11000+34500+5500+3500+8900</x:f>
        <x:v>358100</x:v>
      </x:c>
      <x:c r="J15" s="54" t="s">
        <x:v>147</x:v>
      </x:c>
      <x:c r="K15" s="58"/>
      <x:c r="L15" s="60"/>
      <x:c r="M15" s="11"/>
    </x:row>
    <x:row r="16" spans="1:13" ht="21.949999999999999" customHeight="1">
      <x:c r="A16" s="59" t="s">
        <x:v>40</x:v>
      </x:c>
      <x:c r="B16" s="193" t="s">
        <x:v>0</x:v>
      </x:c>
      <x:c r="C16" s="81">
        <x:v>9</x:v>
      </x:c>
      <x:c r="D16" s="150" t="s">
        <x:v>115</x:v>
      </x:c>
      <x:c r="E16" s="151"/>
      <x:c r="F16" s="199">
        <x:v>18</x:v>
      </x:c>
      <x:c r="G16" s="199"/>
      <x:c r="H16" s="54"/>
      <x:c r="I16" s="58"/>
      <x:c r="J16" s="54" t="s">
        <x:v>81</x:v>
      </x:c>
      <x:c r="K16" s="58"/>
      <x:c r="L16" s="60"/>
      <x:c r="M16" s="11"/>
    </x:row>
    <x:row r="17" spans="1:13" ht="21.949999999999999" customHeight="1">
      <x:c r="A17" s="59" t="s">
        <x:v>116</x:v>
      </x:c>
      <x:c r="B17" s="194"/>
      <x:c r="C17" s="137">
        <x:f>SUM('1:28'!$C$16)</x:f>
        <x:v>194</x:v>
      </x:c>
      <x:c r="D17" s="152"/>
      <x:c r="E17" s="153"/>
      <x:c r="F17" s="164">
        <x:f>SUM('1:28'!$F$16)</x:f>
        <x:v>389</x:v>
      </x:c>
      <x:c r="G17" s="164"/>
      <x:c r="H17" s="54" t="s">
        <x:v>59</x:v>
      </x:c>
      <x:c r="I17" s="58"/>
      <x:c r="J17" s="54" t="s">
        <x:v>75</x:v>
      </x:c>
      <x:c r="K17" s="58"/>
      <x:c r="L17" s="60"/>
      <x:c r="M17" s="11"/>
    </x:row>
    <x:row r="18" spans="1:13" ht="21.949999999999999" customHeight="1">
      <x:c r="A18" s="59" t="s">
        <x:v>40</x:v>
      </x:c>
      <x:c r="B18" s="193" t="s">
        <x:v>124</x:v>
      </x:c>
      <x:c r="C18" s="81">
        <x:v>61</x:v>
      </x:c>
      <x:c r="D18" s="150" t="s">
        <x:v>126</x:v>
      </x:c>
      <x:c r="E18" s="151"/>
      <x:c r="F18" s="162">
        <x:v>7</x:v>
      </x:c>
      <x:c r="G18" s="16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116</x:v>
      </x:c>
      <x:c r="B19" s="194"/>
      <x:c r="C19" s="137">
        <x:f>SUM('1:28'!$C$18)</x:f>
        <x:v>897</x:v>
      </x:c>
      <x:c r="D19" s="152"/>
      <x:c r="E19" s="153"/>
      <x:c r="F19" s="164">
        <x:f>SUM('1:28'!$F$18)</x:f>
        <x:v>333</x:v>
      </x:c>
      <x:c r="G19" s="164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66" t="s">
        <x:v>98</x:v>
      </x:c>
      <x:c r="E20" s="166"/>
      <x:c r="F20" s="199">
        <x:v>56</x:v>
      </x:c>
      <x:c r="G20" s="199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66" t="s">
        <x:v>137</x:v>
      </x:c>
      <x:c r="E21" s="166"/>
      <x:c r="F21" s="164">
        <x:f>SUM('1:28'!$F$20)</x:f>
        <x:v>1513</x:v>
      </x:c>
      <x:c r="G21" s="164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79" t="s">
        <x:v>80</x:v>
      </x:c>
      <x:c r="B22" s="166"/>
      <x:c r="C22" s="192"/>
      <x:c r="D22" s="192"/>
      <x:c r="E22" s="192"/>
      <x:c r="F22" s="192"/>
      <x:c r="G22" s="192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79" t="s">
        <x:v>125</x:v>
      </x:c>
      <x:c r="B23" s="166"/>
      <x:c r="C23" s="200"/>
      <x:c r="D23" s="201"/>
      <x:c r="E23" s="201"/>
      <x:c r="F23" s="201"/>
      <x:c r="G23" s="201"/>
      <x:c r="H23" s="109" t="s">
        <x:v>131</x:v>
      </x:c>
      <x:c r="I23" s="110">
        <x:f>SUM(I4:I22)</x:f>
        <x:v>1788746</x:v>
      </x:c>
      <x:c r="J23" s="61" t="s">
        <x:v>102</x:v>
      </x:c>
      <x:c r="K23" s="62">
        <x:f>SUM(K4:K22)</x:f>
        <x:v>15714.285714285714</x:v>
      </x:c>
      <x:c r="M23" s="90" t="s">
        <x:v>111</x:v>
      </x:c>
      <x:c r="N23" s="155">
        <x:f>C5+C6</x:f>
        <x:v>131000</x:v>
      </x:c>
      <x:c r="O23" s="156"/>
    </x:row>
    <x:row r="24" spans="1:11" ht="34.149999999999999" customHeight="1">
      <x:c r="A24" s="179" t="s">
        <x:v>62</x:v>
      </x:c>
      <x:c r="B24" s="166"/>
      <x:c r="C24" s="166" t="s">
        <x:v>94</x:v>
      </x:c>
      <x:c r="D24" s="166"/>
      <x:c r="E24" s="166" t="s">
        <x:v>140</x:v>
      </x:c>
      <x:c r="F24" s="166"/>
      <x:c r="G24" s="166"/>
      <x:c r="H24" s="109" t="s">
        <x:v>62</x:v>
      </x:c>
      <x:c r="I24" s="111">
        <x:f>I23/A25</x:f>
        <x:v>0.36942296571664601</x:v>
      </x:c>
      <x:c r="J24" s="61" t="s">
        <x:v>62</x:v>
      </x:c>
      <x:c r="K24" s="63">
        <x:f>K23/A25</x:f>
        <x:v>0.0032454121673452527</x:v>
      </x:c>
    </x:row>
    <x:row r="25" spans="1:11" ht="34.149999999999999" customHeight="1">
      <x:c r="A25" s="202">
        <x:f>C2</x:f>
        <x:v>4842000</x:v>
      </x:c>
      <x:c r="B25" s="161"/>
      <x:c r="C25" s="161">
        <x:f>E25/I1</x:f>
        <x:v>3941607.1428571427</x:v>
      </x:c>
      <x:c r="D25" s="161"/>
      <x:c r="E25" s="161">
        <x:f>SUM('1:28'!$A$25)</x:f>
        <x:v>110365000</x:v>
      </x:c>
      <x:c r="F25" s="161"/>
      <x:c r="G25" s="161"/>
      <x:c r="H25" s="109" t="s">
        <x:v>19</x:v>
      </x:c>
      <x:c r="I25" s="110">
        <x:f>SUM('1:28'!$I$21)</x:f>
        <x:v>0</x:v>
      </x:c>
      <x:c r="J25" s="61" t="s">
        <x:v>19</x:v>
      </x:c>
      <x:c r="K25" s="62">
        <x:f>SUM('1:28'!$K$21)</x:f>
        <x:v>0</x:v>
      </x:c>
    </x:row>
    <x:row r="26" spans="1:11" ht="34.149999999999999" customHeight="1">
      <x:c r="A26" s="179" t="s">
        <x:v>74</x:v>
      </x:c>
      <x:c r="B26" s="166"/>
      <x:c r="C26" s="166"/>
      <x:c r="D26" s="166"/>
      <x:c r="E26" s="154"/>
      <x:c r="F26" s="154"/>
      <x:c r="G26" s="154"/>
      <x:c r="H26" s="109" t="s">
        <x:v>114</x:v>
      </x:c>
      <x:c r="I26" s="112">
        <x:f>I25/$E$25</x:f>
        <x:v>0</x:v>
      </x:c>
      <x:c r="J26" s="64" t="s">
        <x:v>114</x:v>
      </x:c>
      <x:c r="K26" s="65">
        <x:f>K25/$E$25</x:f>
        <x:v>0</x:v>
      </x:c>
    </x:row>
    <x:row r="27" spans="1:13" ht="30.949999999999999" customHeight="1">
      <x:c r="A27" s="203" t="s">
        <x:v>71</x:v>
      </x:c>
      <x:c r="B27" s="54" t="s">
        <x:v>45</x:v>
      </x:c>
      <x:c r="C27" s="161">
        <x:f>4000000/28</x:f>
        <x:v>142857.14285714287</x:v>
      </x:c>
      <x:c r="D27" s="161"/>
      <x:c r="E27" s="55" t="s">
        <x:v>54</x:v>
      </x:c>
      <x:c r="F27" s="154"/>
      <x:c r="G27" s="154"/>
      <x:c r="H27" s="113" t="s">
        <x:v>88</x:v>
      </x:c>
      <x:c r="I27" s="114">
        <x:f>SUM(C27:D34,F27:G30)</x:f>
        <x:v>824285.71428571432</x:v>
      </x:c>
      <x:c r="M27" s="66"/>
    </x:row>
    <x:row r="28" spans="1:13" ht="30.949999999999999" customHeight="1">
      <x:c r="A28" s="204"/>
      <x:c r="B28" s="54" t="s">
        <x:v>29</x:v>
      </x:c>
      <x:c r="C28" s="161">
        <x:f>3800000/28</x:f>
        <x:v>135714.28571428571</x:v>
      </x:c>
      <x:c r="D28" s="161"/>
      <x:c r="E28" s="55" t="s">
        <x:v>54</x:v>
      </x:c>
      <x:c r="F28" s="165">
        <x:f>13000*5</x:f>
        <x:v>65000</x:v>
      </x:c>
      <x:c r="G28" s="165"/>
      <x:c r="H28" s="113" t="s">
        <x:v>62</x:v>
      </x:c>
      <x:c r="I28" s="115">
        <x:f>I27/$A$25</x:f>
        <x:v>0.17023662005074644</x:v>
      </x:c>
      <x:c r="M28" s="66"/>
    </x:row>
    <x:row r="29" spans="1:13" ht="30.949999999999999" customHeight="1">
      <x:c r="A29" s="204"/>
      <x:c r="B29" s="54" t="s">
        <x:v>21</x:v>
      </x:c>
      <x:c r="C29" s="161">
        <x:f>3200000/28</x:f>
        <x:v>114285.71428571429</x:v>
      </x:c>
      <x:c r="D29" s="161"/>
      <x:c r="E29" s="55" t="s">
        <x:v>54</x:v>
      </x:c>
      <x:c r="F29" s="154"/>
      <x:c r="G29" s="154"/>
      <x:c r="H29" s="113" t="s">
        <x:v>19</x:v>
      </x:c>
      <x:c r="I29" s="114">
        <x:f>SUM('1:28'!$I$25)</x:f>
        <x:v>67249914</x:v>
      </x:c>
      <x:c r="M29" s="66"/>
    </x:row>
    <x:row r="30" spans="1:13" ht="30.949999999999999" customHeight="1">
      <x:c r="A30" s="204"/>
      <x:c r="B30" s="54" t="s">
        <x:v>42</x:v>
      </x:c>
      <x:c r="C30" s="161">
        <x:f>3400000/28</x:f>
        <x:v>121428.57142857143</x:v>
      </x:c>
      <x:c r="D30" s="161"/>
      <x:c r="E30" s="55" t="s">
        <x:v>65</x:v>
      </x:c>
      <x:c r="F30" s="210">
        <x:v>120000</x:v>
      </x:c>
      <x:c r="G30" s="211"/>
      <x:c r="H30" s="113" t="s">
        <x:v>114</x:v>
      </x:c>
      <x:c r="I30" s="115">
        <x:f>I29/$I$27</x:f>
        <x:v>81.585684228769495</x:v>
      </x:c>
      <x:c r="M30" s="66"/>
    </x:row>
    <x:row r="31" spans="1:7" customHeight="1">
      <x:c r="A31" s="204"/>
      <x:c r="B31" s="144" t="s">
        <x:v>41</x:v>
      </x:c>
      <x:c r="C31" s="206"/>
      <x:c r="D31" s="207"/>
      <x:c r="E31" s="52"/>
      <x:c r="F31" s="212"/>
      <x:c r="G31" s="212"/>
    </x:row>
    <x:row r="32" spans="1:4" customHeight="1">
      <x:c r="A32" s="204"/>
      <x:c r="B32" s="54"/>
      <x:c r="C32" s="206"/>
      <x:c r="D32" s="207"/>
    </x:row>
    <x:row r="33" spans="1:4" customHeight="1">
      <x:c r="A33" s="204"/>
      <x:c r="B33" s="54" t="s">
        <x:v>11</x:v>
      </x:c>
      <x:c r="C33" s="208">
        <x:f>3500000/28</x:f>
        <x:v>125000</x:v>
      </x:c>
      <x:c r="D33" s="209"/>
    </x:row>
    <x:row r="34" spans="1:4" customHeight="1">
      <x:c r="A34" s="205"/>
      <x:c r="B34" s="54"/>
      <x:c r="C34" s="210"/>
      <x:c r="D34" s="211"/>
    </x:row>
  </x:sheetData>
  <x:mergeCells count="73"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4"/>
  <x:dimension ref="A1:A1"/>
  <x:sheetViews>
    <x:sheetView topLeftCell="A1" zoomScale="66" zoomScaleNormal="66" zoomScaleSheetLayoutView="75" workbookViewId="0">
      <x:selection activeCell="A1" activeCellId="0" sqref="A1:A1"/>
    </x:sheetView>
  </x:sheetViews>
  <x:sheetFormatPr defaultColWidth="9" defaultRowHeight="16.5"/>
  <x:sheetData/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1" baseType="lpstr">
      <vt:lpstr>월합산</vt:lpstr>
      <vt:lpstr>결산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Chart1</vt:lpstr>
    </vt:vector>
  </ep:TitlesOfParts>
  <ep:TotalTime>370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현지</dc:creator>
  <cp:lastModifiedBy>신재호</cp:lastModifiedBy>
  <cp:revision>37</cp:revision>
  <cp:lastPrinted>2020-08-02T09:11:11.000</cp:lastPrinted>
  <dcterms:created xsi:type="dcterms:W3CDTF">2017-10-12T05:43:00.000</dcterms:created>
  <dcterms:modified xsi:type="dcterms:W3CDTF">2026-04-27T16:52:29.671</dcterms:modified>
  <cp:version>1000.0100.01</cp:version>
</cp:coreProperties>
</file>