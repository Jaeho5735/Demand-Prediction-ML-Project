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5.xml" ContentType="application/vnd.openxmlformats-officedocument.drawingml.chart+xml"/>
  <Override PartName="/xl/drawings/drawing1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3" activeTab="1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<x:sst xmlns:r="http://schemas.openxmlformats.org/officeDocument/2006/relationships" xmlns:c="http://schemas.openxmlformats.org/drawingml/2006/chart" xmlns:x="http://schemas.openxmlformats.org/spreadsheetml/2006/main" count="2988" uniqueCount="166">
  <x:si>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</x:si>
  <x:si>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</x:si>
  <x:si>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</x:si>
  <x:si>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</x:si>
  <x:si>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</x:si>
  <x:si>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</x:si>
  <x:si>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</x:si>
  <x:si>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</x:si>
  <x:si>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</x:si>
  <x:si>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</x:si>
  <x:si>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</x:si>
  <x:si>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</x:si>
  <x:si>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</x:si>
  <x:si>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</x:si>
  <x:si>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</x:si>
  <x:si>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</x:si>
  <x:si>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</x:si>
  <x:si>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</x:si>
  <x:si>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</x:si>
  <x:si>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</x:si>
  <x:si>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</x:si>
  <x:si>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</x:si>
  <x:si>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</x:si>
  <x:si>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주류</x:t>
  </x:si>
  <x:si>
    <x:t>총비용</x:t>
  </x:si>
  <x:si>
    <x:t>업체</x:t>
  </x:si>
  <x:si>
    <x:t>수</x:t>
  </x:si>
  <x:si>
    <x:t>금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</x:si>
  <x:si>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</x:si>
  <x:si>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</x:si>
  <x:si>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</x:si>
  <x:si>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</x:si>
  <x:si>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</x:si>
  <x:si>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</x:si>
  <x:si>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</x:si>
  <x:si>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</x:si>
  <x:si>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</x:si>
  <x:si>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</x:si>
  <x:si>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</x:si>
  <x:si>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</x:si>
  <x:si>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</x:si>
  <x:si>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</x:si>
  <x:si>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</x:si>
  <x:si>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</x:si>
  <x:si>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</x:si>
  <x:si>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</x:si>
  <x:si>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</x:si>
  <x:si>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</x:si>
  <x:si>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</x:si>
  <x:si>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</x:si>
  <x:si>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</x:si>
  <x:si>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</x:si>
  <x:si>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</x:si>
  <x:si>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</x:si>
  <x:si>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</x:si>
  <x:si>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</x:si>
  <x:si>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</x:si>
  <x:si>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</x:si>
  <x:si>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</x:si>
  <x:si>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</x:si>
  <x:si>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</x:si>
  <x:si>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</x:si>
  <x:si>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삼겹살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</x:si>
  <x:si>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</x:si>
  <x:si>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</x:si>
  <x:si>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</x:si>
  <x:si>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</x:si>
  <x:si>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</x:si>
  <x:si>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</x:si>
  <x:si>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</x:si>
  <x:si>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</x:si>
  <x:si>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</x:si>
  <x:si>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</x:si>
  <x:si>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</x:si>
  <x:si>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</x:si>
  <x:si>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</x:si>
  <x:si>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</x:si>
  <x:si>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</x:si>
  <x:si>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</x:si>
  <x:si>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</x:si>
  <x:si>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</x:si>
  <x:si>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</x:si>
  <x:si>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</x:si>
  <x:si>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</x:si>
  <x:si>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</x:si>
  <x:si>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</x:si>
  <x:si>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</x:si>
  <x:si>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</x:si>
  <x:si>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</x:si>
  <x:si>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</x:si>
  <x:si>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</x:si>
  <x:si>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</x:si>
  <x:si>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</x:si>
  <x:si>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</x:si>
  <x:si>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</x:si>
  <x:si>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</x:si>
  <x:si>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</x:si>
  <x:si>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</x:si>
  <x:si>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</x:si>
  <x:si>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</x:si>
  <x:si>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</x:si>
  <x:si>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</x:si>
  <x:si>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</x:si>
  <x:si>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</x:si>
  <x:si>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</x:si>
  <x:si>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</x:si>
  <x:si>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</x:si>
  <x:si>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</x:si>
  <x:si>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</x:si>
  <x:si>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</x:si>
  <x:si>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</x:si>
  <x:si>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</x:si>
  <x:si>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</x:si>
  <x:si>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</x:si>
  <x:si>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</x:si>
  <x:si>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</x:si>
  <x:si>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</x:si>
  <x:si>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</x:si>
  <x:si>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</x:si>
  <x:si>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</x:si>
  <x:si>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</x:si>
  <x:si>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</x:si>
  <x:si>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</x:si>
  <x:si>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</x:si>
  <x:si>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</x:si>
  <x:si>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</x:si>
  <x:si>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</x:si>
  <x:si>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</x:si>
  <x:si>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</x:si>
  <x:si>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</x:si>
  <x:si>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</x:si>
  <x:si>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</x:si>
  <x:si>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</x:si>
  <x:si>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</x:si>
  <x:si>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</x:si>
  <x:si>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</x:si>
  <x:si>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</x:si>
  <x:si>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</x:si>
  <x:si>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</x:si>
  <x:si>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</x:si>
  <x:si>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</x:si>
  <x:si>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</x:si>
  <x:si>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</x:si>
  <x:si>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</x:si>
  <x:si>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</x:si>
  <x:si>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선결제 할인 (심재일 고객님) 66,000원</x:t>
  </x:si>
  <x:si>
    <x:t>12월</x:t>
  </x:si>
  <x:si>
    <x:t>ㅑ</x:t>
  </x:si>
  <x:si>
    <x:t>알바C</x:t>
  </x:si>
  <x:si>
    <x:t>ㄴ</x:t>
  </x:si>
  <x:si>
    <x:t>직원F</x:t>
  </x:si>
  <x:si>
    <x:t>김유미님 선결제 할인 242,000원</x:t>
  </x:si>
  <x:si>
    <x:t>선결제 할인(250만700원), 슈퍼멤버스</x:t>
  </x:si>
  <x:si>
    <x:t>슈퍼멤버스, 선결제 할인 180,000원</x:t>
  </x:si>
  <x:si>
    <x:t>선결제</x:t>
  </x:si>
  <x:si>
    <x:t>김효택님 선결제 10,000원</x:t>
  </x:si>
  <x:si>
    <x:t xml:space="preserve">신정인님 선결제 할인, 슈퍼멤버스 </x:t>
  </x:si>
  <x:si>
    <x:t>슈퍼멤버스 2팀 + 선결제</x:t>
  </x:si>
  <x:si>
    <x:t>옷에 찌개 묻어서 할인</x:t>
  </x:si>
  <x:si>
    <x:t>선결제 56,000원</x:t>
  </x:si>
  <x:si>
    <x:t>슈퍼멤버스, 선결제</x:t>
  </x:si>
  <x:si>
    <x:t>12월 테이블수</x:t>
  </x:si>
  <x:si>
    <x:t>슈퍼멤버스 x 2</x:t>
  </x:si>
  <x:si>
    <x:t>슈퍼멤버스 할인</x:t>
  </x:si>
  <x:si>
    <x:t>슈퍼멤버스</x:t>
  </x:si>
  <x:si>
    <x:t>선결제 할인 박부경 752,000 + 86,000 = 838,000원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</x:si>
</x:sst>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5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0" borderId="3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42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42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0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0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5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5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5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5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x:xf numFmtId="0" fontId="6" fillId="0" borderId="38" xfId="0" applyNumberFormat="1" applyFont="1" applyBorder="1" applyAlignment="1">
      <x:alignment horizontal="left" vertical="top"/>
    </x:xf>
    <x:xf numFmtId="0" fontId="6" fillId="0" borderId="56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9" xfId="0" applyNumberFormat="1" applyFont="1" applyBorder="1" applyAlignment="1">
          <x:alignment horizontal="center" vertical="center"/>
        </x:xf>
      </mc:Fallback>
    </mc:AlternateContent>
    <x:xf numFmtId="0" fontId="6" fillId="0" borderId="2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20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9" xfId="2" applyNumberFormat="1" applyFont="1" applyBorder="1" applyAlignment="1">
          <x:alignment horizontal="center" vertical="center"/>
        </x:xf>
      </mc:Fallback>
    </mc:AlternateContent>
    <x:xf numFmtId="41" fontId="6" fillId="0" borderId="38" xfId="2" applyNumberFormat="1" applyFont="1" applyBorder="1" applyAlignment="1">
      <x:alignment horizontal="left" vertical="top"/>
    </x:xf>
    <x:xf numFmtId="41" fontId="6" fillId="0" borderId="59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56" xfId="2" applyNumberFormat="1" applyFont="1" applyBorder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center"/>
    </x:xf>
    <x:xf numFmtId="0" fontId="6" fillId="0" borderId="61" xfId="0" applyNumberFormat="1" applyFont="1" applyBorder="1" applyAlignment="1">
      <x:alignment horizontal="left" vertical="center"/>
    </x:xf>
    <x:xf numFmtId="0" fontId="21" fillId="0" borderId="62" xfId="0" applyNumberFormat="1" applyFont="1" applyBorder="1" applyAlignment="1">
      <x:alignment horizontal="left" vertical="center"/>
    </x:xf>
    <x:xf numFmtId="0" fontId="21" fillId="0" borderId="6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66" xfId="0" applyNumberFormat="1" applyFont="1" applyBorder="1" applyAlignment="1">
      <x:alignment horizontal="left" vertical="top"/>
    </x:xf>
    <x:xf numFmtId="0" fontId="6" fillId="0" borderId="67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x:xf numFmtId="0" fontId="6" fillId="0" borderId="70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5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4" xfId="0" applyNumberFormat="1" applyFont="1" applyFill="1" applyBorder="1" applyAlignment="1">
          <x:alignment horizontal="center" vertical="center" wrapText="1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9" xfId="2" applyNumberFormat="1" applyFont="1" applyFill="1" applyBorder="1" applyAlignment="1">
          <x:alignment horizontal="center" vertical="center"/>
        </x:xf>
      </mc:Fallback>
    </mc:AlternateContent>
    <x:xf numFmtId="41" fontId="16" fillId="0" borderId="38" xfId="2" applyNumberFormat="1" applyFont="1" applyBorder="1" applyAlignment="1">
      <x:alignment horizontal="left" vertical="center"/>
    </x:xf>
    <x:xf numFmtId="41" fontId="16" fillId="0" borderId="59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38" xfId="0" applyNumberFormat="1" applyFont="1" applyBorder="1" applyAlignment="1">
      <x:alignment horizontal="left" vertical="center" wrapText="1"/>
    </x:xf>
    <x:xf numFmtId="0" fontId="15" fillId="0" borderId="59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9" xfId="0" applyNumberFormat="1" applyFont="1" applyBorder="1" applyAlignment="1">
          <x:alignment horizontal="center" vertical="center"/>
        </x:xf>
      </mc:Fallback>
    </mc:AlternateContent>
    <x:xf numFmtId="0" fontId="15" fillId="0" borderId="38" xfId="0" applyNumberFormat="1" applyFont="1" applyBorder="1" applyAlignment="1">
      <x:alignment horizontal="left" vertical="top" wrapText="1"/>
    </x:xf>
    <x:xf numFmtId="0" fontId="15" fillId="0" borderId="59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38" xfId="2" applyNumberFormat="1" applyFont="1" applyBorder="1" applyAlignment="1">
      <x:alignment horizontal="left" vertical="center"/>
    </x:xf>
    <x:xf numFmtId="41" fontId="15" fillId="0" borderId="59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15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2025년4,086,5003,352,500734,00078,100242,000김유미님 선결제 할인 242,000원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15</c:v>
                </c:pt>
                <c:pt idx="1">
                  <c:v>86</c:v>
                </c:pt>
                <c:pt idx="2">
                  <c:v>9</c:v>
                </c:pt>
                <c:pt idx="3">
                  <c:v>157</c:v>
                </c:pt>
                <c:pt idx="4">
                  <c:v>3</c:v>
                </c:pt>
                <c:pt idx="5">
                  <c:v>40</c:v>
                </c:pt>
                <c:pt idx="6">
                  <c:v>9</c:v>
                </c:pt>
                <c:pt idx="7">
                  <c:v>101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4779000.03</c:v>
                </c:pt>
                <c:pt idx="14">
                  <c:v/>
                </c:pt>
                <c:pt idx="15">
                  <c:v>106451.612903226</c:v>
                </c:pt>
                <c:pt idx="16">
                  <c:v>129032.258064516</c:v>
                </c:pt>
                <c:pt idx="17">
                  <c:v>106451.612903226</c:v>
                </c:pt>
                <c:pt idx="18">
                  <c:v>48387.0967741935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12월시재카드수수료(2.75%)현금수수료(1%)통장입금마감잔금카드할인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47790000.3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2</c:v>
                </c:pt>
                <c:pt idx="1">
                  <c:v>30</c:v>
                </c:pt>
                <c:pt idx="2">
                  <c:v>15</c:v>
                </c:pt>
                <c:pt idx="3">
                  <c:v>68</c:v>
                </c:pt>
                <c:pt idx="4">
                  <c:v>9</c:v>
                </c:pt>
                <c:pt idx="5">
                  <c:v>35</c:v>
                </c:pt>
                <c:pt idx="6">
                  <c:v>5</c:v>
                </c:pt>
                <c:pt idx="7">
                  <c:v>35</c:v>
                </c:pt>
                <c:pt idx="8">
                  <c:v>58</c:v>
                </c:pt>
                <c:pt idx="9">
                  <c:v>504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65000</c:v>
                </c:pt>
                <c:pt idx="16">
                  <c:v>52000</c:v>
                </c:pt>
                <c:pt idx="17">
                  <c:v/>
                </c:pt>
                <c:pt idx="18">
                  <c:v/>
                </c:pt>
                <c:pt idx="19">
                  <c:v>125000</c:v>
                </c:pt>
                <c:pt idx="20">
                  <c:v>203000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수144,10092,1937,340800,00078,100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10금액743,05269,036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169600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981688</c:v>
                </c:pt>
                <c:pt idx="11">
                  <c:v>0.240227089196134</c:v>
                </c:pt>
                <c:pt idx="12">
                  <c:v>16962720</c:v>
                </c:pt>
                <c:pt idx="13">
                  <c:v>0.354942872850327</c:v>
                </c:pt>
                <c:pt idx="14">
                  <c:v>835322.580645161</c:v>
                </c:pt>
                <c:pt idx="15">
                  <c:v>0.204410273007503</c:v>
                </c:pt>
                <c:pt idx="16">
                  <c:v>97925163</c:v>
                </c:pt>
                <c:pt idx="17">
                  <c:v>117.230355396795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금액14,300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4086500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>40800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55100</c:v>
                </c:pt>
                <c:pt idx="12">
                  <c:v>0.0134834210204331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5.xml.rels><?xml version="1.0" encoding="UTF-8" standalone="yes" ?><Relationships xmlns="http://schemas.openxmlformats.org/package/2006/relationships"><Relationship Id="rId1" Type="http://schemas.openxmlformats.org/officeDocument/2006/relationships/chart" Target="../charts/chart15.xml"  /></Relationships>
</file>

<file path=xl/drawings/drawing1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19" t="s">
        <x:v>69</x:v>
      </x:c>
      <x:c r="B1" s="219"/>
      <x:c r="C1" s="219"/>
      <x:c r="D1" s="219"/>
      <x:c r="E1" s="219"/>
      <x:c r="F1" s="219"/>
      <x:c r="G1" s="219"/>
      <x:c r="H1" s="219"/>
      <x:c r="I1" s="219"/>
      <x:c r="J1" s="219"/>
      <x:c r="K1" s="219"/>
    </x:row>
    <x:row r="2" spans="1:11" ht="30.949999999999999" customHeight="1">
      <x:c r="A2" s="236" t="s">
        <x:v>9</x:v>
      </x:c>
      <x:c r="B2" s="237"/>
      <x:c r="C2" s="238">
        <x:f>C3+G3+C5</x:f>
        <x:v>0</x:v>
      </x:c>
      <x:c r="D2" s="239"/>
      <x:c r="E2" s="240" t="s">
        <x:v>12</x:v>
      </x:c>
      <x:c r="F2" s="241"/>
      <x:c r="G2" s="6"/>
      <x:c r="H2" s="242" t="s">
        <x:v>71</x:v>
      </x:c>
      <x:c r="I2" s="243"/>
      <x:c r="J2" s="243"/>
      <x:c r="K2" s="244"/>
    </x:row>
    <x:row r="3" spans="1:11" ht="30.949999999999999" customHeight="1">
      <x:c r="A3" s="213" t="s">
        <x:v>120</x:v>
      </x:c>
      <x:c r="B3" s="214"/>
      <x:c r="C3" s="202">
        <x:f>SUM('1'!C3)</x:f>
        <x:v>0</x:v>
      </x:c>
      <x:c r="D3" s="202"/>
      <x:c r="E3" s="214" t="s">
        <x:v>127</x:v>
      </x:c>
      <x:c r="F3" s="214"/>
      <x:c r="G3" s="7">
        <x:f>SUM('1'!G3)</x:f>
        <x:v>0</x:v>
      </x:c>
      <x:c r="H3" s="245"/>
      <x:c r="I3" s="246"/>
      <x:c r="J3" s="246"/>
      <x:c r="K3" s="247"/>
    </x:row>
    <x:row r="4" spans="1:11" ht="30.949999999999999" customHeight="1">
      <x:c r="A4" s="220" t="s">
        <x:v>118</x:v>
      </x:c>
      <x:c r="B4" s="216"/>
      <x:c r="C4" s="254">
        <x:f>C21</x:f>
        <x:v>0</x:v>
      </x:c>
      <x:c r="D4" s="254"/>
      <x:c r="E4" s="215" t="s">
        <x:v>14</x:v>
      </x:c>
      <x:c r="F4" s="216"/>
      <x:c r="G4" s="8">
        <x:f>C17</x:f>
        <x:v>0</x:v>
      </x:c>
      <x:c r="H4" s="248"/>
      <x:c r="I4" s="249"/>
      <x:c r="J4" s="249"/>
      <x:c r="K4" s="250"/>
    </x:row>
    <x:row r="5" spans="1:11" ht="30.949999999999999" customHeight="1">
      <x:c r="A5" s="213" t="s">
        <x:v>102</x:v>
      </x:c>
      <x:c r="B5" s="214"/>
      <x:c r="C5" s="255">
        <x:f>C6+G6</x:f>
        <x:v>0</x:v>
      </x:c>
      <x:c r="D5" s="256"/>
      <x:c r="E5" s="215" t="s">
        <x:v>17</x:v>
      </x:c>
      <x:c r="F5" s="216"/>
      <x:c r="G5" s="8">
        <x:f>C4-G4</x:f>
        <x:v>0</x:v>
      </x:c>
      <x:c r="H5" s="248"/>
      <x:c r="I5" s="249"/>
      <x:c r="J5" s="249"/>
      <x:c r="K5" s="250"/>
    </x:row>
    <x:row r="6" spans="1:11" ht="30.949999999999999" customHeight="1">
      <x:c r="A6" s="213" t="s">
        <x:v>141</x:v>
      </x:c>
      <x:c r="B6" s="214"/>
      <x:c r="C6" s="202">
        <x:f>SUM('1'!C7)</x:f>
        <x:v>0</x:v>
      </x:c>
      <x:c r="D6" s="202"/>
      <x:c r="E6" s="214" t="s">
        <x:v>85</x:v>
      </x:c>
      <x:c r="F6" s="214"/>
      <x:c r="G6" s="7">
        <x:f>SUM('1'!G7)</x:f>
        <x:v>0</x:v>
      </x:c>
      <x:c r="H6" s="248"/>
      <x:c r="I6" s="249"/>
      <x:c r="J6" s="249"/>
      <x:c r="K6" s="250"/>
    </x:row>
    <x:row r="7" spans="1:11" ht="30.949999999999999" customHeight="1">
      <x:c r="A7" s="213" t="s">
        <x:v>101</x:v>
      </x:c>
      <x:c r="B7" s="214"/>
      <x:c r="C7" s="231"/>
      <x:c r="D7" s="231"/>
      <x:c r="E7" s="231"/>
      <x:c r="F7" s="231"/>
      <x:c r="G7" s="231"/>
      <x:c r="H7" s="251"/>
      <x:c r="I7" s="252"/>
      <x:c r="J7" s="252"/>
      <x:c r="K7" s="253"/>
    </x:row>
    <x:row r="8" spans="1:11" ht="30.949999999999999" customHeight="1">
      <x:c r="A8" s="213"/>
      <x:c r="B8" s="214"/>
      <x:c r="C8" s="231"/>
      <x:c r="D8" s="231"/>
      <x:c r="E8" s="231"/>
      <x:c r="F8" s="231"/>
      <x:c r="G8" s="231"/>
      <x:c r="H8" s="5" t="s">
        <x:v>64</x:v>
      </x:c>
      <x:c r="I8" s="232" t="s">
        <x:v>94</x:v>
      </x:c>
      <x:c r="J8" s="233"/>
      <x:c r="K8" s="9">
        <x:f>SUM('1'!K9)</x:f>
        <x:v>0</x:v>
      </x:c>
    </x:row>
    <x:row r="9" spans="1:11" ht="30.949999999999999" customHeight="1">
      <x:c r="A9" s="213"/>
      <x:c r="B9" s="214"/>
      <x:c r="C9" s="231"/>
      <x:c r="D9" s="231"/>
      <x:c r="E9" s="231"/>
      <x:c r="F9" s="231"/>
      <x:c r="G9" s="231"/>
      <x:c r="H9" s="214" t="s">
        <x:v>30</x:v>
      </x:c>
      <x:c r="I9" s="232" t="s">
        <x:v>94</x:v>
      </x:c>
      <x:c r="J9" s="233"/>
      <x:c r="K9" s="9">
        <x:f>SUM('1'!K10)</x:f>
        <x:v>14300</x:v>
      </x:c>
    </x:row>
    <x:row r="10" spans="1:11" ht="30.949999999999999" customHeight="1">
      <x:c r="A10" s="213"/>
      <x:c r="B10" s="214"/>
      <x:c r="C10" s="231"/>
      <x:c r="D10" s="231"/>
      <x:c r="E10" s="231"/>
      <x:c r="F10" s="231"/>
      <x:c r="G10" s="231"/>
      <x:c r="H10" s="214"/>
      <x:c r="I10" s="234" t="s">
        <x:v>137</x:v>
      </x:c>
      <x:c r="J10" s="235"/>
      <x:c r="K10" s="10">
        <x:f>SUM('1'!K11)</x:f>
        <x:v>0</x:v>
      </x:c>
    </x:row>
    <x:row r="11" spans="1:11" ht="32.100000000000001" customHeight="1">
      <x:c r="A11" s="220" t="s">
        <x:v>81</x:v>
      </x:c>
      <x:c r="B11" s="216"/>
      <x:c r="C11" s="226"/>
      <x:c r="D11" s="227"/>
      <x:c r="E11" s="227"/>
      <x:c r="F11" s="227"/>
      <x:c r="G11" s="228"/>
      <x:c r="H11" s="3" t="s">
        <x:v>130</x:v>
      </x:c>
      <x:c r="I11" s="226"/>
      <x:c r="J11" s="227"/>
      <x:c r="K11" s="229"/>
    </x:row>
    <x:row r="12" spans="1:11" ht="69.950000000000003" customHeight="1">
      <x:c r="A12" s="220" t="s">
        <x:v>122</x:v>
      </x:c>
      <x:c r="B12" s="216"/>
      <x:c r="C12" s="204"/>
      <x:c r="D12" s="230"/>
      <x:c r="E12" s="230"/>
      <x:c r="F12" s="230"/>
      <x:c r="G12" s="218"/>
      <x:c r="H12" s="3" t="s">
        <x:v>135</x:v>
      </x:c>
      <x:c r="I12" s="204"/>
      <x:c r="J12" s="230"/>
      <x:c r="K12" s="205"/>
    </x:row>
    <x:row r="13" spans="1:11" ht="30.949999999999999" customHeight="1">
      <x:c r="A13" s="213" t="s">
        <x:v>86</x:v>
      </x:c>
      <x:c r="B13" s="214"/>
      <x:c r="C13" s="215" t="s">
        <x:v>84</x:v>
      </x:c>
      <x:c r="D13" s="216"/>
      <x:c r="E13" s="215" t="s">
        <x:v>99</x:v>
      </x:c>
      <x:c r="F13" s="217"/>
      <x:c r="G13" s="216"/>
      <x:c r="H13" s="214" t="s">
        <x:v>75</x:v>
      </x:c>
      <x:c r="I13" s="214"/>
      <x:c r="J13" s="214" t="s">
        <x:v>83</x:v>
      </x:c>
      <x:c r="K13" s="221"/>
    </x:row>
    <x:row r="14" spans="1:11" ht="30.949999999999999" customHeight="1">
      <x:c r="A14" s="222">
        <x:f>C2</x:f>
        <x:v>0</x:v>
      </x:c>
      <x:c r="B14" s="223"/>
      <x:c r="C14" s="224" t="e">
        <x:f>ROUNDDOWN((E14/A14),-4)</x:f>
        <x:v>#DIV/0!</x:v>
      </x:c>
      <x:c r="D14" s="223"/>
      <x:c r="E14" s="224">
        <x:f>C2</x:f>
        <x:v>0</x:v>
      </x:c>
      <x:c r="F14" s="225"/>
      <x:c r="G14" s="223"/>
      <x:c r="H14" s="204"/>
      <x:c r="I14" s="218"/>
      <x:c r="J14" s="204"/>
      <x:c r="K14" s="205"/>
    </x:row>
    <x:row r="15" spans="1:11" ht="30.949999999999999" customHeight="1">
      <x:c r="A15" s="213" t="s">
        <x:v>140</x:v>
      </x:c>
      <x:c r="B15" s="214"/>
      <x:c r="C15" s="215"/>
      <x:c r="D15" s="216"/>
      <x:c r="E15" s="215"/>
      <x:c r="F15" s="217"/>
      <x:c r="G15" s="216"/>
      <x:c r="H15" s="204"/>
      <x:c r="I15" s="218"/>
      <x:c r="J15" s="204"/>
      <x:c r="K15" s="205"/>
    </x:row>
    <x:row r="16" spans="1:11" ht="30.949999999999999" customHeight="1">
      <x:c r="A16" s="220" t="s">
        <x:v>70</x:v>
      </x:c>
      <x:c r="B16" s="217"/>
      <x:c r="C16" s="217"/>
      <x:c r="D16" s="217"/>
      <x:c r="E16" s="217"/>
      <x:c r="F16" s="216"/>
      <x:c r="G16" s="214" t="s">
        <x:v>70</x:v>
      </x:c>
      <x:c r="H16" s="214"/>
      <x:c r="I16" s="214"/>
      <x:c r="J16" s="214"/>
      <x:c r="K16" s="221"/>
    </x:row>
    <x:row r="17" spans="1:11" ht="30.949999999999999" customHeight="1">
      <x:c r="A17" s="213" t="s">
        <x:v>3</x:v>
      </x:c>
      <x:c r="B17" s="214"/>
      <x:c r="C17" s="202"/>
      <x:c r="D17" s="202"/>
      <x:c r="E17" s="202"/>
      <x:c r="F17" s="202"/>
      <x:c r="G17" s="3" t="s">
        <x:v>3</x:v>
      </x:c>
      <x:c r="H17" s="202"/>
      <x:c r="I17" s="202"/>
      <x:c r="J17" s="202"/>
      <x:c r="K17" s="203"/>
    </x:row>
    <x:row r="18" spans="1:11" ht="30.949999999999999" customHeight="1">
      <x:c r="A18" s="213" t="s">
        <x:v>50</x:v>
      </x:c>
      <x:c r="B18" s="214"/>
      <x:c r="C18" s="202"/>
      <x:c r="D18" s="202"/>
      <x:c r="E18" s="202"/>
      <x:c r="F18" s="202"/>
      <x:c r="G18" s="3" t="s">
        <x:v>50</x:v>
      </x:c>
      <x:c r="H18" s="202"/>
      <x:c r="I18" s="202"/>
      <x:c r="J18" s="202"/>
      <x:c r="K18" s="203"/>
    </x:row>
    <x:row r="19" spans="1:11" ht="30.949999999999999" customHeight="1">
      <x:c r="A19" s="213" t="s">
        <x:v>13</x:v>
      </x:c>
      <x:c r="B19" s="214"/>
      <x:c r="C19" s="202"/>
      <x:c r="D19" s="202"/>
      <x:c r="E19" s="202"/>
      <x:c r="F19" s="202"/>
      <x:c r="G19" s="3" t="s">
        <x:v>13</x:v>
      </x:c>
      <x:c r="H19" s="202"/>
      <x:c r="I19" s="202"/>
      <x:c r="J19" s="202"/>
      <x:c r="K19" s="203"/>
    </x:row>
    <x:row r="20" spans="1:11" ht="30.949999999999999" customHeight="1">
      <x:c r="A20" s="213" t="s">
        <x:v>41</x:v>
      </x:c>
      <x:c r="B20" s="214"/>
      <x:c r="C20" s="202"/>
      <x:c r="D20" s="202"/>
      <x:c r="E20" s="202"/>
      <x:c r="F20" s="202"/>
      <x:c r="G20" s="3" t="s">
        <x:v>41</x:v>
      </x:c>
      <x:c r="H20" s="202"/>
      <x:c r="I20" s="202"/>
      <x:c r="J20" s="202"/>
      <x:c r="K20" s="203"/>
    </x:row>
    <x:row r="21" spans="1:11" ht="30.949999999999999" customHeight="1">
      <x:c r="A21" s="206" t="s">
        <x:v>52</x:v>
      </x:c>
      <x:c r="B21" s="207"/>
      <x:c r="C21" s="208">
        <x:f>SUM(C17:E20)</x:f>
        <x:v>0</x:v>
      </x:c>
      <x:c r="D21" s="209"/>
      <x:c r="E21" s="209"/>
      <x:c r="F21" s="210"/>
      <x:c r="G21" s="4" t="s">
        <x:v>52</x:v>
      </x:c>
      <x:c r="H21" s="211">
        <x:f>SUM(H17:K20)</x:f>
        <x:v>0</x:v>
      </x:c>
      <x:c r="I21" s="211"/>
      <x:c r="J21" s="211"/>
      <x:c r="K21" s="212"/>
    </x:row>
  </x:sheetData>
  <x:mergeCells count="62"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1:B11"/>
    <x:mergeCell ref="C11:G11"/>
    <x:mergeCell ref="I11:K11"/>
    <x:mergeCell ref="A12:B12"/>
    <x:mergeCell ref="C12:G12"/>
    <x:mergeCell ref="I12:K12"/>
    <x:mergeCell ref="E6:F6"/>
    <x:mergeCell ref="A7:B10"/>
    <x:mergeCell ref="C7:G10"/>
    <x:mergeCell ref="I8:J8"/>
    <x:mergeCell ref="H9:H10"/>
    <x:mergeCell ref="I9:J9"/>
    <x:mergeCell ref="I10:J10"/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abSelected="1" topLeftCell="A13" zoomScaleNormal="100" zoomScaleSheetLayoutView="75" workbookViewId="0">
      <x:selection activeCell="C28" activeCellId="0" sqref="C28:C28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0.875" style="1" customWidth="1"/>
    <x:col min="13" max="13" width="14.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9" t="s">
        <x:v>146</x:v>
      </x:c>
    </x:row>
    <x:row r="2" spans="1:2" ht="16.399999999999999">
      <x:c r="A2" s="11"/>
      <x:c r="B2" s="11"/>
    </x:row>
    <x:row r="3" ht="16.399999999999999"/>
    <x:row r="4" spans="1:16" customHeight="1">
      <x:c r="A4" s="181" t="s">
        <x:v>90</x:v>
      </x:c>
      <x:c r="B4" s="182"/>
      <x:c r="C4" s="182"/>
      <x:c r="D4" s="182"/>
      <x:c r="E4" s="183"/>
      <x:c r="F4" s="181" t="s">
        <x:v>78</x:v>
      </x:c>
      <x:c r="G4" s="182"/>
      <x:c r="H4" s="182"/>
      <x:c r="I4" s="182"/>
      <x:c r="J4" s="182"/>
      <x:c r="K4" s="183"/>
      <x:c r="M4" s="69"/>
      <x:c r="N4" s="69"/>
      <x:c r="O4" s="69"/>
      <x:c r="P4" s="69"/>
    </x:row>
    <x:row r="5" spans="1:16" s="15" customFormat="1" ht="17.149999999999999">
      <x:c r="A5" s="186" t="s">
        <x:v>2</x:v>
      </x:c>
      <x:c r="B5" s="187"/>
      <x:c r="C5" s="13"/>
      <x:c r="D5" s="13" t="s">
        <x:v>107</x:v>
      </x:c>
      <x:c r="E5" s="14" t="s">
        <x:v>142</x:v>
      </x:c>
      <x:c r="F5" s="12" t="s">
        <x:v>2</x:v>
      </x:c>
      <x:c r="G5" s="13" t="s">
        <x:v>25</x:v>
      </x:c>
      <x:c r="H5" s="13" t="s">
        <x:v>37</x:v>
      </x:c>
      <x:c r="I5" s="14"/>
      <x:c r="J5" s="13" t="s">
        <x:v>107</x:v>
      </x:c>
      <x:c r="K5" s="14"/>
      <x:c r="M5" s="76" t="s">
        <x:v>129</x:v>
      </x:c>
      <x:c r="N5" s="126">
        <x:f>SUM('1:31'!G6)</x:f>
        <x:v>19793000</x:v>
      </x:c>
      <x:c r="O5" s="69"/>
      <x:c r="P5" s="69"/>
    </x:row>
    <x:row r="6" spans="1:16" ht="16.399999999999999">
      <x:c r="A6" s="184" t="s">
        <x:v>33</x:v>
      </x:c>
      <x:c r="B6" s="185"/>
      <x:c r="C6" s="16">
        <x:v>6985000</x:v>
      </x:c>
      <x:c r="D6" s="16">
        <x:f>C6</x:f>
        <x:v>6985000</x:v>
      </x:c>
      <x:c r="E6" s="145">
        <x:f>D6/$B$45</x:f>
        <x:v>0.045916941847687992</x:v>
      </x:c>
      <x:c r="F6" s="175" t="s">
        <x:v>6</x:v>
      </x:c>
      <x:c r="G6" s="67" t="s">
        <x:v>20</x:v>
      </x:c>
      <x:c r="H6" s="16">
        <x:f>SUM('1:31'!I4)</x:f>
        <x:v>32761105</x:v>
      </x:c>
      <x:c r="I6" s="70">
        <x:f>H6/$B$45</x:f>
        <x:v>0.21536002192569798</x:v>
      </x:c>
      <x:c r="J6" s="178">
        <x:f>SUM(H6:H18)</x:f>
        <x:v>50089586</x:v>
      </x:c>
      <x:c r="K6" s="188">
        <x:f>J6/$B$45</x:f>
        <x:v>0.32927138261084704</x:v>
      </x:c>
      <x:c r="M6" s="75"/>
      <x:c r="N6" s="127"/>
      <x:c r="O6" s="69"/>
      <x:c r="P6" s="69"/>
    </x:row>
    <x:row r="7" spans="1:16" ht="16.75">
      <x:c r="A7" s="184" t="s">
        <x:v>36</x:v>
      </x:c>
      <x:c r="B7" s="185"/>
      <x:c r="C7" s="16">
        <x:v>2600000</x:v>
      </x:c>
      <x:c r="D7" s="16">
        <x:f>C7</x:f>
        <x:v>2600000</x:v>
      </x:c>
      <x:c r="E7" s="17">
        <x:f t="shared" ref="E7:E17" si="0">D7/$B$45</x:f>
        <x:v>0.017091488733570335</x:v>
      </x:c>
      <x:c r="F7" s="176"/>
      <x:c r="G7" s="67" t="s">
        <x:v>6</x:v>
      </x:c>
      <x:c r="H7" s="16">
        <x:f>SUM('1:31'!I5)</x:f>
        <x:v>6986991</x:v>
      </x:c>
      <x:c r="I7" s="70">
        <x:f>H7/$B$45</x:f>
        <x:v>0.045930029983868199</x:v>
      </x:c>
      <x:c r="J7" s="179"/>
      <x:c r="K7" s="174"/>
      <x:c r="M7" s="144" t="s">
        <x:v>62</x:v>
      </x:c>
      <x:c r="N7" s="128">
        <x:f>SUM('31'!C15)</x:f>
        <x:v>389</x:v>
      </x:c>
      <x:c r="O7" s="69"/>
      <x:c r="P7" s="69"/>
    </x:row>
    <x:row r="8" spans="1:16" ht="16.399999999999999">
      <x:c r="A8" s="184" t="s">
        <x:v>5</x:v>
      </x:c>
      <x:c r="B8" s="185"/>
      <x:c r="C8" s="16">
        <x:v>154000</x:v>
      </x:c>
      <x:c r="D8" s="16">
        <x:f t="shared" ref="D8:D17" si="1">C8</x:f>
        <x:v>154000</x:v>
      </x:c>
      <x:c r="E8" s="17">
        <x:f>D8/$B$45</x:f>
        <x:v>0.0010123420249883968</x:v>
      </x:c>
      <x:c r="F8" s="176"/>
      <x:c r="G8" s="67" t="s">
        <x:v>23</x:v>
      </x:c>
      <x:c r="H8" s="16">
        <x:f>SUM('1:31'!I7)</x:f>
        <x:v>5407690</x:v>
      </x:c>
      <x:c r="I8" s="146">
        <x:f>H8/$B$45</x:f>
        <x:v>0.035548258734477291</x:v>
      </x:c>
      <x:c r="J8" s="179"/>
      <x:c r="K8" s="174"/>
      <x:c r="M8" s="77" t="s">
        <x:v>40</x:v>
      </x:c>
      <x:c r="N8" s="129">
        <x:f>SUM('31'!C13)</x:f>
        <x:v>320</x:v>
      </x:c>
      <x:c r="O8" s="69"/>
      <x:c r="P8" s="69"/>
    </x:row>
    <x:row r="9" spans="1:16" ht="16.399999999999999">
      <x:c r="A9" s="190" t="s">
        <x:v>10</x:v>
      </x:c>
      <x:c r="B9" s="185"/>
      <x:c r="C9" s="16">
        <x:v>670000</x:v>
      </x:c>
      <x:c r="D9" s="16">
        <x:f t="shared" si="1"/>
        <x:v>670000</x:v>
      </x:c>
      <x:c r="E9" s="17">
        <x:f t="shared" si="0"/>
        <x:v>0.0044043451736508173</x:v>
      </x:c>
      <x:c r="F9" s="176"/>
      <x:c r="G9" s="67" t="s">
        <x:v>43</x:v>
      </x:c>
      <x:c r="H9" s="16">
        <x:f>SUM('1:31'!I8)</x:f>
        <x:v>845000</x:v>
      </x:c>
      <x:c r="I9" s="146">
        <x:f>H9/$B$45</x:f>
        <x:v>0.0055547338384103586</x:v>
      </x:c>
      <x:c r="J9" s="179"/>
      <x:c r="K9" s="174"/>
      <x:c r="M9" s="77" t="s">
        <x:v>49</x:v>
      </x:c>
      <x:c r="N9" s="129">
        <x:f>SUM('31'!C17)</x:f>
        <x:v>136</x:v>
      </x:c>
      <x:c r="O9" s="69"/>
      <x:c r="P9" s="69"/>
    </x:row>
    <x:row r="10" spans="1:16" ht="16.399999999999999">
      <x:c r="A10" s="184" t="s">
        <x:v>79</x:v>
      </x:c>
      <x:c r="B10" s="185"/>
      <x:c r="C10" s="16">
        <x:v>66000</x:v>
      </x:c>
      <x:c r="D10" s="16">
        <x:f t="shared" si="1"/>
        <x:v>66000</x:v>
      </x:c>
      <x:c r="E10" s="17">
        <x:f t="shared" si="0"/>
        <x:v>0.00043386086785217001</x:v>
      </x:c>
      <x:c r="F10" s="176"/>
      <x:c r="G10" s="67" t="s">
        <x:v>56</x:v>
      </x:c>
      <x:c r="H10" s="16">
        <x:f>SUM('1:31'!I11)</x:f>
        <x:v>0</x:v>
      </x:c>
      <x:c r="I10" s="70">
        <x:f>H10/$B$45</x:f>
        <x:v>0</x:v>
      </x:c>
      <x:c r="J10" s="179"/>
      <x:c r="K10" s="174"/>
      <x:c r="M10" s="77" t="s">
        <x:v>131</x:v>
      </x:c>
      <x:c r="N10" s="129">
        <x:f>SUM('31'!F13)</x:f>
        <x:v>82</x:v>
      </x:c>
      <x:c r="O10" s="69"/>
      <x:c r="P10" s="69"/>
    </x:row>
    <x:row r="11" spans="1:16" ht="16.399999999999999">
      <x:c r="A11" s="184" t="s">
        <x:v>44</x:v>
      </x:c>
      <x:c r="B11" s="185"/>
      <x:c r="C11" s="16">
        <x:v>330000</x:v>
      </x:c>
      <x:c r="D11" s="16">
        <x:f t="shared" si="1"/>
        <x:v>330000</x:v>
      </x:c>
      <x:c r="E11" s="17">
        <x:f t="shared" si="0"/>
        <x:v>0.0021693043392608503</x:v>
      </x:c>
      <x:c r="F11" s="176"/>
      <x:c r="G11" s="67" t="s">
        <x:v>100</x:v>
      </x:c>
      <x:c r="H11" s="16">
        <x:f>SUM('1:31'!I12)</x:f>
        <x:v>0</x:v>
      </x:c>
      <x:c r="I11" s="70">
        <x:f>H11/$B$45</x:f>
        <x:v>0</x:v>
      </x:c>
      <x:c r="J11" s="179"/>
      <x:c r="K11" s="174"/>
      <x:c r="M11" s="77" t="s">
        <x:v>93</x:v>
      </x:c>
      <x:c r="N11" s="129">
        <x:f>SUM('31'!F15)</x:f>
        <x:v>315</x:v>
      </x:c>
      <x:c r="O11" s="69"/>
      <x:c r="P11" s="69"/>
    </x:row>
    <x:row r="12" spans="1:16" ht="16.399999999999999">
      <x:c r="A12" s="184" t="s">
        <x:v>35</x:v>
      </x:c>
      <x:c r="B12" s="185"/>
      <x:c r="C12" s="16">
        <x:v>48000</x:v>
      </x:c>
      <x:c r="D12" s="16">
        <x:f t="shared" si="1"/>
        <x:v>48000</x:v>
      </x:c>
      <x:c r="E12" s="17">
        <x:f t="shared" si="0"/>
        <x:v>0.00031553517661976003</x:v>
      </x:c>
      <x:c r="F12" s="176"/>
      <x:c r="G12" s="67" t="s">
        <x:v>119</x:v>
      </x:c>
      <x:c r="H12" s="16">
        <x:f>SUM('1:31'!I13)</x:f>
        <x:v>480000</x:v>
      </x:c>
      <x:c r="I12" s="70">
        <x:f>H12/$B$45</x:f>
        <x:v>0.0031553517661976</x:v>
      </x:c>
      <x:c r="J12" s="179"/>
      <x:c r="K12" s="174"/>
      <x:c r="M12" s="77" t="s">
        <x:v>115</x:v>
      </x:c>
      <x:c r="N12" s="129">
        <x:f>SUM('31'!F17)</x:f>
        <x:v>284</x:v>
      </x:c>
      <x:c r="O12" s="69"/>
      <x:c r="P12" s="69"/>
    </x:row>
    <x:row r="13" spans="1:16" ht="16.399999999999999">
      <x:c r="A13" s="190" t="s">
        <x:v>98</x:v>
      </x:c>
      <x:c r="B13" s="185"/>
      <x:c r="C13" s="16">
        <x:v>66000</x:v>
      </x:c>
      <x:c r="D13" s="16">
        <x:f t="shared" si="1"/>
        <x:v>66000</x:v>
      </x:c>
      <x:c r="E13" s="17">
        <x:f t="shared" si="0"/>
        <x:v>0.00043386086785217001</x:v>
      </x:c>
      <x:c r="F13" s="176"/>
      <x:c r="G13" s="67" t="s">
        <x:v>109</x:v>
      </x:c>
      <x:c r="H13" s="16">
        <x:f>SUM('1:31'!I14)</x:f>
        <x:v>0</x:v>
      </x:c>
      <x:c r="I13" s="70">
        <x:f>H13/$B$45</x:f>
        <x:v>0</x:v>
      </x:c>
      <x:c r="J13" s="179"/>
      <x:c r="K13" s="174"/>
      <x:c r="M13" s="143" t="s">
        <x:v>89</x:v>
      </x:c>
      <x:c r="N13" s="129">
        <x:f>SUM('31'!C19)</x:f>
        <x:v>434</x:v>
      </x:c>
      <x:c r="O13" s="69"/>
      <x:c r="P13" s="69"/>
    </x:row>
    <x:row r="14" spans="1:16" ht="16.399999999999999">
      <x:c r="A14" s="184"/>
      <x:c r="B14" s="185"/>
      <x:c r="C14" s="16"/>
      <x:c r="D14" s="16">
        <x:f t="shared" si="1"/>
        <x:v>0</x:v>
      </x:c>
      <x:c r="E14" s="17">
        <x:f t="shared" si="0"/>
        <x:v>0</x:v>
      </x:c>
      <x:c r="F14" s="176"/>
      <x:c r="G14" s="67" t="s">
        <x:v>7</x:v>
      </x:c>
      <x:c r="H14" s="16">
        <x:f>SUM('1:31'!I17)</x:f>
        <x:v>9600</x:v>
      </x:c>
      <x:c r="I14" s="70">
        <x:f>H14/$B$45</x:f>
        <x:v>6.3107035323952006E-5</x:v>
      </x:c>
      <x:c r="J14" s="179"/>
      <x:c r="K14" s="174"/>
      <x:c r="M14" s="131" t="s">
        <x:v>128</x:v>
      </x:c>
      <x:c r="N14" s="129">
        <x:f>SUM('31'!F19)</x:f>
        <x:v>69</x:v>
      </x:c>
      <x:c r="O14" s="69"/>
      <x:c r="P14" s="69"/>
    </x:row>
    <x:row r="15" spans="1:16" ht="16.75">
      <x:c r="A15" s="184"/>
      <x:c r="B15" s="185"/>
      <x:c r="C15" s="16"/>
      <x:c r="D15" s="16">
        <x:f t="shared" si="1"/>
        <x:v>0</x:v>
      </x:c>
      <x:c r="E15" s="17">
        <x:f t="shared" si="0"/>
        <x:v>0</x:v>
      </x:c>
      <x:c r="F15" s="176"/>
      <x:c r="G15" s="150" t="s">
        <x:v>104</x:v>
      </x:c>
      <x:c r="H15" s="91">
        <x:f>SUM('1:31'!I15)</x:f>
        <x:v>3599200</x:v>
      </x:c>
      <x:c r="I15" s="72">
        <x:f>H15/$B$45</x:f>
        <x:v>0.02365987932687167</x:v>
      </x:c>
      <x:c r="J15" s="179"/>
      <x:c r="K15" s="174"/>
      <x:c r="M15" s="140" t="s">
        <x:v>161</x:v>
      </x:c>
      <x:c r="N15" s="130">
        <x:f>SUM('31'!F21)</x:f>
        <x:v>1498</x:v>
      </x:c>
      <x:c r="O15" s="69"/>
      <x:c r="P15" s="69"/>
    </x:row>
    <x:row r="16" spans="1:16" ht="16.399999999999999">
      <x:c r="A16" s="192" t="s">
        <x:v>57</x:v>
      </x:c>
      <x:c r="B16" s="193"/>
      <x:c r="C16" s="16"/>
      <x:c r="D16" s="16">
        <x:f t="shared" si="1"/>
        <x:v>0</x:v>
      </x:c>
      <x:c r="E16" s="17">
        <x:f t="shared" si="0"/>
        <x:v>0</x:v>
      </x:c>
      <x:c r="F16" s="176"/>
      <x:c r="J16" s="179"/>
      <x:c r="K16" s="174"/>
      <x:c r="M16" s="75"/>
      <x:c r="N16" s="127"/>
      <x:c r="O16" s="69"/>
      <x:c r="P16" s="69"/>
    </x:row>
    <x:row r="17" spans="1:16" ht="16.399999999999999">
      <x:c r="A17" s="192" t="s">
        <x:v>29</x:v>
      </x:c>
      <x:c r="B17" s="193"/>
      <x:c r="C17" s="16">
        <x:v>1298410</x:v>
      </x:c>
      <x:c r="D17" s="16">
        <x:f t="shared" si="1"/>
        <x:v>1298410</x:v>
      </x:c>
      <x:c r="E17" s="17">
        <x:f t="shared" si="0"/>
        <x:v>0.0085352922640596369</x:v>
      </x:c>
      <x:c r="F17" s="176"/>
      <x:c r="J17" s="179"/>
      <x:c r="K17" s="174"/>
      <x:c r="M17" s="69"/>
      <x:c r="N17" s="69"/>
      <x:c r="O17" s="69"/>
      <x:c r="P17" s="69"/>
    </x:row>
    <x:row r="18" spans="1:14" ht="17.149999999999999">
      <x:c r="A18" s="157" t="s">
        <x:v>77</x:v>
      </x:c>
      <x:c r="B18" s="158"/>
      <x:c r="C18" s="159">
        <x:f>SUM(D6:D17)</x:f>
        <x:v>12217410</x:v>
      </x:c>
      <x:c r="D18" s="160"/>
      <x:c r="E18" s="90">
        <x:f>SUM(E6:E17)</x:f>
        <x:v>0.080312971295542143</x:v>
      </x:c>
      <x:c r="F18" s="177"/>
      <x:c r="J18" s="180"/>
      <x:c r="K18" s="189"/>
      <x:c r="M18" s="82"/>
      <x:c r="N18" s="69"/>
    </x:row>
    <x:row r="19" spans="1:14" ht="17.449999999999999" customHeight="1">
      <x:c r="A19" s="161" t="s">
        <x:v>54</x:v>
      </x:c>
      <x:c r="B19" s="96" t="s">
        <x:v>42</x:v>
      </x:c>
      <x:c r="C19" s="106">
        <x:v>3300000</x:v>
      </x:c>
      <x:c r="D19" s="179">
        <x:f>SUM(C19:C30)</x:f>
        <x:v>21279000</x:v>
      </x:c>
      <x:c r="E19" s="197">
        <x:f>D19/$B$45</x:f>
        <x:v>0.13988068798524736</x:v>
      </x:c>
      <x:c r="F19" s="171" t="s">
        <x:v>73</x:v>
      </x:c>
      <x:c r="G19" s="151" t="s">
        <x:v>34</x:v>
      </x:c>
      <x:c r="H19" s="16">
        <x:f>SUM('1:31'!K4)</x:f>
        <x:v>1202000</x:v>
      </x:c>
      <x:c r="I19" s="71">
        <x:f t="shared" ref="I19:I22" si="2">H19/$B$45</x:f>
        <x:v>0.0079015267145198242</x:v>
      </x:c>
      <x:c r="J19" s="194">
        <x:f>SUM(H19:H32)</x:f>
        <x:v>4162520</x:v>
      </x:c>
      <x:c r="K19" s="173">
        <x:f>J19/$B$45</x:f>
        <x:v>0.027362947570485071</x:v>
      </x:c>
      <x:c r="M19" s="69"/>
      <x:c r="N19" s="69"/>
    </x:row>
    <x:row r="20" spans="1:16" ht="16.399999999999999">
      <x:c r="A20" s="161"/>
      <x:c r="D20" s="179"/>
      <x:c r="E20" s="198"/>
      <x:c r="F20" s="172"/>
      <x:c r="G20" s="152" t="s">
        <x:v>125</x:v>
      </x:c>
      <x:c r="H20" s="16">
        <x:f>SUM('1:31'!K6)</x:f>
        <x:v>504000</x:v>
      </x:c>
      <x:c r="I20" s="70">
        <x:f t="shared" si="2"/>
        <x:v>0.00331311935450748</x:v>
      </x:c>
      <x:c r="J20" s="179"/>
      <x:c r="K20" s="174"/>
      <x:c r="M20" s="69"/>
      <x:c r="N20" s="69"/>
      <x:c r="P20" s="92"/>
    </x:row>
    <x:row r="21" spans="1:16" ht="16.399999999999999">
      <x:c r="A21" s="161"/>
      <x:c r="B21" s="138" t="s">
        <x:v>39</x:v>
      </x:c>
      <x:c r="C21" s="16">
        <x:v>4000000</x:v>
      </x:c>
      <x:c r="D21" s="179"/>
      <x:c r="E21" s="198"/>
      <x:c r="F21" s="172"/>
      <x:c r="G21" s="152" t="s">
        <x:v>74</x:v>
      </x:c>
      <x:c r="H21" s="16">
        <x:f>SUM('1:31'!K7)</x:f>
        <x:v>25000</x:v>
      </x:c>
      <x:c r="I21" s="70">
        <x:f t="shared" si="2"/>
        <x:v>0.00016434123782279168</x:v>
      </x:c>
      <x:c r="J21" s="179"/>
      <x:c r="K21" s="174"/>
      <x:c r="M21" s="69"/>
      <x:c r="N21" s="69"/>
      <x:c r="P21" s="92"/>
    </x:row>
    <x:row r="22" spans="1:16" ht="16.399999999999999">
      <x:c r="A22" s="161"/>
      <x:c r="B22" s="138" t="s">
        <x:v>45</x:v>
      </x:c>
      <x:c r="C22" s="16">
        <x:v>3300000</x:v>
      </x:c>
      <x:c r="D22" s="179"/>
      <x:c r="E22" s="198"/>
      <x:c r="F22" s="172"/>
      <x:c r="G22" s="67" t="s">
        <x:v>16</x:v>
      </x:c>
      <x:c r="H22" s="16">
        <x:f>SUM('1:31'!K9)</x:f>
        <x:v>328900</x:v>
      </x:c>
      <x:c r="I22" s="70">
        <x:f t="shared" si="2"/>
        <x:v>0.0021620733247966471</x:v>
      </x:c>
      <x:c r="J22" s="179"/>
      <x:c r="K22" s="174"/>
      <x:c r="M22" s="69"/>
      <x:c r="N22" s="69"/>
      <x:c r="P22" s="92"/>
    </x:row>
    <x:row r="23" spans="1:16" ht="16.399999999999999">
      <x:c r="A23" s="161"/>
      <x:c r="D23" s="179"/>
      <x:c r="E23" s="198"/>
      <x:c r="F23" s="172"/>
      <x:c r="G23" s="67" t="s">
        <x:v>51</x:v>
      </x:c>
      <x:c r="H23" s="16">
        <x:f>SUM('1:31'!K10)</x:f>
        <x:v>71500</x:v>
      </x:c>
      <x:c r="I23" s="70">
        <x:f>H23/$B$45</x:f>
        <x:v>0.00047001594017318421</x:v>
      </x:c>
      <x:c r="J23" s="179"/>
      <x:c r="K23" s="174"/>
      <x:c r="M23" s="69"/>
      <x:c r="N23" s="69"/>
      <x:c r="P23" s="92"/>
    </x:row>
    <x:row r="24" spans="1:16" ht="16.399999999999999">
      <x:c r="A24" s="161"/>
      <x:c r="B24" s="138" t="s">
        <x:v>150</x:v>
      </x:c>
      <x:c r="C24" s="16">
        <x:v>1500000</x:v>
      </x:c>
      <x:c r="D24" s="179"/>
      <x:c r="E24" s="198"/>
      <x:c r="F24" s="172"/>
      <x:c r="G24" s="67" t="s">
        <x:v>80</x:v>
      </x:c>
      <x:c r="H24" s="16">
        <x:f>SUM('1:31'!K11)</x:f>
        <x:v>0</x:v>
      </x:c>
      <x:c r="I24" s="70">
        <x:f>H24/$B$45</x:f>
        <x:v>0</x:v>
      </x:c>
      <x:c r="J24" s="179"/>
      <x:c r="K24" s="174"/>
      <x:c r="M24" s="69"/>
      <x:c r="N24" s="69"/>
      <x:c r="P24" s="15"/>
    </x:row>
    <x:row r="25" spans="1:14" ht="16.399999999999999">
      <x:c r="A25" s="161"/>
      <x:c r="D25" s="179"/>
      <x:c r="E25" s="198"/>
      <x:c r="F25" s="172"/>
      <x:c r="G25" s="54" t="s">
        <x:v>72</x:v>
      </x:c>
      <x:c r="H25" s="16">
        <x:f>SUM('1:31'!K15)</x:f>
        <x:v>0</x:v>
      </x:c>
      <x:c r="I25" s="70">
        <x:f>H25/$B$45</x:f>
        <x:v>0</x:v>
      </x:c>
      <x:c r="J25" s="179"/>
      <x:c r="K25" s="174"/>
      <x:c r="M25" s="69"/>
      <x:c r="N25" s="69"/>
    </x:row>
    <x:row r="26" spans="1:21" ht="16.399999999999999">
      <x:c r="A26" s="161"/>
      <x:c r="B26" s="138" t="s">
        <x:v>21</x:v>
      </x:c>
      <x:c r="C26" s="16">
        <x:f>SUM('1:31'!F28)</x:f>
        <x:v>2509000</x:v>
      </x:c>
      <x:c r="D26" s="179"/>
      <x:c r="E26" s="198"/>
      <x:c r="F26" s="172"/>
      <x:c r="G26" s="54" t="s">
        <x:v>95</x:v>
      </x:c>
      <x:c r="H26" s="16">
        <x:f>SUM('1:31'!K16)</x:f>
        <x:v>1996920</x:v>
      </x:c>
      <x:c r="I26" s="70">
        <x:f>H26/$B$45</x:f>
        <x:v>0.013127052185323566</x:v>
      </x:c>
      <x:c r="J26" s="179"/>
      <x:c r="K26" s="174"/>
      <x:c r="M26" s="69"/>
      <x:c r="N26" s="69"/>
      <x:c r="P26" s="92"/>
      <x:c r="T26" s="105"/>
      <x:c r="U26" s="104"/>
    </x:row>
    <x:row r="27" spans="1:21" ht="16.399999999999999">
      <x:c r="A27" s="161"/>
      <x:c r="B27" s="138" t="s">
        <x:v>148</x:v>
      </x:c>
      <x:c r="C27" s="16">
        <x:f>SUM('1:31'!F27)</x:f>
        <x:v>1361750</x:v>
      </x:c>
      <x:c r="D27" s="179"/>
      <x:c r="E27" s="198"/>
      <x:c r="F27" s="172"/>
      <x:c r="G27" s="54" t="s">
        <x:v>88</x:v>
      </x:c>
      <x:c r="H27" s="16">
        <x:f>SUM('1:31'!K17)</x:f>
        <x:v>34200</x:v>
      </x:c>
      <x:c r="I27" s="70">
        <x:f>H27/$B$45</x:f>
        <x:v>0.00022481881334157901</x:v>
      </x:c>
      <x:c r="J27" s="179"/>
      <x:c r="K27" s="174"/>
      <x:c r="M27" s="69"/>
      <x:c r="N27" s="69"/>
      <x:c r="P27" s="92"/>
      <x:c r="T27" s="105"/>
      <x:c r="U27" s="104"/>
    </x:row>
    <x:row r="28" spans="1:21" ht="16.399999999999999">
      <x:c r="A28" s="161"/>
      <x:c r="B28" s="138" t="s">
        <x:v>55</x:v>
      </x:c>
      <x:c r="C28" s="16">
        <x:f>SUM('1:31'!F29)+SUM('1:31'!F30)</x:f>
        <x:v>1108250</x:v>
      </x:c>
      <x:c r="D28" s="179"/>
      <x:c r="E28" s="198"/>
      <x:c r="F28" s="172"/>
      <x:c r="G28" s="54"/>
      <x:c r="H28" s="16"/>
      <x:c r="I28" s="70"/>
      <x:c r="J28" s="179"/>
      <x:c r="K28" s="174"/>
      <x:c r="P28" s="92"/>
      <x:c r="T28" s="105"/>
      <x:c r="U28" s="104"/>
    </x:row>
    <x:row r="29" spans="1:21" ht="16.399999999999999">
      <x:c r="A29" s="161"/>
      <x:c r="B29" s="138" t="s">
        <x:v>136</x:v>
      </x:c>
      <x:c r="C29" s="16">
        <x:f>SUM('1:31'!F32)</x:f>
        <x:v>2238000</x:v>
      </x:c>
      <x:c r="D29" s="179"/>
      <x:c r="E29" s="198"/>
      <x:c r="F29" s="172"/>
      <x:c r="J29" s="179"/>
      <x:c r="K29" s="174"/>
      <x:c r="P29" s="92"/>
      <x:c r="T29" s="105"/>
      <x:c r="U29" s="104"/>
    </x:row>
    <x:row r="30" spans="1:21" ht="16.399999999999999">
      <x:c r="A30" s="161"/>
      <x:c r="B30" s="138" t="s">
        <x:v>4</x:v>
      </x:c>
      <x:c r="C30" s="16">
        <x:f>SUM('1:31'!F31)</x:f>
        <x:v>1962000</x:v>
      </x:c>
      <x:c r="D30" s="179"/>
      <x:c r="E30" s="198"/>
      <x:c r="F30" s="172"/>
      <x:c r="J30" s="179"/>
      <x:c r="K30" s="174"/>
      <x:c r="P30" s="92"/>
      <x:c r="T30" s="105"/>
      <x:c r="U30" s="104"/>
    </x:row>
    <x:row r="31" spans="1:11" ht="16.399999999999999">
      <x:c r="A31" s="162"/>
      <x:c r="B31" s="138" t="s">
        <x:v>52</x:v>
      </x:c>
      <x:c r="C31" s="16">
        <x:f>SUM(C19:C30)</x:f>
        <x:v>21279000</x:v>
      </x:c>
      <x:c r="D31" s="199"/>
      <x:c r="E31" s="198"/>
      <x:c r="F31" s="172"/>
      <x:c r="J31" s="179"/>
      <x:c r="K31" s="174"/>
    </x:row>
    <x:row r="32" spans="1:11" ht="16.399999999999999">
      <x:c r="A32" s="200" t="s">
        <x:v>66</x:v>
      </x:c>
      <x:c r="B32" s="201"/>
      <x:c r="C32" s="19">
        <x:f>SUM(C19:C22)*0.1</x:f>
        <x:v>1060000</x:v>
      </x:c>
      <x:c r="D32" s="16">
        <x:f>C32</x:f>
        <x:v>1060000</x:v>
      </x:c>
      <x:c r="E32" s="174">
        <x:f>(D32:D33)/$B$45</x:f>
        <x:v>0.006968068483686367</x:v>
      </x:c>
      <x:c r="F32" s="172"/>
      <x:c r="G32" s="103"/>
      <x:c r="H32" s="83"/>
      <x:c r="I32" s="70"/>
      <x:c r="J32" s="179"/>
      <x:c r="K32" s="174"/>
    </x:row>
    <x:row r="33" spans="1:11" ht="16.75">
      <x:c r="A33" s="155" t="s">
        <x:v>76</x:v>
      </x:c>
      <x:c r="B33" s="156"/>
      <x:c r="C33" s="141"/>
      <x:c r="D33" s="142">
        <x:f>C33</x:f>
        <x:v>0</x:v>
      </x:c>
      <x:c r="E33" s="189"/>
      <x:c r="F33" s="163" t="s">
        <x:v>67</x:v>
      </x:c>
      <x:c r="G33" s="164"/>
      <x:c r="H33" s="84">
        <x:f>SUM('1:31'!$G$5)</x:f>
        <x:v>191757</x:v>
      </x:c>
      <x:c r="I33" s="84"/>
      <x:c r="J33" s="84">
        <x:f>H33</x:f>
        <x:v>191757</x:v>
      </x:c>
      <x:c r="K33" s="85">
        <x:f>J33/$B$45</x:f>
        <x:v>0.0012605433096474026</x:v>
      </x:c>
    </x:row>
    <x:row r="34" spans="1:11" ht="21.399999999999999">
      <x:c r="A34" s="195" t="s">
        <x:v>77</x:v>
      </x:c>
      <x:c r="B34" s="196"/>
      <x:c r="C34" s="169">
        <x:f>SUM(C6:D17,C19:C24,C32:C33)</x:f>
        <x:v>37594820</x:v>
      </x:c>
      <x:c r="D34" s="170"/>
      <x:c r="E34" s="20">
        <x:f>SUM(E19:E33)</x:f>
        <x:v>0.14684875646893372</x:v>
      </x:c>
      <x:c r="F34" s="165" t="s">
        <x:v>144</x:v>
      </x:c>
      <x:c r="G34" s="166"/>
      <x:c r="H34" s="86">
        <x:f>SUM('1:31'!$G$4)</x:f>
        <x:v>3475661.5</x:v>
      </x:c>
      <x:c r="I34" s="86"/>
      <x:c r="J34" s="86">
        <x:f>H34</x:f>
        <x:v>3475661.5</x:v>
      </x:c>
      <x:c r="K34" s="87">
        <x:f>J34/$B$45</x:f>
        <x:v>0.022847780526520835</x:v>
      </x:c>
    </x:row>
    <x:row r="35" spans="1:11" ht="21.399999999999999">
      <x:c r="A35" s="167" t="s">
        <x:v>110</x:v>
      </x:c>
      <x:c r="B35" s="168"/>
      <x:c r="E35" s="21">
        <x:f>E18+E34</x:f>
        <x:v>0.22716172776447585</x:v>
      </x:c>
      <x:c r="F35" s="167"/>
      <x:c r="G35" s="168"/>
      <x:c r="H35" s="169">
        <x:f>SUM(J6:J34)</x:f>
        <x:v>57919524.5</x:v>
      </x:c>
      <x:c r="I35" s="170"/>
      <x:c r="J35" s="191"/>
      <x:c r="K35" s="22">
        <x:f>SUM(K6:K34)</x:f>
        <x:v>0.38074265401750035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37</x:v>
      </x:c>
      <x:c r="C38" s="26" t="s">
        <x:v>134</x:v>
      </x:c>
      <x:c r="D38" s="99" t="s">
        <x:v>113</x:v>
      </x:c>
      <x:c r="F38" s="27" t="s">
        <x:v>103</x:v>
      </x:c>
      <x:c r="G38" s="28"/>
      <x:c r="H38" s="28"/>
      <x:c r="I38" s="28"/>
      <x:c r="J38" s="28"/>
      <x:c r="K38" s="29"/>
    </x:row>
    <x:row r="39" spans="1:11" ht="17.800000000000001">
      <x:c r="A39" s="118" t="s">
        <x:v>90</x:v>
      </x:c>
      <x:c r="B39" s="30">
        <x:f>$C$34</x:f>
        <x:v>37594820</x:v>
      </x:c>
      <x:c r="C39" s="31">
        <x:f>B39/$B$41</x:f>
        <x:v>0.39360391569247488</x:v>
      </x:c>
      <x:c r="D39" s="32">
        <x:f>B39/$B$45</x:f>
        <x:v>0.24713517018100178</x:v>
      </x:c>
      <x:c r="F39" s="33" t="s">
        <x:v>63</x:v>
      </x:c>
      <x:c r="G39" s="34"/>
      <x:c r="H39" s="34"/>
      <x:c r="I39" s="34"/>
      <x:c r="J39" s="34"/>
      <x:c r="K39" s="74"/>
    </x:row>
    <x:row r="40" spans="1:11" ht="17.800000000000001">
      <x:c r="A40" s="119" t="s">
        <x:v>78</x:v>
      </x:c>
      <x:c r="B40" s="35">
        <x:f>$H$35</x:f>
        <x:v>57919524.5</x:v>
      </x:c>
      <x:c r="C40" s="31">
        <x:f>B40/$B$41</x:f>
        <x:v>0.60639608430752512</x:v>
      </x:c>
      <x:c r="D40" s="32">
        <x:f>B40/$B$45</x:f>
        <x:v>0.38074265401750035</x:v>
      </x:c>
      <x:c r="F40" s="153" t="s">
        <x:v>28</x:v>
      </x:c>
      <x:c r="G40" s="154"/>
      <x:c r="H40" s="34" t="s">
        <x:v>15</x:v>
      </x:c>
      <x:c r="I40" s="34"/>
      <x:c r="J40" s="34"/>
      <x:c r="K40" s="36">
        <x:f>$C$34</x:f>
        <x:v>37594820</x:v>
      </x:c>
    </x:row>
    <x:row r="41" spans="1:11" ht="17.800000000000001">
      <x:c r="A41" s="120" t="s">
        <x:v>24</x:v>
      </x:c>
      <x:c r="B41" s="115">
        <x:f>SUM(B39:B40)</x:f>
        <x:v>95514344.5</x:v>
      </x:c>
      <x:c r="C41" s="116">
        <x:f>SUM(C39:C40)</x:f>
        <x:v>1</x:v>
      </x:c>
      <x:c r="D41" s="117">
        <x:f>SUM(D39:D40)</x:f>
        <x:v>0.62787782419850213</x:v>
      </x:c>
      <x:c r="F41" s="153" t="s">
        <x:v>1</x:v>
      </x:c>
      <x:c r="G41" s="154"/>
      <x:c r="H41" s="34" t="s">
        <x:v>0</x:v>
      </x:c>
      <x:c r="I41" s="34"/>
      <x:c r="J41" s="34"/>
      <x:c r="K41" s="39">
        <x:f>$H$35</x:f>
        <x:v>57919524.5</x:v>
      </x:c>
    </x:row>
    <x:row r="42" spans="1:11" customHeight="1">
      <x:c r="A42" s="121" t="s">
        <x:v>120</x:v>
      </x:c>
      <x:c r="B42" s="48">
        <x:f>SUM('1:31'!C4)</x:f>
        <x:v>132411800.3</x:v>
      </x:c>
      <x:c r="C42" s="49"/>
      <x:c r="D42" s="40">
        <x:f>B42/$B$45</x:f>
        <x:v>0.87042876654585188</x:v>
      </x:c>
      <x:c r="F42" s="153" t="s">
        <x:v>58</x:v>
      </x:c>
      <x:c r="G42" s="154"/>
      <x:c r="H42" s="34" t="s">
        <x:v>32</x:v>
      </x:c>
      <x:c r="I42" s="34"/>
      <x:c r="J42" s="34"/>
      <x:c r="K42" s="39">
        <x:f>$B$45</x:f>
        <x:v>152122500.30000001</x:v>
      </x:c>
    </x:row>
    <x:row r="43" spans="1:11" customHeight="1">
      <x:c r="A43" s="119" t="s">
        <x:v>127</x:v>
      </x:c>
      <x:c r="B43" s="35">
        <x:f>SUM('1:31'!C5)</x:f>
        <x:v>19710700</x:v>
      </x:c>
      <x:c r="C43" s="35"/>
      <x:c r="D43" s="41">
        <x:f>B43/$B$45</x:f>
        <x:v>0.129571233454148</x:v>
      </x:c>
      <x:c r="F43" s="153" t="s">
        <x:v>138</x:v>
      </x:c>
      <x:c r="G43" s="154"/>
      <x:c r="H43" s="34" t="s">
        <x:v>53</x:v>
      </x:c>
      <x:c r="I43" s="34"/>
      <x:c r="J43" s="34"/>
      <x:c r="K43" s="42">
        <x:f>(K41)/K42</x:f>
        <x:v>0.38074265401750035</x:v>
      </x:c>
    </x:row>
    <x:row r="44" spans="1:11" customHeight="1">
      <x:c r="A44" s="119" t="s">
        <x:v>133</x:v>
      </x:c>
      <x:c r="B44" s="35">
        <x:f>SUM('1:31'!C6)</x:f>
        <x:v>0</x:v>
      </x:c>
      <x:c r="C44" s="18"/>
      <x:c r="D44" s="41">
        <x:f>B44/$B$45</x:f>
        <x:v>0</x:v>
      </x:c>
      <x:c r="F44" s="43" t="s">
        <x:v>65</x:v>
      </x:c>
      <x:c r="G44" s="44"/>
      <x:c r="H44" s="44" t="s">
        <x:v>143</x:v>
      </x:c>
      <x:c r="I44" s="44"/>
      <x:c r="J44" s="44"/>
      <x:c r="K44" s="45">
        <x:f>K40/(1-K43)</x:f>
        <x:v>60709526.086207196</x:v>
      </x:c>
    </x:row>
    <x:row r="45" spans="1:4" customHeight="1">
      <x:c r="A45" s="122" t="s">
        <x:v>11</x:v>
      </x:c>
      <x:c r="B45" s="37">
        <x:f>SUM(B42:B44)</x:f>
        <x:v>152122500.30000001</x:v>
      </x:c>
      <x:c r="C45" s="50"/>
      <x:c r="D45" s="38"/>
    </x:row>
    <x:row r="46" spans="1:4" customHeight="1">
      <x:c r="A46" s="123" t="s">
        <x:v>87</x:v>
      </x:c>
      <x:c r="B46" s="46">
        <x:f>B45-B41</x:f>
        <x:v>56608155.800000012</x:v>
      </x:c>
      <x:c r="C46" s="47"/>
      <x:c r="D46" s="73">
        <x:f>B46/B45</x:f>
        <x:v>0.37212217580149781</x:v>
      </x:c>
    </x:row>
    <x:row r="47" spans="1:13" ht="20.100000000000001" customHeight="1">
      <x:c r="A47" s="121" t="s">
        <x:v>106</x:v>
      </x:c>
      <x:c r="B47" s="48">
        <x:f>INT(B45*0.05)</x:f>
        <x:v>7606125</x:v>
      </x:c>
      <x:c r="C47" s="49"/>
      <x:c r="D47" s="40">
        <x:f>B47/B45</x:f>
        <x:v>0.049999999901395253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97</x:v>
      </x:c>
      <x:c r="B48" s="30">
        <x:f>INT(B45*0.02)</x:f>
        <x:v>3042450</x:v>
      </x:c>
      <x:c r="C48" s="78"/>
      <x:c r="D48" s="32">
        <x:f>B48/B45</x:f>
        <x:v>0.019999999960558103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105</x:v>
      </x:c>
      <x:c r="B49" s="37">
        <x:f>B46-B47-B48</x:f>
        <x:v>45959580.800000012</x:v>
      </x:c>
      <x:c r="C49" s="50"/>
      <x:c r="D49" s="73">
        <x:f>B49/B45</x:f>
        <x:v>0.30212217593954449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</x:v>
      </x:c>
      <x:c r="G1" s="68" t="s">
        <x:v>47</x:v>
      </x:c>
      <x:c r="H1" s="52" t="s">
        <x:v>121</x:v>
      </x:c>
      <x:c r="I1" s="52">
        <x:f>F1-K1</x:f>
        <x:v>1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3335500</x:v>
      </x:c>
      <x:c r="D2" s="312"/>
      <x:c r="E2" s="314" t="s">
        <x:v>38</x:v>
      </x:c>
      <x:c r="F2" s="315"/>
      <x:c r="G2" s="304">
        <x:v>144100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2" ht="30.949999999999999" customHeight="1">
      <x:c r="A4" s="306" t="s">
        <x:v>22</x:v>
      </x:c>
      <x:c r="B4" s="307"/>
      <x:c r="C4" s="271">
        <x:v>2762500</x:v>
      </x:c>
      <x:c r="D4" s="271"/>
      <x:c r="E4" s="313" t="s">
        <x:v>144</x:v>
      </x:c>
      <x:c r="F4" s="313"/>
      <x:c r="G4" s="133">
        <x:f>INT(C4*0.0275)</x:f>
        <x:v>75968</x:v>
      </x:c>
      <x:c r="H4" s="54" t="s">
        <x:v>20</x:v>
      </x:c>
      <x:c r="I4" s="124">
        <x:f>287697+294514+439200+221000+223080+190393-(14604+15091+9937+12168+6328+18946+3894+6081+15413+9122+152035+17281)</x:f>
        <x:v>1374984</x:v>
      </x:c>
      <x:c r="J4" s="80" t="s">
        <x:v>34</x:v>
      </x:c>
      <x:c r="K4" s="58"/>
      <x:c r="L4" s="95"/>
    </x:row>
    <x:row r="5" spans="1:11" ht="30.949999999999999" customHeight="1">
      <x:c r="A5" s="306" t="s">
        <x:v>59</x:v>
      </x:c>
      <x:c r="B5" s="307"/>
      <x:c r="C5" s="271">
        <x:v>573000</x:v>
      </x:c>
      <x:c r="D5" s="271"/>
      <x:c r="E5" s="262" t="s">
        <x:v>68</x:v>
      </x:c>
      <x:c r="F5" s="262"/>
      <x:c r="G5" s="133">
        <x:f>INT(C5*0.01)</x:f>
        <x:v>5730</x:v>
      </x:c>
      <x:c r="H5" s="54" t="s">
        <x:v>6</x:v>
      </x:c>
      <x:c r="I5" s="124">
        <x:f>90860+44000+44000+72000+69000+100000+16720+17060+6440+27540+35520+121000</x:f>
        <x:v>644140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660000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202100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/>
      <x:c r="D8" s="271"/>
      <x:c r="E8" s="258" t="s">
        <x:v>108</x:v>
      </x:c>
      <x:c r="F8" s="259"/>
      <x:c r="G8" s="292">
        <x:f>C5+G2-G6-C22</x:f>
        <x:v>57100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10000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5" t="s">
        <x:v>101</x:v>
      </x:c>
      <x:c r="B11" s="262"/>
      <x:c r="C11" s="284" t="s">
        <x:v>155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9</x:v>
      </x:c>
      <x:c r="D12" s="258" t="s">
        <x:v>131</x:v>
      </x:c>
      <x:c r="E12" s="259"/>
      <x:c r="F12" s="285">
        <x:v>4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SUM('1'!$C$12)</x:f>
        <x:v>9</x:v>
      </x:c>
      <x:c r="D13" s="260"/>
      <x:c r="E13" s="261"/>
      <x:c r="F13" s="290">
        <x:f>SUM('1'!$F$12)</x:f>
        <x:v>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11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SUM('1'!$C$14)</x:f>
        <x:v>11</x:v>
      </x:c>
      <x:c r="D15" s="260"/>
      <x:c r="E15" s="261"/>
      <x:c r="F15" s="290">
        <x:f>SUM('1'!$F$14)</x:f>
        <x:v>7</x:v>
      </x:c>
      <x:c r="G15" s="291"/>
      <x:c r="H15" s="54" t="s">
        <x:v>104</x:v>
      </x:c>
      <x:c r="I15" s="58">
        <x:f>13600+5500+5500+3500+9600+5900+22000+10500+4200+13500+7000</x:f>
        <x:v>100800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5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>
        <x:v>315400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SUM('1'!$C$16)</x:f>
        <x:v>5</x:v>
      </x:c>
      <x:c r="D17" s="260"/>
      <x:c r="E17" s="261"/>
      <x:c r="F17" s="257">
        <x:f>SUM('1'!$F$16)</x:f>
        <x:v>0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4</x:v>
      </x:c>
      <x:c r="D18" s="258" t="s">
        <x:v>128</x:v>
      </x:c>
      <x:c r="E18" s="259"/>
      <x:c r="F18" s="294">
        <x:v>1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SUM('1'!$C$18)</x:f>
        <x:v>4</x:v>
      </x:c>
      <x:c r="D19" s="260"/>
      <x:c r="E19" s="261"/>
      <x:c r="F19" s="257">
        <x:f>SUM('1'!$F$18)</x:f>
        <x:v>1</x:v>
      </x:c>
      <x:c r="G19" s="257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46</x:v>
      </x:c>
      <x:c r="B20" s="262"/>
      <x:c r="C20" s="54"/>
      <x:c r="D20" s="262" t="s">
        <x:v>111</x:v>
      </x:c>
      <x:c r="E20" s="262"/>
      <x:c r="F20" s="266">
        <x:v>40</x:v>
      </x:c>
      <x:c r="G20" s="266"/>
      <x:c r="H20" s="58"/>
      <x:c r="J20" s="54"/>
      <x:c r="K20" s="58"/>
      <x:c r="L20" s="60"/>
      <x:c r="M20" s="11"/>
    </x:row>
    <x:row r="21" spans="1:13" ht="21.949999999999999" customHeight="1">
      <x:c r="A21" s="59" t="s">
        <x:v>94</x:v>
      </x:c>
      <x:c r="B21" s="262"/>
      <x:c r="C21" s="54"/>
      <x:c r="D21" s="262" t="s">
        <x:v>112</x:v>
      </x:c>
      <x:c r="E21" s="262"/>
      <x:c r="F21" s="257">
        <x:f>SUM('1'!$F$20)</x:f>
        <x:v>40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289"/>
      <x:c r="D23" s="289"/>
      <x:c r="E23" s="289"/>
      <x:c r="F23" s="289"/>
      <x:c r="G23" s="289"/>
      <x:c r="H23" s="107" t="s">
        <x:v>92</x:v>
      </x:c>
      <x:c r="I23" s="108">
        <x:f>SUM(I4:I22)</x:f>
        <x:v>2322024</x:v>
      </x:c>
      <x:c r="J23" s="61" t="s">
        <x:v>117</x:v>
      </x:c>
      <x:c r="K23" s="62">
        <x:f>SUM(K4:K22)</x:f>
        <x:v>329700</x:v>
      </x:c>
      <x:c r="M23" s="89" t="s">
        <x:v>91</x:v>
      </x:c>
      <x:c r="N23" s="287">
        <x:f>C5+C6</x:f>
        <x:v>573000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0.69615469944536057</x:v>
      </x:c>
      <x:c r="J24" s="61" t="s">
        <x:v>8</x:v>
      </x:c>
      <x:c r="K24" s="63">
        <x:f>K23/A25</x:f>
        <x:v>0.098845750262329488</x:v>
      </x:c>
    </x:row>
    <x:row r="25" spans="1:11" ht="34.149999999999999" customHeight="1">
      <x:c r="A25" s="283">
        <x:f>C2</x:f>
        <x:v>3335500</x:v>
      </x:c>
      <x:c r="B25" s="272"/>
      <x:c r="C25" s="272">
        <x:f>E25/I1</x:f>
        <x:v>3335500</x:v>
      </x:c>
      <x:c r="D25" s="272"/>
      <x:c r="E25" s="272">
        <x:f>SUM('1'!$A$25)</x:f>
        <x:v>3335500</x:v>
      </x:c>
      <x:c r="F25" s="272"/>
      <x:c r="G25" s="272"/>
      <x:c r="H25" s="107" t="s">
        <x:v>31</x:v>
      </x:c>
      <x:c r="I25" s="108">
        <x:f>SUM('1'!$I$23)</x:f>
        <x:v>2322024</x:v>
      </x:c>
      <x:c r="J25" s="61" t="s">
        <x:v>31</x:v>
      </x:c>
      <x:c r="K25" s="62">
        <x:f>SUM('1'!$K$23)</x:f>
        <x:v>329700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0.69615469944536057</x:v>
      </x:c>
      <x:c r="J26" s="64" t="s">
        <x:v>126</x:v>
      </x:c>
      <x:c r="K26" s="65">
        <x:f>K25/$E$25</x:f>
        <x:v>0.098845750262329488</x:v>
      </x:c>
    </x:row>
    <x:row r="27" spans="1:13" ht="30.949999999999999" customHeight="1">
      <x:c r="A27" s="280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13000*4</x:f>
        <x:v>52000</x:v>
      </x:c>
      <x:c r="G27" s="271"/>
      <x:c r="H27" s="111" t="s">
        <x:v>116</x:v>
      </x:c>
      <x:c r="I27" s="112">
        <x:f>SUM(C27:D34,F27:G32)</x:f>
        <x:v>633322.58064516133</x:v>
      </x:c>
      <x:c r="M27" s="66"/>
    </x:row>
    <x:row r="28" spans="1:13" ht="30.949999999999999" customHeight="1">
      <x:c r="A28" s="281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0.18987335651181572</x:v>
      </x:c>
      <x:c r="M28" s="66"/>
    </x:row>
    <x:row r="29" spans="1:13" ht="30.949999999999999" customHeight="1">
      <x:c r="A29" s="281"/>
      <x:c r="B29" s="54" t="s">
        <x:v>45</x:v>
      </x:c>
      <x:c r="C29" s="272">
        <x:f>3300000/31</x:f>
        <x:v>106451.6129032258</x:v>
      </x:c>
      <x:c r="D29" s="272"/>
      <x:c r="E29" s="54" t="s">
        <x:v>55</x:v>
      </x:c>
      <x:c r="F29" s="271"/>
      <x:c r="G29" s="271"/>
      <x:c r="H29" s="111" t="s">
        <x:v>31</x:v>
      </x:c>
      <x:c r="I29" s="112">
        <x:f>SUM('1'!$I$27)</x:f>
        <x:v>633322.58064516133</x:v>
      </x:c>
      <x:c r="M29" s="66"/>
    </x:row>
    <x:row r="30" spans="1:13" ht="30.949999999999999" customHeight="1">
      <x:c r="A30" s="281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</x:v>
      </x:c>
      <x:c r="M30" s="66"/>
    </x:row>
    <x:row r="31" spans="1:7" customHeight="1">
      <x:c r="A31" s="281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281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281"/>
      <x:c r="B33" s="54"/>
      <x:c r="C33" s="267"/>
      <x:c r="D33" s="268"/>
    </x:row>
    <x:row r="34" spans="1:4" customHeight="1">
      <x:c r="A34" s="282"/>
      <x:c r="B34" s="54"/>
      <x:c r="C34" s="269"/>
      <x:c r="D34" s="270"/>
    </x:row>
  </x:sheetData>
  <x:mergeCells count="75">
    <x:mergeCell ref="F19:G19"/>
    <x:mergeCell ref="B20:B21"/>
    <x:mergeCell ref="D21:E21"/>
    <x:mergeCell ref="F21:G2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11:B11"/>
    <x:mergeCell ref="C11:G11"/>
    <x:mergeCell ref="F12:G12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</x:v>
      </x:c>
      <x:c r="G1" s="68" t="s">
        <x:v>60</x:v>
      </x:c>
      <x:c r="H1" s="52" t="s">
        <x:v>121</x:v>
      </x:c>
      <x:c r="I1" s="52">
        <x:f>F1-K1</x:f>
        <x:v>2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4820500</x:v>
      </x:c>
      <x:c r="D2" s="312"/>
      <x:c r="E2" s="314" t="s">
        <x:v>38</x:v>
      </x:c>
      <x:c r="F2" s="315"/>
      <x:c r="G2" s="304">
        <x:v>57100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4480500</x:v>
      </x:c>
      <x:c r="D4" s="271"/>
      <x:c r="E4" s="313" t="s">
        <x:v>144</x:v>
      </x:c>
      <x:c r="F4" s="313"/>
      <x:c r="G4" s="133">
        <x:f>INT(C4*0.0275)</x:f>
        <x:v>123213</x:v>
      </x:c>
      <x:c r="H4" s="54" t="s">
        <x:v>20</x:v>
      </x:c>
      <x:c r="I4" s="125">
        <x:f>284778+452000+247416</x:f>
        <x:v>984194</x:v>
      </x:c>
      <x:c r="J4" s="80" t="s">
        <x:v>34</x:v>
      </x:c>
      <x:c r="K4" s="58">
        <x:v>126000</x:v>
      </x:c>
    </x:row>
    <x:row r="5" spans="1:11" ht="30.949999999999999" customHeight="1">
      <x:c r="A5" s="306" t="s">
        <x:v>59</x:v>
      </x:c>
      <x:c r="B5" s="307"/>
      <x:c r="C5" s="271">
        <x:v>340000</x:v>
      </x:c>
      <x:c r="D5" s="271"/>
      <x:c r="E5" s="262" t="s">
        <x:v>68</x:v>
      </x:c>
      <x:c r="F5" s="262"/>
      <x:c r="G5" s="133">
        <x:f>INT(C5*0.01)</x:f>
        <x:v>3400</x:v>
      </x:c>
      <x:c r="H5" s="54" t="s">
        <x:v>6</x:v>
      </x:c>
      <x:c r="I5" s="137">
        <x:f>50000+69000+60320+30300+36000+3220+27540+17760</x:f>
        <x:v>294140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300000</x:v>
      </x:c>
      <x:c r="H6" s="54"/>
      <x:c r="I6" s="125"/>
      <x:c r="J6" s="81" t="s">
        <x:v>125</x:v>
      </x:c>
      <x:c r="K6" s="58">
        <x:v>168000</x:v>
      </x:c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5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97100</x:v>
      </x:c>
      <x:c r="D8" s="271"/>
      <x:c r="E8" s="258" t="s">
        <x:v>108</x:v>
      </x:c>
      <x:c r="F8" s="259"/>
      <x:c r="G8" s="292">
        <x:f>C5+G2-G6-C22</x:f>
        <x:v>97100</x:v>
      </x:c>
      <x:c r="H8" s="54" t="s">
        <x:v>43</x:v>
      </x:c>
      <x:c r="I8" s="125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66000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145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8</x:v>
      </x:c>
      <x:c r="D12" s="258" t="s">
        <x:v>131</x:v>
      </x:c>
      <x:c r="E12" s="259"/>
      <x:c r="F12" s="285">
        <x:v>7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SUM('1:2'!$C$12)</x:f>
        <x:v>17</x:v>
      </x:c>
      <x:c r="D13" s="260"/>
      <x:c r="E13" s="261"/>
      <x:c r="F13" s="290">
        <x:f>SUM('1:2'!$F$12)</x:f>
        <x:v>11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12</x:v>
      </x:c>
      <x:c r="D14" s="258" t="s">
        <x:v>93</x:v>
      </x:c>
      <x:c r="E14" s="259"/>
      <x:c r="F14" s="285">
        <x:v>5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SUM('1:2'!$C$14)</x:f>
        <x:v>23</x:v>
      </x:c>
      <x:c r="D15" s="260"/>
      <x:c r="E15" s="261"/>
      <x:c r="F15" s="290">
        <x:f>SUM('1:2'!$F$14)</x:f>
        <x:v>12</x:v>
      </x:c>
      <x:c r="G15" s="291"/>
      <x:c r="H15" s="54" t="s">
        <x:v>104</x:v>
      </x:c>
      <x:c r="I15" s="58">
        <x:f>20400+4800+11800+4900+28000+3900+6200+6600</x:f>
        <x:v>86600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7</x:v>
      </x:c>
      <x:c r="D16" s="258" t="s">
        <x:v>115</x:v>
      </x:c>
      <x:c r="E16" s="259"/>
      <x:c r="F16" s="266">
        <x:v>16</x:v>
      </x:c>
      <x:c r="G16" s="266"/>
      <x:c r="H16" s="54"/>
      <x:c r="I16" s="58"/>
      <x:c r="J16" s="54" t="s">
        <x:v>95</x:v>
      </x:c>
      <x:c r="K16" s="58">
        <x:f>27600+6500+11460</x:f>
        <x:v>45560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SUM('1:2'!$C$16)</x:f>
        <x:v>12</x:v>
      </x:c>
      <x:c r="D17" s="260"/>
      <x:c r="E17" s="261"/>
      <x:c r="F17" s="257">
        <x:f>SUM('1:2'!$F$16)</x:f>
        <x:v>16</x:v>
      </x:c>
      <x:c r="G17" s="257"/>
      <x:c r="H17" s="54" t="s">
        <x:v>7</x:v>
      </x:c>
      <x:c r="I17" s="58">
        <x:v>4800</x:v>
      </x:c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16</x:v>
      </x:c>
      <x:c r="D18" s="258" t="s">
        <x:v>128</x:v>
      </x:c>
      <x:c r="E18" s="259"/>
      <x:c r="F18" s="294">
        <x:v>3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SUM('1:2'!$C$18)</x:f>
        <x:v>20</x:v>
      </x:c>
      <x:c r="D19" s="260"/>
      <x:c r="E19" s="261"/>
      <x:c r="F19" s="257">
        <x:f>SUM('1:2'!$F$18)</x:f>
        <x:v>4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52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SUM('1:2'!$F$20)</x:f>
        <x:v>92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1434734</x:v>
      </x:c>
      <x:c r="J23" s="61" t="s">
        <x:v>117</x:v>
      </x:c>
      <x:c r="K23" s="62">
        <x:f>SUM(K4:K22)</x:f>
        <x:v>339560</x:v>
      </x:c>
      <x:c r="M23" s="88" t="s">
        <x:v>91</x:v>
      </x:c>
      <x:c r="N23" s="287">
        <x:f>C5+C6</x:f>
        <x:v>340000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0.29763178093558762</x:v>
      </x:c>
      <x:c r="J24" s="61" t="s">
        <x:v>8</x:v>
      </x:c>
      <x:c r="K24" s="63">
        <x:f>K23/A25</x:f>
        <x:v>0.070440825640493726</x:v>
      </x:c>
    </x:row>
    <x:row r="25" spans="1:11" ht="34.149999999999999" customHeight="1">
      <x:c r="A25" s="283">
        <x:f>C2</x:f>
        <x:v>4820500</x:v>
      </x:c>
      <x:c r="B25" s="272"/>
      <x:c r="C25" s="272">
        <x:f>E25/I1</x:f>
        <x:v>1667750</x:v>
      </x:c>
      <x:c r="D25" s="272"/>
      <x:c r="E25" s="272">
        <x:f>SUM('1'!$A$25)</x:f>
        <x:v>3335500</x:v>
      </x:c>
      <x:c r="F25" s="272"/>
      <x:c r="G25" s="272"/>
      <x:c r="H25" s="107" t="s">
        <x:v>31</x:v>
      </x:c>
      <x:c r="I25" s="108">
        <x:f>SUM('1:2'!$I$23)</x:f>
        <x:v>3756758</x:v>
      </x:c>
      <x:c r="J25" s="61" t="s">
        <x:v>31</x:v>
      </x:c>
      <x:c r="K25" s="62">
        <x:f>SUM('1'!$K$23)</x:f>
        <x:v>329700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1.1262953080497677</x:v>
      </x:c>
      <x:c r="J26" s="64" t="s">
        <x:v>126</x:v>
      </x:c>
      <x:c r="K26" s="65">
        <x:f>K25/$E$25</x:f>
        <x:v>0.098845750262329488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752822.58064516133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13000*3.5</x:f>
        <x:v>45500</x:v>
      </x:c>
      <x:c r="G28" s="275"/>
      <x:c r="H28" s="111" t="s">
        <x:v>8</x:v>
      </x:c>
      <x:c r="I28" s="113">
        <x:f>I27/$A$25</x:f>
        <x:v>0.15617105707813739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SUM('1:2'!$I$27)</x:f>
        <x:v>1386145.1612903227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1.8412640599892875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132000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A11:B11"/>
    <x:mergeCell ref="C11:G11"/>
    <x:mergeCell ref="E10:F10"/>
    <x:mergeCell ref="E8:F9"/>
    <x:mergeCell ref="G8:G9"/>
    <x:mergeCell ref="A8:B9"/>
    <x:mergeCell ref="C8:D9"/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5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3</x:v>
      </x:c>
      <x:c r="G1" s="68" t="s">
        <x:v>26</x:v>
      </x:c>
      <x:c r="H1" s="52" t="s">
        <x:v>121</x:v>
      </x:c>
      <x:c r="I1" s="52">
        <x:f>F1-K1</x:f>
        <x:v>3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3763000</x:v>
      </x:c>
      <x:c r="D2" s="312"/>
      <x:c r="E2" s="314" t="s">
        <x:v>38</x:v>
      </x:c>
      <x:c r="F2" s="315"/>
      <x:c r="G2" s="304">
        <x:v>97100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3305000</x:v>
      </x:c>
      <x:c r="D4" s="271"/>
      <x:c r="E4" s="313" t="s">
        <x:v>144</x:v>
      </x:c>
      <x:c r="F4" s="313"/>
      <x:c r="G4" s="133">
        <x:f>C4*0.0275</x:f>
        <x:v>90887.5</x:v>
      </x:c>
      <x:c r="H4" s="54" t="s">
        <x:v>20</x:v>
      </x:c>
      <x:c r="I4" s="124">
        <x:f>306684+221000+243360+452000+10</x:f>
        <x:v>1223054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458000</x:v>
      </x:c>
      <x:c r="D5" s="271"/>
      <x:c r="E5" s="262" t="s">
        <x:v>68</x:v>
      </x:c>
      <x:c r="F5" s="262"/>
      <x:c r="G5" s="133">
        <x:f>INT(C5*0.01)</x:f>
        <x:v>4580</x:v>
      </x:c>
      <x:c r="H5" s="54" t="s">
        <x:v>6</x:v>
      </x:c>
      <x:c r="I5" s="124">
        <x:v>34500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500000</x:v>
      </x:c>
      <x:c r="H6" s="54"/>
      <x:c r="I6" s="124"/>
      <x:c r="J6" s="81" t="s">
        <x:v>125</x:v>
      </x:c>
      <x:c r="K6" s="58">
        <x:v>168000</x:v>
      </x:c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333500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55100</x:v>
      </x:c>
      <x:c r="D8" s="271"/>
      <x:c r="E8" s="258" t="s">
        <x:v>108</x:v>
      </x:c>
      <x:c r="F8" s="259"/>
      <x:c r="G8" s="292">
        <x:f>C5+G2-G6-C22</x:f>
        <x:v>55100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21.75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21.75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6</x:v>
      </x:c>
      <x:c r="D12" s="258" t="s">
        <x:v>131</x:v>
      </x:c>
      <x:c r="E12" s="259"/>
      <x:c r="F12" s="285">
        <x:v>12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SUM('1:3'!$C$12)</x:f>
        <x:v>23</x:v>
      </x:c>
      <x:c r="D13" s="260"/>
      <x:c r="E13" s="261"/>
      <x:c r="F13" s="290">
        <x:f>SUM('1:3'!$F$12)</x:f>
        <x:v>23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13</x:v>
      </x:c>
      <x:c r="D14" s="258" t="s">
        <x:v>93</x:v>
      </x:c>
      <x:c r="E14" s="259"/>
      <x:c r="F14" s="285">
        <x:v>2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SUM('1:3'!$C$14)</x:f>
        <x:v>36</x:v>
      </x:c>
      <x:c r="D15" s="260"/>
      <x:c r="E15" s="261"/>
      <x:c r="F15" s="290">
        <x:f>SUM('1:3'!$F$14)</x:f>
        <x:v>14</x:v>
      </x:c>
      <x:c r="G15" s="291"/>
      <x:c r="H15" s="54" t="s">
        <x:v>104</x:v>
      </x:c>
      <x:c r="I15" s="58">
        <x:f>40800+19200+11800+24800+5500+4500+52000</x:f>
        <x:v>158600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3</x:v>
      </x:c>
      <x:c r="D16" s="258" t="s">
        <x:v>115</x:v>
      </x:c>
      <x:c r="E16" s="259"/>
      <x:c r="F16" s="266">
        <x:v>11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SUM('1:3'!$C$16)</x:f>
        <x:v>15</x:v>
      </x:c>
      <x:c r="D17" s="260"/>
      <x:c r="E17" s="261"/>
      <x:c r="F17" s="257">
        <x:f>SUM('1:3'!$F$16)</x:f>
        <x:v>27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9</x:v>
      </x:c>
      <x:c r="D18" s="258" t="s">
        <x:v>128</x:v>
      </x:c>
      <x:c r="E18" s="259"/>
      <x:c r="F18" s="294">
        <x:v>5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SUM('1:3'!$C$18)</x:f>
        <x:v>29</x:v>
      </x:c>
      <x:c r="D19" s="260"/>
      <x:c r="E19" s="261"/>
      <x:c r="F19" s="257">
        <x:f>SUM('1:3'!$F$18)</x:f>
        <x:v>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49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SUM('1:3'!$F$20)</x:f>
        <x:v>141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1749654</x:v>
      </x:c>
      <x:c r="J23" s="61" t="s">
        <x:v>117</x:v>
      </x:c>
      <x:c r="K23" s="62">
        <x:f>SUM(K4:K22)</x:f>
        <x:v>168000</x:v>
      </x:c>
      <x:c r="M23" s="88" t="s">
        <x:v>91</x:v>
      </x:c>
      <x:c r="N23" s="287">
        <x:f>C5+C6</x:f>
        <x:v>458000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0.46496252989635928</x:v>
      </x:c>
      <x:c r="J24" s="61" t="s">
        <x:v>8</x:v>
      </x:c>
      <x:c r="K24" s="63">
        <x:f>K23/A25</x:f>
        <x:v>0.044645229869784746</x:v>
      </x:c>
    </x:row>
    <x:row r="25" spans="1:11" ht="34.149999999999999" customHeight="1">
      <x:c r="A25" s="283">
        <x:f>C2</x:f>
        <x:v>3763000</x:v>
      </x:c>
      <x:c r="B25" s="272"/>
      <x:c r="C25" s="272">
        <x:f>E25/I1</x:f>
        <x:v>3973000</x:v>
      </x:c>
      <x:c r="D25" s="272"/>
      <x:c r="E25" s="272">
        <x:f>SUM('1:3'!$A$25)</x:f>
        <x:v>11919000</x:v>
      </x:c>
      <x:c r="F25" s="272"/>
      <x:c r="G25" s="272"/>
      <x:c r="H25" s="107" t="s">
        <x:v>31</x:v>
      </x:c>
      <x:c r="I25" s="108">
        <x:f>SUM('1:3'!$I$23)</x:f>
        <x:v>5506412</x:v>
      </x:c>
      <x:c r="J25" s="61" t="s">
        <x:v>31</x:v>
      </x:c>
      <x:c r="K25" s="62">
        <x:f>SUM('1:3'!$K$23)</x:f>
        <x:v>837260</x:v>
      </x:c>
    </x:row>
    <x:row r="26" spans="1:11" ht="34.149999999999999" customHeight="1">
      <x:c r="A26" s="265" t="s">
        <x:v>140</x:v>
      </x:c>
      <x:c r="B26" s="262"/>
      <x:c r="C26" s="322"/>
      <x:c r="D26" s="262"/>
      <x:c r="E26" s="271"/>
      <x:c r="F26" s="271"/>
      <x:c r="G26" s="271"/>
      <x:c r="H26" s="107" t="s">
        <x:v>126</x:v>
      </x:c>
      <x:c r="I26" s="110">
        <x:f>I25/$E$25</x:f>
        <x:v>0.46198607265710212</x:v>
      </x:c>
      <x:c r="J26" s="64" t="s">
        <x:v>126</x:v>
      </x:c>
      <x:c r="K26" s="65">
        <x:f>K25/$E$25</x:f>
        <x:v>0.070245825992113431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627322.58064516133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13000*4</x:f>
        <x:v>52000</x:v>
      </x:c>
      <x:c r="G28" s="275"/>
      <x:c r="H28" s="111" t="s">
        <x:v>8</x:v>
      </x:c>
      <x:c r="I28" s="113">
        <x:f>I27/$A$25</x:f>
        <x:v>0.16670810009172504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SUM('1:3'!$I$27)</x:f>
        <x:v>2013467.7419354841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3.2096210212372092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5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4</x:v>
      </x:c>
      <x:c r="G1" s="68" t="s">
        <x:v>48</x:v>
      </x:c>
      <x:c r="H1" s="52" t="s">
        <x:v>121</x:v>
      </x:c>
      <x:c r="I1" s="52">
        <x:f>F1-K1</x:f>
        <x:v>4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4907000</x:v>
      </x:c>
      <x:c r="D2" s="312"/>
      <x:c r="E2" s="314" t="s">
        <x:v>38</x:v>
      </x:c>
      <x:c r="F2" s="315"/>
      <x:c r="G2" s="304">
        <x:v>55100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4044000</x:v>
      </x:c>
      <x:c r="D4" s="271"/>
      <x:c r="E4" s="313" t="s">
        <x:v>144</x:v>
      </x:c>
      <x:c r="F4" s="313"/>
      <x:c r="G4" s="133">
        <x:f>INT(C4*0.0275)</x:f>
        <x:v>111210</x:v>
      </x:c>
      <x:c r="H4" s="54" t="s">
        <x:v>20</x:v>
      </x:c>
      <x:c r="I4" s="124">
        <x:f>304250+273663+452000</x:f>
        <x:v>1029913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863000</x:v>
      </x:c>
      <x:c r="D5" s="271"/>
      <x:c r="E5" s="262" t="s">
        <x:v>68</x:v>
      </x:c>
      <x:c r="F5" s="262"/>
      <x:c r="G5" s="133">
        <x:f>INT(C5*0.01)</x:f>
        <x:v>8630</x:v>
      </x:c>
      <x:c r="H5" s="54" t="s">
        <x:v>6</x:v>
      </x:c>
      <x:c r="I5" s="124">
        <x:f>50000+29656+39380+34500+27540+60500</x:f>
        <x:v>241576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800000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203400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118100</x:v>
      </x:c>
      <x:c r="D8" s="271"/>
      <x:c r="E8" s="258" t="s">
        <x:v>108</x:v>
      </x:c>
      <x:c r="F8" s="259"/>
      <x:c r="G8" s="292">
        <x:f>C5+G2-G6-C22</x:f>
        <x:v>118100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56000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159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12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SUM('1:4'!$C$12)</x:f>
        <x:v>35</x:v>
      </x:c>
      <x:c r="D13" s="260"/>
      <x:c r="E13" s="261"/>
      <x:c r="F13" s="290">
        <x:f>SUM('1:4'!$F$12)</x:f>
        <x:v>23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13</x:v>
      </x:c>
      <x:c r="D14" s="258" t="s">
        <x:v>93</x:v>
      </x:c>
      <x:c r="E14" s="259"/>
      <x:c r="F14" s="285">
        <x:v>9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SUM('1:4'!$C$14)</x:f>
        <x:v>49</x:v>
      </x:c>
      <x:c r="D15" s="260"/>
      <x:c r="E15" s="261"/>
      <x:c r="F15" s="290">
        <x:f>SUM('1:4'!$F$14)</x:f>
        <x:v>23</x:v>
      </x:c>
      <x:c r="G15" s="291"/>
      <x:c r="H15" s="54" t="s">
        <x:v>104</x:v>
      </x:c>
      <x:c r="I15" s="58">
        <x:f>34000+5900+9300+5500+22000+4900+28000+5500+5000+22000+13000+7000+10500+5500</x:f>
        <x:v>178100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7</x:v>
      </x:c>
      <x:c r="D16" s="258" t="s">
        <x:v>115</x:v>
      </x:c>
      <x:c r="E16" s="259"/>
      <x:c r="F16" s="266">
        <x:v>8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SUM('1:4'!$C$16)</x:f>
        <x:v>22</x:v>
      </x:c>
      <x:c r="D17" s="260"/>
      <x:c r="E17" s="261"/>
      <x:c r="F17" s="257">
        <x:f>SUM('1:4'!$F$16)</x:f>
        <x:v>35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15</x:v>
      </x:c>
      <x:c r="D18" s="258" t="s">
        <x:v>128</x:v>
      </x:c>
      <x:c r="E18" s="259"/>
      <x:c r="F18" s="294">
        <x:v>5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SUM('1:4'!$C$18)</x:f>
        <x:v>44</x:v>
      </x:c>
      <x:c r="D19" s="260"/>
      <x:c r="E19" s="261"/>
      <x:c r="F19" s="257">
        <x:f>SUM('1:4'!$F$18)</x:f>
        <x:v>14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55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SUM('1:4'!$F$20)</x:f>
        <x:v>196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1717989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863000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0.35010984308131243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4907000</x:v>
      </x:c>
      <x:c r="B25" s="272"/>
      <x:c r="C25" s="272">
        <x:f>E25/I1</x:f>
        <x:v>4206500</x:v>
      </x:c>
      <x:c r="D25" s="272"/>
      <x:c r="E25" s="272">
        <x:f>SUM('1:4'!$A$25)</x:f>
        <x:v>16826000</x:v>
      </x:c>
      <x:c r="F25" s="272"/>
      <x:c r="G25" s="272"/>
      <x:c r="H25" s="107" t="s">
        <x:v>31</x:v>
      </x:c>
      <x:c r="I25" s="108">
        <x:f>SUM('1:4'!$I$23)</x:f>
        <x:v>7224401</x:v>
      </x:c>
      <x:c r="J25" s="61" t="s">
        <x:v>31</x:v>
      </x:c>
      <x:c r="K25" s="62">
        <x:f>SUM('1:4'!$K$23)</x:f>
        <x:v>837260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0.42935938428622372</x:v>
      </x:c>
      <x:c r="J26" s="64" t="s">
        <x:v>126</x:v>
      </x:c>
      <x:c r="K26" s="65">
        <x:f>K25/$E$25</x:f>
        <x:v>0.049759895399976224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617322.58064516133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13000*7</x:f>
        <x:v>91000</x:v>
      </x:c>
      <x:c r="G28" s="275"/>
      <x:c r="H28" s="111" t="s">
        <x:v>8</x:v>
      </x:c>
      <x:c r="I28" s="113">
        <x:f>I27/$A$25</x:f>
        <x:v>0.12580447944674167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SUM('1:4'!$I$27)</x:f>
        <x:v>2630790.3225806453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4.261613628050374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1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5</x:v>
      </x:c>
      <x:c r="G1" s="68" t="s">
        <x:v>27</x:v>
      </x:c>
      <x:c r="H1" s="52" t="s">
        <x:v>121</x:v>
      </x:c>
      <x:c r="I1" s="52">
        <x:f>F1-K1</x:f>
        <x:v>5</x:v>
      </x:c>
      <x:c r="J1" s="52" t="s">
        <x:v>96</x:v>
      </x:c>
      <x:c r="K1" s="52"/>
    </x:row>
    <x:row r="2" spans="1:11" ht="20.100000000000001" customHeight="1">
      <x:c r="A2" s="340" t="s">
        <x:v>9</x:v>
      </x:c>
      <x:c r="B2" s="341"/>
      <x:c r="C2" s="344">
        <x:f>SUM(C4:D7)</x:f>
        <x:v>5641000.2999999998</x:v>
      </x:c>
      <x:c r="D2" s="345"/>
      <x:c r="E2" s="314" t="s">
        <x:v>38</x:v>
      </x:c>
      <x:c r="F2" s="315"/>
      <x:c r="G2" s="304">
        <x:v>118100</x:v>
      </x:c>
      <x:c r="H2" s="348" t="s">
        <x:v>6</x:v>
      </x:c>
      <x:c r="I2" s="349"/>
      <x:c r="J2" s="300" t="s">
        <x:v>72</x:v>
      </x:c>
      <x:c r="K2" s="350"/>
    </x:row>
    <x:row r="3" spans="1:11" ht="20.100000000000001" customHeight="1">
      <x:c r="A3" s="342"/>
      <x:c r="B3" s="343"/>
      <x:c r="C3" s="346"/>
      <x:c r="D3" s="347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31" t="s">
        <x:v>22</x:v>
      </x:c>
      <x:c r="B4" s="332"/>
      <x:c r="C4" s="269">
        <x:v>5099500.2999999998</x:v>
      </x:c>
      <x:c r="D4" s="270"/>
      <x:c r="E4" s="333" t="s">
        <x:v>144</x:v>
      </x:c>
      <x:c r="F4" s="334"/>
      <x:c r="G4" s="133">
        <x:f>INT(C4*0.0275)</x:f>
        <x:v>140236</x:v>
      </x:c>
      <x:c r="H4" s="54" t="s">
        <x:v>20</x:v>
      </x:c>
      <x:c r="I4" s="124">
        <x:f>43500+452000+221000+190393</x:f>
        <x:v>906893</x:v>
      </x:c>
      <x:c r="J4" s="80" t="s">
        <x:v>34</x:v>
      </x:c>
      <x:c r="K4" s="58"/>
    </x:row>
    <x:row r="5" spans="1:11" ht="30.949999999999999" customHeight="1">
      <x:c r="A5" s="331" t="s">
        <x:v>59</x:v>
      </x:c>
      <x:c r="B5" s="332"/>
      <x:c r="C5" s="269">
        <x:v>541500</x:v>
      </x:c>
      <x:c r="D5" s="270"/>
      <x:c r="E5" s="285" t="s">
        <x:v>68</x:v>
      </x:c>
      <x:c r="F5" s="286"/>
      <x:c r="G5" s="133">
        <x:f>INT(C5*0.01)</x:f>
        <x:v>5415</x:v>
      </x:c>
      <x:c r="H5" s="54" t="s">
        <x:v>6</x:v>
      </x:c>
      <x:c r="I5" s="124">
        <x:f>29656+50000+34500+36000</x:f>
        <x:v>150156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f>309700-24800</x:f>
        <x:v>284900</x:v>
      </x:c>
      <x:c r="J7" s="81" t="s">
        <x:v>114</x:v>
      </x:c>
      <x:c r="K7" s="58">
        <x:v>12500</x:v>
      </x:c>
    </x:row>
    <x:row r="8" spans="1:11" ht="21.949999999999999" customHeight="1">
      <x:c r="A8" s="338" t="s">
        <x:v>132</x:v>
      </x:c>
      <x:c r="B8" s="259"/>
      <x:c r="C8" s="276">
        <x:v>109600</x:v>
      </x:c>
      <x:c r="D8" s="277"/>
      <x:c r="E8" s="258" t="s">
        <x:v>108</x:v>
      </x:c>
      <x:c r="F8" s="259"/>
      <x:c r="G8" s="292">
        <x:f>C5+G2-G6</x:f>
        <x:v>109600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339"/>
      <x:c r="B9" s="261"/>
      <x:c r="C9" s="278"/>
      <x:c r="D9" s="279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323" t="s">
        <x:v>141</x:v>
      </x:c>
      <x:c r="B10" s="286"/>
      <x:c r="C10" s="269"/>
      <x:c r="D10" s="270"/>
      <x:c r="E10" s="285" t="s">
        <x:v>85</x:v>
      </x:c>
      <x:c r="F10" s="286"/>
      <x:c r="G10" s="55"/>
      <x:c r="H10" s="54"/>
      <x:c r="I10" s="124"/>
      <x:c r="J10" s="54" t="s">
        <x:v>51</x:v>
      </x:c>
      <x:c r="K10" s="58"/>
    </x:row>
    <x:row r="11" spans="1:11" ht="33" customHeight="1">
      <x:c r="A11" s="323" t="s">
        <x:v>101</x:v>
      </x:c>
      <x:c r="B11" s="286"/>
      <x:c r="C11" s="335"/>
      <x:c r="D11" s="336"/>
      <x:c r="E11" s="336"/>
      <x:c r="F11" s="336"/>
      <x:c r="G11" s="337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10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SUM('1:5'!$C$12)</x:f>
        <x:v>45</x:v>
      </x:c>
      <x:c r="D13" s="260"/>
      <x:c r="E13" s="261"/>
      <x:c r="F13" s="290">
        <x:f>SUM('1:5'!$F$12)</x:f>
        <x:v>23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23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SUM('1:5'!$C$14)</x:f>
        <x:v>72</x:v>
      </x:c>
      <x:c r="D15" s="260"/>
      <x:c r="E15" s="261"/>
      <x:c r="F15" s="290">
        <x:f>SUM('1:5'!$F$14)</x:f>
        <x:v>30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8</x:v>
      </x:c>
      <x:c r="D16" s="258" t="s">
        <x:v>115</x:v>
      </x:c>
      <x:c r="E16" s="259"/>
      <x:c r="F16" s="329">
        <x:v>29</x:v>
      </x:c>
      <x:c r="G16" s="330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SUM('1:5'!$C$16)</x:f>
        <x:v>30</x:v>
      </x:c>
      <x:c r="D17" s="260"/>
      <x:c r="E17" s="261"/>
      <x:c r="F17" s="290">
        <x:f>SUM('1:5'!$F$16)</x:f>
        <x:v>64</x:v>
      </x:c>
      <x:c r="G17" s="291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18</x:v>
      </x:c>
      <x:c r="D18" s="258" t="s">
        <x:v>128</x:v>
      </x:c>
      <x:c r="E18" s="259"/>
      <x:c r="F18" s="329">
        <x:v>3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SUM('1:5'!$C$18)</x:f>
        <x:v>62</x:v>
      </x:c>
      <x:c r="D19" s="260"/>
      <x:c r="E19" s="261"/>
      <x:c r="F19" s="290">
        <x:f>SUM('1:5'!$F$18)</x:f>
        <x:v>17</x:v>
      </x:c>
      <x:c r="G19" s="291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C20" s="132"/>
      <x:c r="D20" s="285" t="s">
        <x:v>111</x:v>
      </x:c>
      <x:c r="E20" s="286"/>
      <x:c r="F20" s="329">
        <x:v>50</x:v>
      </x:c>
      <x:c r="G20" s="330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85" t="s">
        <x:v>112</x:v>
      </x:c>
      <x:c r="E21" s="286"/>
      <x:c r="F21" s="290">
        <x:f>SUM('1:5'!$F$20)</x:f>
        <x:v>246</x:v>
      </x:c>
      <x:c r="G21" s="291"/>
      <x:c r="H21" s="58"/>
      <x:c r="J21" s="54"/>
      <x:c r="K21" s="58"/>
      <x:c r="L21" s="60"/>
      <x:c r="M21" s="11"/>
    </x:row>
    <x:row r="22" spans="1:13" ht="32.100000000000001" customHeight="1">
      <x:c r="A22" s="323" t="s">
        <x:v>81</x:v>
      </x:c>
      <x:c r="B22" s="286"/>
      <x:c r="C22" s="326"/>
      <x:c r="D22" s="327"/>
      <x:c r="E22" s="327"/>
      <x:c r="F22" s="327"/>
      <x:c r="G22" s="328"/>
      <x:c r="H22" s="54"/>
      <x:c r="J22" s="54"/>
      <x:c r="K22" s="58"/>
      <x:c r="L22" s="60"/>
      <x:c r="M22" s="11"/>
    </x:row>
    <x:row r="23" spans="1:15" ht="34.149999999999999" customHeight="1">
      <x:c r="A23" s="323" t="s">
        <x:v>122</x:v>
      </x:c>
      <x:c r="B23" s="286"/>
      <x:c r="C23" s="353"/>
      <x:c r="D23" s="354"/>
      <x:c r="E23" s="354"/>
      <x:c r="F23" s="354"/>
      <x:c r="G23" s="355"/>
      <x:c r="H23" s="107" t="s">
        <x:v>92</x:v>
      </x:c>
      <x:c r="I23" s="108">
        <x:f>SUM(I4:I22)</x:f>
        <x:v>1406949</x:v>
      </x:c>
      <x:c r="J23" s="61" t="s">
        <x:v>117</x:v>
      </x:c>
      <x:c r="K23" s="62">
        <x:f>SUM(K4:K22)</x:f>
        <x:v>12500</x:v>
      </x:c>
      <x:c r="M23" s="88" t="s">
        <x:v>91</x:v>
      </x:c>
      <x:c r="N23" s="287">
        <x:f>C5+C6</x:f>
        <x:v>541500</x:v>
      </x:c>
      <x:c r="O23" s="288"/>
    </x:row>
    <x:row r="24" spans="1:11" ht="34.149999999999999" customHeight="1">
      <x:c r="A24" s="323" t="s">
        <x:v>8</x:v>
      </x:c>
      <x:c r="B24" s="286"/>
      <x:c r="C24" s="285" t="s">
        <x:v>84</x:v>
      </x:c>
      <x:c r="D24" s="286"/>
      <x:c r="E24" s="285" t="s">
        <x:v>99</x:v>
      </x:c>
      <x:c r="F24" s="352"/>
      <x:c r="G24" s="286"/>
      <x:c r="H24" s="107" t="s">
        <x:v>8</x:v>
      </x:c>
      <x:c r="I24" s="109">
        <x:f>I23/A25</x:f>
        <x:v>0.24941480680297076</x:v>
      </x:c>
      <x:c r="J24" s="61" t="s">
        <x:v>8</x:v>
      </x:c>
      <x:c r="K24" s="63">
        <x:f>K23/A25</x:f>
        <x:v>0.0022159190454217846</x:v>
      </x:c>
    </x:row>
    <x:row r="25" spans="1:11" ht="34.149999999999999" customHeight="1">
      <x:c r="A25" s="325">
        <x:f>C2</x:f>
        <x:v>5641000.2999999998</x:v>
      </x:c>
      <x:c r="B25" s="274"/>
      <x:c r="C25" s="273">
        <x:f>E25/I1</x:f>
        <x:v>4493400.0600000005</x:v>
      </x:c>
      <x:c r="D25" s="274"/>
      <x:c r="E25" s="273">
        <x:f>SUM('1:5'!$A$25)</x:f>
        <x:v>22467000.300000001</x:v>
      </x:c>
      <x:c r="F25" s="351"/>
      <x:c r="G25" s="274"/>
      <x:c r="H25" s="107" t="s">
        <x:v>31</x:v>
      </x:c>
      <x:c r="I25" s="108">
        <x:f>SUM('1:5'!$I$23)</x:f>
        <x:v>8631350</x:v>
      </x:c>
      <x:c r="J25" s="61" t="s">
        <x:v>31</x:v>
      </x:c>
      <x:c r="K25" s="62">
        <x:f>SUM('1:5'!$K$23)</x:f>
        <x:v>849760</x:v>
      </x:c>
    </x:row>
    <x:row r="26" spans="1:11" ht="34.149999999999999" customHeight="1">
      <x:c r="A26" s="323" t="s">
        <x:v>140</x:v>
      </x:c>
      <x:c r="B26" s="286"/>
      <x:c r="C26" s="285"/>
      <x:c r="D26" s="286"/>
      <x:c r="E26" s="269"/>
      <x:c r="F26" s="324"/>
      <x:c r="G26" s="270"/>
      <x:c r="H26" s="107" t="s">
        <x:v>126</x:v>
      </x:c>
      <x:c r="I26" s="110">
        <x:f>I25/$E$25</x:f>
        <x:v>0.38417901298554752</x:v>
      </x:c>
      <x:c r="J26" s="64" t="s">
        <x:v>126</x:v>
      </x:c>
      <x:c r="K26" s="65">
        <x:f>K25/$E$25</x:f>
        <x:v>0.037822583729613425</x:v>
      </x:c>
    </x:row>
    <x:row r="27" spans="1:13" ht="30.949999999999999" customHeight="1">
      <x:c r="A27" s="280" t="s">
        <x:v>139</x:v>
      </x:c>
      <x:c r="B27" s="54" t="s">
        <x:v>42</x:v>
      </x:c>
      <x:c r="C27" s="273">
        <x:f>3300000/31</x:f>
        <x:v>106451.6129032258</x:v>
      </x:c>
      <x:c r="D27" s="274"/>
      <x:c r="E27" s="55" t="s">
        <x:v>148</x:v>
      </x:c>
      <x:c r="F27" s="269"/>
      <x:c r="G27" s="270"/>
      <x:c r="H27" s="111" t="s">
        <x:v>116</x:v>
      </x:c>
      <x:c r="I27" s="112">
        <x:f>SUM(C27:D34,F27:G32)</x:f>
        <x:v>467322.58064516133</x:v>
      </x:c>
      <x:c r="M27" s="66"/>
    </x:row>
    <x:row r="28" spans="1:13" ht="30.949999999999999" customHeight="1">
      <x:c r="A28" s="281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67"/>
      <x:c r="G28" s="268"/>
      <x:c r="H28" s="111" t="s">
        <x:v>8</x:v>
      </x:c>
      <x:c r="I28" s="113">
        <x:f>I27/$A$25</x:f>
        <x:v>0.082843920544581673</x:v>
      </x:c>
      <x:c r="M28" s="66"/>
    </x:row>
    <x:row r="29" spans="1:13" ht="30.949999999999999" customHeight="1">
      <x:c r="A29" s="281"/>
      <x:c r="B29" s="54" t="s">
        <x:v>45</x:v>
      </x:c>
      <x:c r="C29" s="273">
        <x:f>3300000/31</x:f>
        <x:v>106451.6129032258</x:v>
      </x:c>
      <x:c r="D29" s="274"/>
      <x:c r="E29" s="55" t="s">
        <x:v>55</x:v>
      </x:c>
      <x:c r="F29" s="269"/>
      <x:c r="G29" s="270"/>
      <x:c r="H29" s="111" t="s">
        <x:v>31</x:v>
      </x:c>
      <x:c r="I29" s="112">
        <x:f>SUM('1:5'!$I$27)</x:f>
        <x:v>3098112.9032258065</x:v>
      </x:c>
      <x:c r="M29" s="66"/>
    </x:row>
    <x:row r="30" spans="1:13" ht="30.949999999999999" customHeight="1">
      <x:c r="A30" s="281"/>
      <x:c r="B30" s="55" t="s">
        <x:v>150</x:v>
      </x:c>
      <x:c r="C30" s="273">
        <x:f>1500000/31</x:f>
        <x:v>48387.096774193546</x:v>
      </x:c>
      <x:c r="D30" s="274"/>
      <x:c r="E30" s="55" t="s">
        <x:v>55</x:v>
      </x:c>
      <x:c r="F30" s="269"/>
      <x:c r="G30" s="270"/>
      <x:c r="H30" s="111" t="s">
        <x:v>126</x:v>
      </x:c>
      <x:c r="I30" s="113">
        <x:f>I29/$I$27</x:f>
        <x:v>6.6294954096776415</x:v>
      </x:c>
      <x:c r="M30" s="66"/>
    </x:row>
    <x:row r="31" spans="1:7" customHeight="1">
      <x:c r="A31" s="281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281"/>
      <x:c r="B32" s="147"/>
      <x:c r="C32" s="267"/>
      <x:c r="D32" s="268"/>
      <x:c r="E32" s="55" t="s">
        <x:v>136</x:v>
      </x:c>
      <x:c r="F32" s="269">
        <x:v>77000</x:v>
      </x:c>
      <x:c r="G32" s="270"/>
    </x:row>
    <x:row r="33" spans="1:7" customHeight="1">
      <x:c r="A33" s="281"/>
      <x:c r="B33" s="54"/>
      <x:c r="C33" s="267"/>
      <x:c r="D33" s="268"/>
      <x:c r="E33" s="53" t="s">
        <x:v>136</x:v>
      </x:c>
      <x:c r="G33" s="53">
        <x:v>132000</x:v>
      </x:c>
    </x:row>
    <x:row r="34" spans="1:4" customHeight="1">
      <x:c r="A34" s="282"/>
      <x:c r="B34" s="54"/>
      <x:c r="C34" s="269"/>
      <x:c r="D34" s="270"/>
    </x:row>
  </x:sheetData>
  <x:mergeCells count="74"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N23:O23"/>
    <x:mergeCell ref="A26:B26"/>
    <x:mergeCell ref="C26:D26"/>
    <x:mergeCell ref="E26:G26"/>
    <x:mergeCell ref="A25:B25"/>
    <x:mergeCell ref="C25:D25"/>
    <x:mergeCell ref="A24:B24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:B3"/>
    <x:mergeCell ref="C2:D3"/>
    <x:mergeCell ref="E2:F3"/>
    <x:mergeCell ref="G2:G3"/>
    <x:mergeCell ref="H2:I2"/>
    <x:mergeCell ref="J2:K2"/>
    <x:mergeCell ref="F17:G17"/>
    <x:mergeCell ref="F12:G12"/>
    <x:mergeCell ref="F13:G13"/>
    <x:mergeCell ref="F14:G14"/>
    <x:mergeCell ref="F15:G15"/>
    <x:mergeCell ref="F16:G16"/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25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6</x:v>
      </x:c>
      <x:c r="G1" s="68" t="s">
        <x:v>18</x:v>
      </x:c>
      <x:c r="H1" s="52" t="s">
        <x:v>121</x:v>
      </x:c>
      <x:c r="I1" s="52">
        <x:f>F1-K1</x:f>
        <x:v>6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6477000</x:v>
      </x:c>
      <x:c r="D2" s="312"/>
      <x:c r="E2" s="314" t="s">
        <x:v>38</x:v>
      </x:c>
      <x:c r="F2" s="315"/>
      <x:c r="G2" s="304">
        <x:v>109600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5926000</x:v>
      </x:c>
      <x:c r="D4" s="271"/>
      <x:c r="E4" s="313" t="s">
        <x:v>144</x:v>
      </x:c>
      <x:c r="F4" s="313"/>
      <x:c r="G4" s="133">
        <x:f>INT(C4*0.0275)</x:f>
        <x:v>162965</x:v>
      </x:c>
      <x:c r="H4" s="54" t="s">
        <x:v>20</x:v>
      </x:c>
      <x:c r="I4" s="124">
        <x:f>570716+907882+221000+239304+174258+452000</x:f>
        <x:v>2565160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551000</x:v>
      </x:c>
      <x:c r="D5" s="271"/>
      <x:c r="E5" s="262" t="s">
        <x:v>68</x:v>
      </x:c>
      <x:c r="F5" s="262"/>
      <x:c r="G5" s="133">
        <x:f>INT(C5*0.01)</x:f>
        <x:v>5510</x:v>
      </x:c>
      <x:c r="H5" s="54" t="s">
        <x:v>6</x:v>
      </x:c>
      <x:c r="I5" s="124">
        <x:f>27540+35520+100000+103500+72000+60500+39380</x:f>
        <x:v>438440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160600</x:v>
      </x:c>
      <x:c r="D8" s="271"/>
      <x:c r="E8" s="258" t="s">
        <x:v>108</x:v>
      </x:c>
      <x:c r="F8" s="259"/>
      <x:c r="G8" s="292">
        <x:f>C5+G2-G6-C22</x:f>
        <x:v>160600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7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SUM('1:6'!$C$12)</x:f>
        <x:v>52</x:v>
      </x:c>
      <x:c r="D13" s="260"/>
      <x:c r="E13" s="261"/>
      <x:c r="F13" s="290">
        <x:f>SUM('1:6'!$F$12)</x:f>
        <x:v>23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36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SUM('1:6'!$C$14)</x:f>
        <x:v>108</x:v>
      </x:c>
      <x:c r="D15" s="260"/>
      <x:c r="E15" s="261"/>
      <x:c r="F15" s="290">
        <x:f>SUM('1:6'!$F$14)</x:f>
        <x:v>37</x:v>
      </x:c>
      <x:c r="G15" s="291"/>
      <x:c r="H15" s="54" t="s">
        <x:v>104</x:v>
      </x:c>
      <x:c r="I15" s="58">
        <x:v>136400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>
        <x:v>43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SUM('1:6'!$C$16)</x:f>
        <x:v>30</x:v>
      </x:c>
      <x:c r="D17" s="260"/>
      <x:c r="E17" s="261"/>
      <x:c r="F17" s="257">
        <x:f>SUM('1:6'!$F$16)</x:f>
        <x:v>107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9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SUM('1:6'!$C$18)</x:f>
        <x:v>71</x:v>
      </x:c>
      <x:c r="D19" s="260"/>
      <x:c r="E19" s="261"/>
      <x:c r="F19" s="257">
        <x:f>SUM('1:6'!$F$18)</x:f>
        <x:v>17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44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SUM('1:6'!$F$20)</x:f>
        <x:v>290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3140000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551000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0.48479234213370387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6477000</x:v>
      </x:c>
      <x:c r="B25" s="272"/>
      <x:c r="C25" s="272">
        <x:f>E25/I1</x:f>
        <x:v>4824000.0499999998</x:v>
      </x:c>
      <x:c r="D25" s="272"/>
      <x:c r="E25" s="272">
        <x:f>SUM('1:6'!$A$25)</x:f>
        <x:v>28944000.300000001</x:v>
      </x:c>
      <x:c r="F25" s="272"/>
      <x:c r="G25" s="272"/>
      <x:c r="H25" s="107" t="s">
        <x:v>31</x:v>
      </x:c>
      <x:c r="I25" s="108">
        <x:f>SUM('1:6'!$I$23)</x:f>
        <x:v>11771350</x:v>
      </x:c>
      <x:c r="J25" s="61" t="s">
        <x:v>31</x:v>
      </x:c>
      <x:c r="K25" s="62">
        <x:f>SUM('1:6'!$K$23)</x:f>
        <x:v>849760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0.40669395653647777</x:v>
      </x:c>
      <x:c r="J26" s="64" t="s">
        <x:v>126</x:v>
      </x:c>
      <x:c r="K26" s="65">
        <x:f>K25/$E$25</x:f>
        <x:v>0.029358761442522512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4">
        <x:f>SUM(C27:D34,F27:G32)</x:f>
        <x:v>929822.58064516133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0.14355760084069188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13000*12</x:f>
        <x:v>156000</x:v>
      </x:c>
      <x:c r="G29" s="271"/>
      <x:c r="H29" s="111" t="s">
        <x:v>31</x:v>
      </x:c>
      <x:c r="I29" s="112">
        <x:f>SUM('1:6'!$I$27)</x:f>
        <x:v>4027935.4838709678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4.3319398428420266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130000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130000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7</x:v>
      </x:c>
      <x:c r="G1" s="68" t="s">
        <x:v>19</x:v>
      </x:c>
      <x:c r="H1" s="52" t="s">
        <x:v>121</x:v>
      </x:c>
      <x:c r="I1" s="52">
        <x:f>F1-K1</x:f>
        <x:v>7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5656000</x:v>
      </x:c>
      <x:c r="D2" s="312"/>
      <x:c r="E2" s="314" t="s">
        <x:v>38</x:v>
      </x:c>
      <x:c r="F2" s="315"/>
      <x:c r="G2" s="304">
        <x:v>160600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4947000</x:v>
      </x:c>
      <x:c r="D4" s="271"/>
      <x:c r="E4" s="313" t="s">
        <x:v>144</x:v>
      </x:c>
      <x:c r="F4" s="313"/>
      <x:c r="G4" s="133">
        <x:f>INT(C4*0.0275)</x:f>
        <x:v>136042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709000</x:v>
      </x:c>
      <x:c r="D5" s="271"/>
      <x:c r="E5" s="262" t="s">
        <x:v>68</x:v>
      </x:c>
      <x:c r="F5" s="262"/>
      <x:c r="G5" s="133">
        <x:f>INT(C5*0.01)</x:f>
        <x:v>7090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770000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99600</x:v>
      </x:c>
      <x:c r="D8" s="271"/>
      <x:c r="E8" s="258" t="s">
        <x:v>108</x:v>
      </x:c>
      <x:c r="F8" s="259"/>
      <x:c r="G8" s="292">
        <x:f>C5+G2-G6-C22</x:f>
        <x:v>99600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60000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11</x:v>
      </x:c>
      <x:c r="D12" s="258" t="s">
        <x:v>131</x:v>
      </x:c>
      <x:c r="E12" s="259"/>
      <x:c r="F12" s="285">
        <x:v>3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SUM('1:7'!$C$12)</x:f>
        <x:v>63</x:v>
      </x:c>
      <x:c r="D13" s="260"/>
      <x:c r="E13" s="261"/>
      <x:c r="F13" s="290">
        <x:f>SUM('1:7'!$F$12)</x:f>
        <x:v>26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28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SUM('1:7'!$C$14)</x:f>
        <x:v>136</x:v>
      </x:c>
      <x:c r="D15" s="260"/>
      <x:c r="E15" s="261"/>
      <x:c r="F15" s="290">
        <x:f>SUM('1:7'!$F$14)</x:f>
        <x:v>44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5</x:v>
      </x:c>
      <x:c r="D16" s="258" t="s">
        <x:v>115</x:v>
      </x:c>
      <x:c r="E16" s="259"/>
      <x:c r="F16" s="266">
        <x:v>12</x:v>
      </x:c>
      <x:c r="G16" s="266"/>
      <x:c r="H16" s="54"/>
      <x:c r="I16" s="58"/>
      <x:c r="J16" s="54" t="s">
        <x:v>95</x:v>
      </x:c>
      <x:c r="K16" s="58">
        <x:f>501980+17000</x:f>
        <x:v>518980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SUM('1:7'!$C$16)</x:f>
        <x:v>35</x:v>
      </x:c>
      <x:c r="D17" s="260"/>
      <x:c r="E17" s="261"/>
      <x:c r="F17" s="257">
        <x:f>SUM('1:7'!$F$16)</x:f>
        <x:v>119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14</x:v>
      </x:c>
      <x:c r="D18" s="258" t="s">
        <x:v>128</x:v>
      </x:c>
      <x:c r="E18" s="259"/>
      <x:c r="F18" s="294">
        <x:v>7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SUM('1:7'!$C$18)</x:f>
        <x:v>85</x:v>
      </x:c>
      <x:c r="D19" s="260"/>
      <x:c r="E19" s="261"/>
      <x:c r="F19" s="257">
        <x:f>SUM('1:7'!$F$18)</x:f>
        <x:v>24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49</x:v>
      </x:c>
      <x:c r="G20" s="266"/>
      <x:c r="H20" s="149"/>
      <x:c r="I20" s="132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SUM('1:7'!$F$20)</x:f>
        <x:v>339</x:v>
      </x:c>
      <x:c r="G21" s="257"/>
      <x:c r="H21" s="149"/>
      <x:c r="I21" s="132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518980</x:v>
      </x:c>
      <x:c r="M23" s="88" t="s">
        <x:v>91</x:v>
      </x:c>
      <x:c r="N23" s="287">
        <x:f>C5+C6</x:f>
        <x:v>709000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0.091757425742574256</x:v>
      </x:c>
    </x:row>
    <x:row r="25" spans="1:11" ht="34.149999999999999" customHeight="1">
      <x:c r="A25" s="283">
        <x:f>C2</x:f>
        <x:v>5656000</x:v>
      </x:c>
      <x:c r="B25" s="272"/>
      <x:c r="C25" s="272">
        <x:f>E25/I1</x:f>
        <x:v>4942857.1857142849</x:v>
      </x:c>
      <x:c r="D25" s="272"/>
      <x:c r="E25" s="272">
        <x:f>SUM('1:7'!$A$25)</x:f>
        <x:v>34600000.299999997</x:v>
      </x:c>
      <x:c r="F25" s="272"/>
      <x:c r="G25" s="272"/>
      <x:c r="H25" s="107" t="s">
        <x:v>31</x:v>
      </x:c>
      <x:c r="I25" s="108">
        <x:f>SUM('1:7'!$I$23)</x:f>
        <x:v>11771350</x:v>
      </x:c>
      <x:c r="J25" s="61" t="s">
        <x:v>31</x:v>
      </x:c>
      <x:c r="K25" s="62">
        <x:f>SUM('1:7'!$K$23)</x:f>
        <x:v>1368740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0.34021242479584607</x:v>
      </x:c>
      <x:c r="J26" s="64" t="s">
        <x:v>126</x:v>
      </x:c>
      <x:c r="K26" s="65">
        <x:f>K25/$E$25</x:f>
        <x:v>0.039558959194575499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876822.58064516133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</x:f>
        <x:v>117000</x:v>
      </x:c>
      <x:c r="G28" s="275"/>
      <x:c r="H28" s="111" t="s">
        <x:v>8</x:v>
      </x:c>
      <x:c r="I28" s="113">
        <x:f>I27/$A$25</x:f>
        <x:v>0.15502520874207237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13000*11.5</x:f>
        <x:v>149500</x:v>
      </x:c>
      <x:c r="G29" s="271"/>
      <x:c r="H29" s="111" t="s">
        <x:v>31</x:v>
      </x:c>
      <x:c r="I29" s="112">
        <x:f>SUM('1:7'!$I$27)</x:f>
        <x:v>4904758.064516129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5.5937862148888025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143000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77000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28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8</x:v>
      </x:c>
      <x:c r="G1" s="68" t="s">
        <x:v>47</x:v>
      </x:c>
      <x:c r="H1" s="52" t="s">
        <x:v>121</x:v>
      </x:c>
      <x:c r="I1" s="52">
        <x:f>F1-K1</x:f>
        <x:v>8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4252000</x:v>
      </x:c>
      <x:c r="D2" s="312"/>
      <x:c r="E2" s="314" t="s">
        <x:v>38</x:v>
      </x:c>
      <x:c r="F2" s="315"/>
      <x:c r="G2" s="304">
        <x:v>99600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3638000</x:v>
      </x:c>
      <x:c r="D4" s="271"/>
      <x:c r="E4" s="313" t="s">
        <x:v>144</x:v>
      </x:c>
      <x:c r="F4" s="313"/>
      <x:c r="G4" s="133">
        <x:f>INT(C4*0.0275)</x:f>
        <x:v>100045</x:v>
      </x:c>
      <x:c r="H4" s="54" t="s">
        <x:v>20</x:v>
      </x:c>
      <x:c r="I4" s="124">
        <x:f>56220+452000+221000+235248+212982</x:f>
        <x:v>1177450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614000</x:v>
      </x:c>
      <x:c r="D5" s="271"/>
      <x:c r="E5" s="262" t="s">
        <x:v>68</x:v>
      </x:c>
      <x:c r="F5" s="262"/>
      <x:c r="G5" s="133">
        <x:f>INT(C5*0.01)</x:f>
        <x:v>6140</x:v>
      </x:c>
      <x:c r="H5" s="54" t="s">
        <x:v>6</x:v>
      </x:c>
      <x:c r="I5" s="124">
        <x:f>45430+29656+39380+50000+34500+72000+3590+27540+16720</x:f>
        <x:v>318816</x:v>
      </x:c>
      <x:c r="J5" s="81"/>
      <x:c r="K5" s="58"/>
    </x:row>
    <x:row r="6" spans="1:13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650000</x:v>
      </x:c>
      <x:c r="H6" s="54"/>
      <x:c r="I6" s="124"/>
      <x:c r="J6" s="81" t="s">
        <x:v>125</x:v>
      </x:c>
      <x:c r="K6" s="58"/>
      <x:c r="M6" s="124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295100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63600</x:v>
      </x:c>
      <x:c r="D8" s="271"/>
      <x:c r="E8" s="258" t="s">
        <x:v>108</x:v>
      </x:c>
      <x:c r="F8" s="259"/>
      <x:c r="G8" s="292">
        <x:f>C5+G2-G6-C22</x:f>
        <x:v>63600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8</x:v>
      </x:c>
      <x:c r="D12" s="258" t="s">
        <x:v>131</x:v>
      </x:c>
      <x:c r="E12" s="259"/>
      <x:c r="F12" s="285">
        <x:v>2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SUM('1:8'!$C$12)</x:f>
        <x:v>71</x:v>
      </x:c>
      <x:c r="D13" s="260"/>
      <x:c r="E13" s="261"/>
      <x:c r="F13" s="290">
        <x:f>SUM('1:8'!$F$12)</x:f>
        <x:v>28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12</x:v>
      </x:c>
      <x:c r="D14" s="258" t="s">
        <x:v>93</x:v>
      </x:c>
      <x:c r="E14" s="259"/>
      <x:c r="F14" s="285">
        <x:v>9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SUM('1:8'!$C$14)</x:f>
        <x:v>148</x:v>
      </x:c>
      <x:c r="D15" s="260"/>
      <x:c r="E15" s="261"/>
      <x:c r="F15" s="290">
        <x:f>SUM('1:8'!$F$14)</x:f>
        <x:v>53</x:v>
      </x:c>
      <x:c r="G15" s="291"/>
      <x:c r="H15" s="54" t="s">
        <x:v>104</x:v>
      </x:c>
      <x:c r="I15" s="58">
        <x:v>435050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2</x:v>
      </x:c>
      <x:c r="D16" s="258" t="s">
        <x:v>115</x:v>
      </x:c>
      <x:c r="E16" s="259"/>
      <x:c r="F16" s="266">
        <x:v>12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SUM('1:8'!$C$16)</x:f>
        <x:v>37</x:v>
      </x:c>
      <x:c r="D17" s="260"/>
      <x:c r="E17" s="261"/>
      <x:c r="F17" s="257">
        <x:f>SUM('1:8'!$F$16)</x:f>
        <x:v>131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7</x:v>
      </x:c>
      <x:c r="D18" s="258" t="s">
        <x:v>128</x:v>
      </x:c>
      <x:c r="E18" s="259"/>
      <x:c r="F18" s="294">
        <x:v>6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SUM('1:8'!$C$18)</x:f>
        <x:v>92</x:v>
      </x:c>
      <x:c r="D19" s="260"/>
      <x:c r="E19" s="261"/>
      <x:c r="F19" s="257">
        <x:f>SUM('1:8'!$F$18)</x:f>
        <x:v>30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52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SUM('1:8'!$F$20)</x:f>
        <x:v>391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2226416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614000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0.52361618062088433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4252000</x:v>
      </x:c>
      <x:c r="B25" s="272"/>
      <x:c r="C25" s="272">
        <x:f>E25/I1</x:f>
        <x:v>4856500.0374999996</x:v>
      </x:c>
      <x:c r="D25" s="272"/>
      <x:c r="E25" s="272">
        <x:f>SUM('1:8'!$A$25)</x:f>
        <x:v>38852000.299999997</x:v>
      </x:c>
      <x:c r="F25" s="272"/>
      <x:c r="G25" s="272"/>
      <x:c r="H25" s="107" t="s">
        <x:v>31</x:v>
      </x:c>
      <x:c r="I25" s="108">
        <x:f>SUM('1:8'!$I$23)</x:f>
        <x:v>13997766</x:v>
      </x:c>
      <x:c r="J25" s="61" t="s">
        <x:v>31</x:v>
      </x:c>
      <x:c r="K25" s="62">
        <x:f>SUM('1:8'!$K$23)</x:f>
        <x:v>1368740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0.36028430690607199</x:v>
      </x:c>
      <x:c r="J26" s="64" t="s">
        <x:v>126</x:v>
      </x:c>
      <x:c r="K26" s="65">
        <x:f>K25/$E$25</x:f>
        <x:v>0.035229588938307514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698972.58064516133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0.16438677813856098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SUM('1:8'!$I$27)</x:f>
        <x:v>5603730.6451612907</x:v>
      </x:c>
      <x:c r="M29" s="66" t="s">
        <x:v>61</x:v>
      </x:c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>
        <x:f>11700*4.5</x:f>
        <x:v>52650</x:v>
      </x:c>
      <x:c r="G30" s="270"/>
      <x:c r="H30" s="111" t="s">
        <x:v>126</x:v>
      </x:c>
      <x:c r="I30" s="113">
        <x:f>I29/$I$27</x:f>
        <x:v>8.0170965218535031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2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9</x:v>
      </x:c>
      <x:c r="G1" s="68" t="s">
        <x:v>60</x:v>
      </x:c>
      <x:c r="H1" s="52" t="s">
        <x:v>121</x:v>
      </x:c>
      <x:c r="I1" s="52">
        <x:f>F1-K1</x:f>
        <x:v>9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4851500</x:v>
      </x:c>
      <x:c r="D2" s="312"/>
      <x:c r="E2" s="314" t="s">
        <x:v>38</x:v>
      </x:c>
      <x:c r="F2" s="315"/>
      <x:c r="G2" s="304">
        <x:v>63600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4278500</x:v>
      </x:c>
      <x:c r="D4" s="271"/>
      <x:c r="E4" s="313" t="s">
        <x:v>144</x:v>
      </x:c>
      <x:c r="F4" s="313"/>
      <x:c r="G4" s="133">
        <x:f>INT(C4*0.0275)</x:f>
        <x:v>117658</x:v>
      </x:c>
      <x:c r="H4" s="54" t="s">
        <x:v>20</x:v>
      </x:c>
      <x:c r="I4" s="124">
        <x:f>306409+287212+452000+241332+416283+56220</x:f>
        <x:v>1759456</x:v>
      </x:c>
      <x:c r="J4" s="80" t="s">
        <x:v>34</x:v>
      </x:c>
      <x:c r="K4" s="58">
        <x:v>256000</x:v>
      </x:c>
    </x:row>
    <x:row r="5" spans="1:11" ht="30.949999999999999" customHeight="1">
      <x:c r="A5" s="306" t="s">
        <x:v>59</x:v>
      </x:c>
      <x:c r="B5" s="307"/>
      <x:c r="C5" s="271">
        <x:v>573000</x:v>
      </x:c>
      <x:c r="D5" s="271"/>
      <x:c r="E5" s="262" t="s">
        <x:v>68</x:v>
      </x:c>
      <x:c r="F5" s="262"/>
      <x:c r="G5" s="133">
        <x:f>INT(C5*0.01)</x:f>
        <x:v>5730</x:v>
      </x:c>
      <x:c r="H5" s="54" t="s">
        <x:v>6</x:v>
      </x:c>
      <x:c r="I5" s="124">
        <x:f>33440+50000+7180+7790</x:f>
        <x:v>98410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492000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144100</x:v>
      </x:c>
      <x:c r="D8" s="271"/>
      <x:c r="E8" s="258" t="s">
        <x:v>108</x:v>
      </x:c>
      <x:c r="F8" s="259"/>
      <x:c r="G8" s="292">
        <x:f>C5+G2-G6-C22</x:f>
        <x:v>144600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SUM('1:9'!$C$12)</x:f>
        <x:v>71</x:v>
      </x:c>
      <x:c r="D13" s="260"/>
      <x:c r="E13" s="261"/>
      <x:c r="F13" s="290">
        <x:f>SUM('1:9'!$F$12)</x:f>
        <x:v>28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SUM('1:9'!$C$14)</x:f>
        <x:v>148</x:v>
      </x:c>
      <x:c r="D15" s="260"/>
      <x:c r="E15" s="261"/>
      <x:c r="F15" s="290">
        <x:f>SUM('1:9'!$F$14)</x:f>
        <x:v>53</x:v>
      </x:c>
      <x:c r="G15" s="291"/>
      <x:c r="H15" s="54" t="s">
        <x:v>104</x:v>
      </x:c>
      <x:c r="I15" s="58">
        <x:f>34000+5900+4800+11500+4200</x:f>
        <x:v>60400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>
        <x:v>61250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SUM('1:9'!$C$16)</x:f>
        <x:v>37</x:v>
      </x:c>
      <x:c r="D17" s="260"/>
      <x:c r="E17" s="261"/>
      <x:c r="F17" s="257">
        <x:f>SUM('1:9'!$F$16)</x:f>
        <x:v>131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SUM('1:9'!$C$18)</x:f>
        <x:v>92</x:v>
      </x:c>
      <x:c r="D19" s="260"/>
      <x:c r="E19" s="261"/>
      <x:c r="F19" s="257">
        <x:f>SUM('1:9'!$F$18)</x:f>
        <x:v>30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55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SUM('1:9'!$F$20)</x:f>
        <x:v>446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1983266</x:v>
      </x:c>
      <x:c r="J23" s="61" t="s">
        <x:v>117</x:v>
      </x:c>
      <x:c r="K23" s="62">
        <x:f>SUM(K4:K22)</x:f>
        <x:v>317250</x:v>
      </x:c>
      <x:c r="M23" s="88" t="s">
        <x:v>91</x:v>
      </x:c>
      <x:c r="N23" s="287">
        <x:f>C5+C6</x:f>
        <x:v>573000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0.40879439348655056</x:v>
      </x:c>
      <x:c r="J24" s="61" t="s">
        <x:v>8</x:v>
      </x:c>
      <x:c r="K24" s="63">
        <x:f>K23/A25</x:f>
        <x:v>0.065392146758734407</x:v>
      </x:c>
    </x:row>
    <x:row r="25" spans="1:11" ht="34.149999999999999" customHeight="1">
      <x:c r="A25" s="283">
        <x:f>C2</x:f>
        <x:v>4851500</x:v>
      </x:c>
      <x:c r="B25" s="272"/>
      <x:c r="C25" s="272">
        <x:f>E25/I1</x:f>
        <x:v>4855944.4777777772</x:v>
      </x:c>
      <x:c r="D25" s="272"/>
      <x:c r="E25" s="272">
        <x:f>SUM('1:9'!$A$25)</x:f>
        <x:v>43703500.299999997</x:v>
      </x:c>
      <x:c r="F25" s="272"/>
      <x:c r="G25" s="272"/>
      <x:c r="H25" s="107" t="s">
        <x:v>31</x:v>
      </x:c>
      <x:c r="I25" s="108">
        <x:f>SUM('1:9'!$I$23)</x:f>
        <x:v>15981032</x:v>
      </x:c>
      <x:c r="J25" s="61" t="s">
        <x:v>31</x:v>
      </x:c>
      <x:c r="K25" s="62">
        <x:f>SUM('1:9'!$K$23)</x:f>
        <x:v>1685990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0.36566938323702186</x:v>
      </x:c>
      <x:c r="J26" s="64" t="s">
        <x:v>126</x:v>
      </x:c>
      <x:c r="K26" s="65">
        <x:f>K25/$E$25</x:f>
        <x:v>0.038577916835645314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833422.58064516133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0.17178657748019402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SUM('1:9'!$I$27)</x:f>
        <x:v>6437153.2258064523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>
        <x:f>11700*3</x:f>
        <x:v>35100</x:v>
      </x:c>
      <x:c r="G30" s="270"/>
      <x:c r="H30" s="111" t="s">
        <x:v>126</x:v>
      </x:c>
      <x:c r="I30" s="113">
        <x:f>I29/$I$27</x:f>
        <x:v>7.7237566815424934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130000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f>71000*3</x:f>
        <x:v>213000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10</x:v>
      </x:c>
      <x:c r="G1" s="68" t="s">
        <x:v>26</x:v>
      </x:c>
      <x:c r="H1" s="52" t="s">
        <x:v>121</x:v>
      </x:c>
      <x:c r="I1" s="52">
        <x:f>F1-K1</x:f>
        <x:v>10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4086500</x:v>
      </x:c>
      <x:c r="D2" s="312"/>
      <x:c r="E2" s="314" t="s">
        <x:v>38</x:v>
      </x:c>
      <x:c r="F2" s="315"/>
      <x:c r="G2" s="304">
        <x:v>144100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3352500</x:v>
      </x:c>
      <x:c r="D4" s="271"/>
      <x:c r="E4" s="313" t="s">
        <x:v>144</x:v>
      </x:c>
      <x:c r="F4" s="313"/>
      <x:c r="G4" s="133">
        <x:f>INT(C4*0.0275)</x:f>
        <x:v>92193</x:v>
      </x:c>
      <x:c r="H4" s="54" t="s">
        <x:v>20</x:v>
      </x:c>
      <x:c r="I4" s="124">
        <x:f>272608+221000+249444</x:f>
        <x:v>743052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734000</x:v>
      </x:c>
      <x:c r="D5" s="271"/>
      <x:c r="E5" s="262" t="s">
        <x:v>68</x:v>
      </x:c>
      <x:c r="F5" s="262"/>
      <x:c r="G5" s="133">
        <x:f>INT(C5*0.01)</x:f>
        <x:v>7340</x:v>
      </x:c>
      <x:c r="H5" s="54" t="s">
        <x:v>6</x:v>
      </x:c>
      <x:c r="I5" s="124">
        <x:f>29656+39380</x:f>
        <x:v>69036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800000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78100</x:v>
      </x:c>
      <x:c r="D8" s="271"/>
      <x:c r="E8" s="258" t="s">
        <x:v>108</x:v>
      </x:c>
      <x:c r="F8" s="259"/>
      <x:c r="G8" s="292">
        <x:f>C5+G2-G6-C22</x:f>
        <x:v>78100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242000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5" t="s">
        <x:v>101</x:v>
      </x:c>
      <x:c r="B11" s="262"/>
      <x:c r="C11" s="284" t="s">
        <x:v>151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15</x:v>
      </x:c>
      <x:c r="D12" s="258" t="s">
        <x:v>131</x:v>
      </x:c>
      <x:c r="E12" s="259"/>
      <x:c r="F12" s="285">
        <x:v>2</x:v>
      </x:c>
      <x:c r="G12" s="286"/>
      <x:c r="H12" s="54" t="s">
        <x:v>100</x:v>
      </x:c>
      <x:c r="J12" s="54"/>
      <x:c r="K12" s="58">
        <x:v>40800</x:v>
      </x:c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SUM('1:10'!$C$12)</x:f>
        <x:v>86</x:v>
      </x:c>
      <x:c r="D13" s="260"/>
      <x:c r="E13" s="261"/>
      <x:c r="F13" s="290">
        <x:f>SUM('1:10'!$F$12)</x:f>
        <x:v>30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9</x:v>
      </x:c>
      <x:c r="D14" s="258" t="s">
        <x:v>93</x:v>
      </x:c>
      <x:c r="E14" s="259"/>
      <x:c r="F14" s="285">
        <x:v>15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SUM('1:10'!$C$14)</x:f>
        <x:v>157</x:v>
      </x:c>
      <x:c r="D15" s="260"/>
      <x:c r="E15" s="261"/>
      <x:c r="F15" s="290">
        <x:f>SUM('1:10'!$F$14)</x:f>
        <x:v>68</x:v>
      </x:c>
      <x:c r="G15" s="291"/>
      <x:c r="H15" s="54" t="s">
        <x:v>104</x:v>
      </x:c>
      <x:c r="I15" s="58">
        <x:f>11000+9600+54400+11800+18400+15500+21000+11400+3500+13000</x:f>
        <x:v>169600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3</x:v>
      </x:c>
      <x:c r="D16" s="258" t="s">
        <x:v>115</x:v>
      </x:c>
      <x:c r="E16" s="259"/>
      <x:c r="F16" s="266">
        <x:v>9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SUM('1:10'!$C$16)</x:f>
        <x:v>40</x:v>
      </x:c>
      <x:c r="D17" s="260"/>
      <x:c r="E17" s="261"/>
      <x:c r="F17" s="257">
        <x:f>F19</x:f>
        <x:v>35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9</x:v>
      </x:c>
      <x:c r="D18" s="258" t="s">
        <x:v>128</x:v>
      </x:c>
      <x:c r="E18" s="259"/>
      <x:c r="F18" s="294">
        <x:v>5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SUM('1:10'!$C$18)</x:f>
        <x:v>101</x:v>
      </x:c>
      <x:c r="D19" s="260"/>
      <x:c r="E19" s="261"/>
      <x:c r="F19" s="257">
        <x:f>SUM('1:10'!$F$18)</x:f>
        <x:v>35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58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SUM('1:10'!$F$20)</x:f>
        <x:v>504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981688</x:v>
      </x:c>
      <x:c r="J23" s="61" t="s">
        <x:v>117</x:v>
      </x:c>
      <x:c r="K23" s="62">
        <x:f>SUM(K4:K22)</x:f>
        <x:v>55100</x:v>
      </x:c>
      <x:c r="M23" s="88" t="s">
        <x:v>91</x:v>
      </x:c>
      <x:c r="N23" s="287">
        <x:f>C5+C6</x:f>
        <x:v>734000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0.24022708919613361</x:v>
      </x:c>
      <x:c r="J24" s="61" t="s">
        <x:v>8</x:v>
      </x:c>
      <x:c r="K24" s="63">
        <x:f>K23/A25</x:f>
        <x:v>0.013483421020433133</x:v>
      </x:c>
    </x:row>
    <x:row r="25" spans="1:11" ht="34.149999999999999" customHeight="1">
      <x:c r="A25" s="283">
        <x:f>C2</x:f>
        <x:v>4086500</x:v>
      </x:c>
      <x:c r="B25" s="272"/>
      <x:c r="C25" s="272">
        <x:f>E25/I1</x:f>
        <x:v>4779000.0299999993</x:v>
      </x:c>
      <x:c r="D25" s="272"/>
      <x:c r="E25" s="272">
        <x:f>SUM('1:10'!$A$25)</x:f>
        <x:v>47790000.299999997</x:v>
      </x:c>
      <x:c r="F25" s="272"/>
      <x:c r="G25" s="272"/>
      <x:c r="H25" s="107" t="s">
        <x:v>31</x:v>
      </x:c>
      <x:c r="I25" s="108">
        <x:f>SUM('1:10'!$I$23)</x:f>
        <x:v>16962720</x:v>
      </x:c>
      <x:c r="J25" s="61" t="s">
        <x:v>31</x:v>
      </x:c>
      <x:c r="K25" s="62">
        <x:f>SUM('1:10'!$K$21)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0.35494287285032727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835322.58064516133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13000*4</x:f>
        <x:v>52000</x:v>
      </x:c>
      <x:c r="G28" s="275"/>
      <x:c r="H28" s="111" t="s">
        <x:v>8</x:v>
      </x:c>
      <x:c r="I28" s="113">
        <x:f>I27/$A$25</x:f>
        <x:v>0.20441027300750308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SUM('1:10'!$I$25)</x:f>
        <x:v>97925163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117.23035539679474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125000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f>132000+71000</x:f>
        <x:v>203000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11</x:v>
      </x:c>
      <x:c r="G1" s="68" t="s">
        <x:v>48</x:v>
      </x:c>
      <x:c r="H1" s="52" t="s">
        <x:v>121</x:v>
      </x:c>
      <x:c r="I1" s="52">
        <x:f>F1-K1</x:f>
        <x:v>11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4341000</x:v>
      </x:c>
      <x:c r="D2" s="312"/>
      <x:c r="E2" s="314" t="s">
        <x:v>38</x:v>
      </x:c>
      <x:c r="F2" s="315"/>
      <x:c r="G2" s="304">
        <x:v>78100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3942000</x:v>
      </x:c>
      <x:c r="D4" s="271"/>
      <x:c r="E4" s="313" t="s">
        <x:v>144</x:v>
      </x:c>
      <x:c r="F4" s="313"/>
      <x:c r="G4" s="133">
        <x:f>INT(C4*0.0275)</x:f>
        <x:v>108405</x:v>
      </x:c>
      <x:c r="H4" s="54" t="s">
        <x:v>20</x:v>
      </x:c>
      <x:c r="I4" s="124">
        <x:f>282344+43500+452000+221000+243360+209755</x:f>
        <x:v>1451959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399000</x:v>
      </x:c>
      <x:c r="D5" s="271"/>
      <x:c r="E5" s="262" t="s">
        <x:v>68</x:v>
      </x:c>
      <x:c r="F5" s="262"/>
      <x:c r="G5" s="133">
        <x:f>INT(C5*0.01)</x:f>
        <x:v>3990</x:v>
      </x:c>
      <x:c r="H5" s="54" t="s">
        <x:v>6</x:v>
      </x:c>
      <x:c r="I5" s="124">
        <x:f>50000+34500+9890</x:f>
        <x:v>94390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350000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122000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127100</x:v>
      </x:c>
      <x:c r="D8" s="271"/>
      <x:c r="E8" s="258" t="s">
        <x:v>108</x:v>
      </x:c>
      <x:c r="F8" s="259"/>
      <x:c r="G8" s="292">
        <x:f>C5+G2-G6-C22</x:f>
        <x:v>127100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838000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6" ht="33" customHeight="1">
      <x:c r="A11" s="265" t="s">
        <x:v>101</x:v>
      </x:c>
      <x:c r="B11" s="262"/>
      <x:c r="C11" s="284" t="s">
        <x:v>165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  <x:c r="M11" s="52"/>
      <x:c r="N11" s="52"/>
      <x:c r="O11" s="52"/>
      <x:c r="P11" s="52"/>
    </x:row>
    <x:row r="12" spans="1:12" ht="21.949999999999999" customHeight="1">
      <x:c r="A12" s="59" t="s">
        <x:v>46</x:v>
      </x:c>
      <x:c r="B12" s="263" t="s">
        <x:v>40</x:v>
      </x:c>
      <x:c r="C12" s="79">
        <x:v>15</x:v>
      </x:c>
      <x:c r="D12" s="258" t="s">
        <x:v>131</x:v>
      </x:c>
      <x:c r="E12" s="259"/>
      <x:c r="F12" s="285">
        <x:v>5</x:v>
      </x:c>
      <x:c r="G12" s="286"/>
      <x:c r="H12" s="54" t="s">
        <x:v>100</x:v>
      </x:c>
      <x:c r="I12" s="58"/>
      <x:c r="J12" s="54"/>
      <x:c r="K12" s="58"/>
      <x:c r="L12" s="60"/>
    </x:row>
    <x:row r="13" spans="1:12" ht="21.949999999999999" customHeight="1">
      <x:c r="A13" s="59" t="s">
        <x:v>94</x:v>
      </x:c>
      <x:c r="B13" s="264"/>
      <x:c r="C13" s="134">
        <x:f>SUM('1:11'!$C$12)</x:f>
        <x:v>101</x:v>
      </x:c>
      <x:c r="D13" s="260"/>
      <x:c r="E13" s="261"/>
      <x:c r="F13" s="290">
        <x:f>SUM('1:11'!$F$12)</x:f>
        <x:v>35</x:v>
      </x:c>
      <x:c r="G13" s="291"/>
      <x:c r="H13" s="54" t="s">
        <x:v>124</x:v>
      </x:c>
      <x:c r="I13" s="58"/>
      <x:c r="J13" s="54"/>
      <x:c r="K13" s="58"/>
      <x:c r="L13" s="60"/>
    </x:row>
    <x:row r="14" spans="1:13" ht="21.949999999999999" customHeight="1">
      <x:c r="A14" s="59" t="s">
        <x:v>46</x:v>
      </x:c>
      <x:c r="B14" s="263" t="s">
        <x:v>62</x:v>
      </x:c>
      <x:c r="C14" s="79">
        <x:v>27</x:v>
      </x:c>
      <x:c r="D14" s="258" t="s">
        <x:v>93</x:v>
      </x:c>
      <x:c r="E14" s="259"/>
      <x:c r="F14" s="285">
        <x:v>6</x:v>
      </x:c>
      <x:c r="G14" s="286"/>
      <x:c r="H14" s="54" t="s">
        <x:v>109</x:v>
      </x:c>
      <x:c r="I14" s="58"/>
      <x:c r="J14" s="54"/>
      <x:c r="K14" s="58"/>
      <x:c r="L14" s="60"/>
      <x:c r="M14" s="53" t="s">
        <x:v>149</x:v>
      </x:c>
    </x:row>
    <x:row r="15" spans="1:12" ht="21.949999999999999" customHeight="1">
      <x:c r="A15" s="59" t="s">
        <x:v>94</x:v>
      </x:c>
      <x:c r="B15" s="264"/>
      <x:c r="C15" s="134">
        <x:f>SUM('1:11'!$C$14)</x:f>
        <x:v>184</x:v>
      </x:c>
      <x:c r="D15" s="260"/>
      <x:c r="E15" s="261"/>
      <x:c r="F15" s="290">
        <x:f>SUM('1:11'!$F$14)</x:f>
        <x:v>74</x:v>
      </x:c>
      <x:c r="G15" s="291"/>
      <x:c r="H15" s="54" t="s">
        <x:v>104</x:v>
      </x:c>
      <x:c r="I15" s="58">
        <x:f>9600+11800+20400+9300+7000+9800+22000+33000+5500</x:f>
        <x:v>128400</x:v>
      </x:c>
      <x:c r="J15" s="54" t="s">
        <x:v>72</x:v>
      </x:c>
      <x:c r="K15" s="58"/>
      <x:c r="L15" s="60"/>
    </x:row>
    <x:row r="16" spans="1:12" ht="21.949999999999999" customHeight="1">
      <x:c r="A16" s="59" t="s">
        <x:v>46</x:v>
      </x:c>
      <x:c r="B16" s="263" t="s">
        <x:v>49</x:v>
      </x:c>
      <x:c r="C16" s="79">
        <x:v>7</x:v>
      </x:c>
      <x:c r="D16" s="258" t="s">
        <x:v>115</x:v>
      </x:c>
      <x:c r="E16" s="259"/>
      <x:c r="F16" s="266">
        <x:v>19</x:v>
      </x:c>
      <x:c r="G16" s="266"/>
      <x:c r="H16" s="54"/>
      <x:c r="I16" s="58"/>
      <x:c r="J16" s="54" t="s">
        <x:v>95</x:v>
      </x:c>
      <x:c r="K16" s="58"/>
      <x:c r="L16" s="60"/>
    </x:row>
    <x:row r="17" spans="1:12" ht="21.949999999999999" customHeight="1">
      <x:c r="A17" s="59" t="s">
        <x:v>94</x:v>
      </x:c>
      <x:c r="B17" s="264"/>
      <x:c r="C17" s="134">
        <x:f>SUM('1:11'!$C$16)</x:f>
        <x:v>47</x:v>
      </x:c>
      <x:c r="D17" s="260"/>
      <x:c r="E17" s="261"/>
      <x:c r="F17" s="257">
        <x:f>SUM('1:11'!$F$16)</x:f>
        <x:v>159</x:v>
      </x:c>
      <x:c r="G17" s="257"/>
      <x:c r="H17" s="54" t="s">
        <x:v>7</x:v>
      </x:c>
      <x:c r="I17" s="58"/>
      <x:c r="J17" s="54" t="s">
        <x:v>88</x:v>
      </x:c>
      <x:c r="K17" s="58"/>
      <x:c r="L17" s="60"/>
    </x:row>
    <x:row r="18" spans="1:12" ht="21.949999999999999" customHeight="1">
      <x:c r="A18" s="59" t="s">
        <x:v>46</x:v>
      </x:c>
      <x:c r="B18" s="263" t="s">
        <x:v>89</x:v>
      </x:c>
      <x:c r="C18" s="79">
        <x:v>11</x:v>
      </x:c>
      <x:c r="D18" s="258" t="s">
        <x:v>128</x:v>
      </x:c>
      <x:c r="E18" s="259"/>
      <x:c r="F18" s="294">
        <x:v>9</x:v>
      </x:c>
      <x:c r="G18" s="295"/>
      <x:c r="H18" s="54"/>
      <x:c r="I18" s="58"/>
      <x:c r="J18" s="54"/>
      <x:c r="K18" s="58"/>
      <x:c r="L18" s="60"/>
    </x:row>
    <x:row r="19" spans="1:12" ht="21.949999999999999" customHeight="1">
      <x:c r="A19" s="59" t="s">
        <x:v>94</x:v>
      </x:c>
      <x:c r="B19" s="264"/>
      <x:c r="C19" s="134">
        <x:f>SUM('1:11'!$C$18)</x:f>
        <x:v>112</x:v>
      </x:c>
      <x:c r="D19" s="260"/>
      <x:c r="E19" s="261"/>
      <x:c r="F19" s="257">
        <x:f>SUM('1:11'!$F$18)</x:f>
        <x:v>44</x:v>
      </x:c>
      <x:c r="G19" s="257"/>
      <x:c r="H19" s="58"/>
      <x:c r="I19" s="58"/>
      <x:c r="J19" s="54"/>
      <x:c r="K19" s="58"/>
      <x:c r="L19" s="60"/>
    </x:row>
    <x:row r="20" spans="4:12" ht="21.949999999999999" customHeight="1">
      <x:c r="D20" s="262" t="s">
        <x:v>111</x:v>
      </x:c>
      <x:c r="E20" s="262"/>
      <x:c r="F20" s="266"/>
      <x:c r="G20" s="266"/>
      <x:c r="H20" s="58"/>
      <x:c r="J20" s="54"/>
      <x:c r="K20" s="58"/>
      <x:c r="L20" s="60"/>
    </x:row>
    <x:row r="21" spans="4:12" ht="21.949999999999999" customHeight="1">
      <x:c r="D21" s="262" t="s">
        <x:v>112</x:v>
      </x:c>
      <x:c r="E21" s="262"/>
      <x:c r="F21" s="257">
        <x:f>SUM('1:11'!$F$20)</x:f>
        <x:v>504</x:v>
      </x:c>
      <x:c r="G21" s="257"/>
      <x:c r="H21" s="58"/>
      <x:c r="J21" s="54"/>
      <x:c r="K21" s="58"/>
      <x:c r="L21" s="60"/>
    </x:row>
    <x:row r="22" spans="1:12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1861749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399000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0.42887560469937802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4341000</x:v>
      </x:c>
      <x:c r="B25" s="272"/>
      <x:c r="C25" s="272">
        <x:f>E25/I1</x:f>
        <x:v>4739181.8454545448</x:v>
      </x:c>
      <x:c r="D25" s="272"/>
      <x:c r="E25" s="272">
        <x:f>SUM('1:11'!$A$25)</x:f>
        <x:v>52131000.299999997</x:v>
      </x:c>
      <x:c r="F25" s="272"/>
      <x:c r="G25" s="272"/>
      <x:c r="H25" s="107" t="s">
        <x:v>31</x:v>
      </x:c>
      <x:c r="I25" s="108">
        <x:f>SUM('1:11'!$I$23)</x:f>
        <x:v>18824469</x:v>
      </x:c>
      <x:c r="J25" s="61" t="s">
        <x:v>31</x:v>
      </x:c>
      <x:c r="K25" s="62">
        <x:f>SUM('1:11'!$K$21)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0.36109932461817734</x:v>
      </x:c>
      <x:c r="J26" s="64" t="s">
        <x:v>126</x:v>
      </x:c>
      <x:c r="K26" s="65">
        <x:f>K25/$E$25</x:f>
        <x:v>0</x:v>
      </x:c>
    </x:row>
    <x:row r="27" spans="1:9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782822.58064516133</x:v>
      </x:c>
    </x:row>
    <x:row r="28" spans="1:9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13000*10.5</x:f>
        <x:v>136500</x:v>
      </x:c>
      <x:c r="G28" s="275"/>
      <x:c r="H28" s="111" t="s">
        <x:v>8</x:v>
      </x:c>
      <x:c r="I28" s="113">
        <x:f>I27/$A$25</x:f>
        <x:v>0.18033231528338201</x:v>
      </x:c>
    </x:row>
    <x:row r="29" spans="1:9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SUM('1:11'!$I$25)</x:f>
        <x:v>116749632</x:v>
      </x:c>
    </x:row>
    <x:row r="30" spans="1:9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149.1393259297414</x:v>
      </x:c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3" customHeight="1">
      <x:c r="A33" s="318"/>
      <x:c r="B33" s="54"/>
      <x:c r="C33" s="132"/>
    </x:row>
    <x:row r="34" spans="1:4" customHeight="1">
      <x:c r="A34" s="319"/>
      <x:c r="B34" s="54"/>
      <x:c r="C34" s="267"/>
      <x:c r="D34" s="268"/>
    </x:row>
  </x:sheetData>
  <x:mergeCells count="73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12</x:v>
      </x:c>
      <x:c r="G1" s="68" t="s">
        <x:v>27</x:v>
      </x:c>
      <x:c r="H1" s="52" t="s">
        <x:v>121</x:v>
      </x:c>
      <x:c r="I1" s="52">
        <x:f>F1-K1</x:f>
        <x:v>12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6365000</x:v>
      </x:c>
      <x:c r="D2" s="312"/>
      <x:c r="E2" s="314" t="s">
        <x:v>38</x:v>
      </x:c>
      <x:c r="F2" s="315"/>
      <x:c r="G2" s="304">
        <x:v>127100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5840500</x:v>
      </x:c>
      <x:c r="D4" s="271"/>
      <x:c r="E4" s="313" t="s">
        <x:v>144</x:v>
      </x:c>
      <x:c r="F4" s="313"/>
      <x:c r="G4" s="133">
        <x:f>INT(C4*0.0275)</x:f>
        <x:v>160613</x:v>
      </x:c>
      <x:c r="H4" s="54" t="s">
        <x:v>20</x:v>
      </x:c>
      <x:c r="I4" s="124">
        <x:f>452000+221000+180712</x:f>
        <x:v>853712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524500</x:v>
      </x:c>
      <x:c r="D5" s="271"/>
      <x:c r="E5" s="262" t="s">
        <x:v>68</x:v>
      </x:c>
      <x:c r="F5" s="262"/>
      <x:c r="G5" s="133">
        <x:f>INT(C5*0.01)</x:f>
        <x:v>5245</x:v>
      </x:c>
      <x:c r="H5" s="54" t="s">
        <x:v>6</x:v>
      </x:c>
      <x:c r="I5" s="124">
        <x:f>17760+39380</x:f>
        <x:v>57140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590000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593500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61600</x:v>
      </x:c>
      <x:c r="D8" s="271"/>
      <x:c r="E8" s="258" t="s">
        <x:v>108</x:v>
      </x:c>
      <x:c r="F8" s="259"/>
      <x:c r="G8" s="292">
        <x:f>C5+G2-G6-C22</x:f>
        <x:v>61600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536000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357" t="s">
        <x:v>154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7</x:v>
      </x:c>
      <x:c r="D12" s="258" t="s">
        <x:v>131</x:v>
      </x:c>
      <x:c r="E12" s="259"/>
      <x:c r="F12" s="285">
        <x:v>1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SUM('1:12'!$C$12)</x:f>
        <x:v>108</x:v>
      </x:c>
      <x:c r="D13" s="260"/>
      <x:c r="E13" s="261"/>
      <x:c r="F13" s="290">
        <x:f>SUM('1:12'!$F$12)</x:f>
        <x:v>36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20</x:v>
      </x:c>
      <x:c r="D14" s="258" t="s">
        <x:v>93</x:v>
      </x:c>
      <x:c r="E14" s="259"/>
      <x:c r="F14" s="285">
        <x:v>11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SUM('1:12'!$C$14)</x:f>
        <x:v>204</x:v>
      </x:c>
      <x:c r="D15" s="260"/>
      <x:c r="E15" s="261"/>
      <x:c r="F15" s="290">
        <x:f>SUM('1:12'!$F$14)</x:f>
        <x:v>85</x:v>
      </x:c>
      <x:c r="G15" s="291"/>
      <x:c r="H15" s="54" t="s">
        <x:v>104</x:v>
      </x:c>
      <x:c r="I15" s="58">
        <x:v>332400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8</x:v>
      </x:c>
      <x:c r="D16" s="258" t="s">
        <x:v>115</x:v>
      </x:c>
      <x:c r="E16" s="259"/>
      <x:c r="F16" s="266">
        <x:v>8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SUM('1:12'!$C$16)</x:f>
        <x:v>55</x:v>
      </x:c>
      <x:c r="D17" s="260"/>
      <x:c r="E17" s="261"/>
      <x:c r="F17" s="257">
        <x:f>SUM('1:12'!$F$16)</x:f>
        <x:v>167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22</x:v>
      </x:c>
      <x:c r="D18" s="258" t="s">
        <x:v>128</x:v>
      </x:c>
      <x:c r="E18" s="259"/>
      <x:c r="F18" s="294">
        <x:v>2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SUM('1:12'!$C$18)</x:f>
        <x:v>134</x:v>
      </x:c>
      <x:c r="D19" s="260"/>
      <x:c r="E19" s="261"/>
      <x:c r="F19" s="257">
        <x:f>SUM('1:12'!$F$18)</x:f>
        <x:v>46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329">
        <x:v>70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SUM('1:12'!$F$20)</x:f>
        <x:v>574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0"/>
      <x:c r="E23" s="320"/>
      <x:c r="F23" s="320"/>
      <x:c r="G23" s="320"/>
      <x:c r="H23" s="107" t="s">
        <x:v>92</x:v>
      </x:c>
      <x:c r="I23" s="108">
        <x:f>SUM(I4:I22)</x:f>
        <x:v>1836752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524500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0.288570620581304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6365000</x:v>
      </x:c>
      <x:c r="B25" s="272"/>
      <x:c r="C25" s="272">
        <x:f>E25/I1</x:f>
        <x:v>4874666.6916666664</x:v>
      </x:c>
      <x:c r="D25" s="272"/>
      <x:c r="E25" s="272">
        <x:f>SUM('1:12'!$A$25)</x:f>
        <x:v>58496000.299999997</x:v>
      </x:c>
      <x:c r="F25" s="272"/>
      <x:c r="G25" s="272"/>
      <x:c r="H25" s="107" t="s">
        <x:v>31</x:v>
      </x:c>
      <x:c r="I25" s="108">
        <x:f>SUM('1:12'!$I$23)</x:f>
        <x:v>20661221</x:v>
      </x:c>
      <x:c r="J25" s="61" t="s">
        <x:v>31</x:v>
      </x:c>
      <x:c r="K25" s="62">
        <x:f>SUM('1:12'!$K$21)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0.35320741408024098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358">
        <x:f>13000*5</x:f>
        <x:v>65000</x:v>
      </x:c>
      <x:c r="G27" s="358"/>
      <x:c r="H27" s="111" t="s">
        <x:v>116</x:v>
      </x:c>
      <x:c r="I27" s="112">
        <x:f>SUM(C27:D34,F27:G32)</x:f>
        <x:v>763322.58064516133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356">
        <x:f>13000*9</x:f>
        <x:v>117000</x:v>
      </x:c>
      <x:c r="G28" s="356"/>
      <x:c r="H28" s="111" t="s">
        <x:v>8</x:v>
      </x:c>
      <x:c r="I28" s="113">
        <x:f>I27/$A$25</x:f>
        <x:v>0.11992499303144719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SUM('1:12'!$I$25)</x:f>
        <x:v>137410853</x:v>
      </x:c>
      <x:c r="M29" s="66"/>
    </x:row>
    <x:row r="30" spans="1:13" ht="30.949999999999999" customHeight="1">
      <x:c r="A30" s="318"/>
      <x:c r="B30" s="55" t="s">
        <x:v>150</x:v>
      </x:c>
      <x:c r="C30" s="359">
        <x:f>1500000/31</x:f>
        <x:v>48387.096774193546</x:v>
      </x:c>
      <x:c r="D30" s="359"/>
      <x:c r="E30" s="55" t="s">
        <x:v>55</x:v>
      </x:c>
      <x:c r="F30" s="269"/>
      <x:c r="G30" s="270"/>
      <x:c r="H30" s="111" t="s">
        <x:v>126</x:v>
      </x:c>
      <x:c r="I30" s="113">
        <x:f>I29/$I$27</x:f>
        <x:v>180.016753708321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25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13</x:v>
      </x:c>
      <x:c r="G1" s="68" t="s">
        <x:v>18</x:v>
      </x:c>
      <x:c r="H1" s="52" t="s">
        <x:v>121</x:v>
      </x:c>
      <x:c r="I1" s="52">
        <x:f>F1-K1</x:f>
        <x:v>13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4261000</x:v>
      </x:c>
      <x:c r="D2" s="312"/>
      <x:c r="E2" s="314" t="s">
        <x:v>38</x:v>
      </x:c>
      <x:c r="F2" s="315"/>
      <x:c r="G2" s="304">
        <x:v>61600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3614000</x:v>
      </x:c>
      <x:c r="D4" s="271"/>
      <x:c r="E4" s="313" t="s">
        <x:v>144</x:v>
      </x:c>
      <x:c r="F4" s="313"/>
      <x:c r="G4" s="133">
        <x:f>INT(C4*0.0275)</x:f>
        <x:v>99385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647000</x:v>
      </x:c>
      <x:c r="D5" s="271"/>
      <x:c r="E5" s="262" t="s">
        <x:v>68</x:v>
      </x:c>
      <x:c r="F5" s="262"/>
      <x:c r="G5" s="133">
        <x:f>INT(C5*0.01)</x:f>
        <x:v>6470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650000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58600</x:v>
      </x:c>
      <x:c r="D8" s="271"/>
      <x:c r="E8" s="258" t="s">
        <x:v>108</x:v>
      </x:c>
      <x:c r="F8" s="259"/>
      <x:c r="G8" s="292">
        <x:f>C5+G2-G6-C22</x:f>
        <x:v>58600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60000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7</x:v>
      </x:c>
      <x:c r="D12" s="258" t="s">
        <x:v>131</x:v>
      </x:c>
      <x:c r="E12" s="259"/>
      <x:c r="F12" s="285">
        <x:v>4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SUM('1:13'!$C$12)</x:f>
        <x:v>115</x:v>
      </x:c>
      <x:c r="D13" s="260"/>
      <x:c r="E13" s="261"/>
      <x:c r="F13" s="290">
        <x:f>SUM('1:13'!$F$12)</x:f>
        <x:v>40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10</x:v>
      </x:c>
      <x:c r="D14" s="258" t="s">
        <x:v>93</x:v>
      </x:c>
      <x:c r="E14" s="259"/>
      <x:c r="F14" s="285">
        <x:v>4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SUM('1:13'!$C$14)</x:f>
        <x:v>214</x:v>
      </x:c>
      <x:c r="D15" s="260"/>
      <x:c r="E15" s="261"/>
      <x:c r="F15" s="290">
        <x:f>SUM('1:13'!$F$14)</x:f>
        <x:v>89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5</x:v>
      </x:c>
      <x:c r="D16" s="258" t="s">
        <x:v>115</x:v>
      </x:c>
      <x:c r="E16" s="259"/>
      <x:c r="F16" s="266">
        <x:v>11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SUM('1:13'!$C$16)</x:f>
        <x:v>60</x:v>
      </x:c>
      <x:c r="D17" s="260"/>
      <x:c r="E17" s="261"/>
      <x:c r="F17" s="257">
        <x:f>SUM('1:13'!$F$16)</x:f>
        <x:v>178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6</x:v>
      </x:c>
      <x:c r="D18" s="258" t="s">
        <x:v>128</x:v>
      </x:c>
      <x:c r="E18" s="259"/>
      <x:c r="F18" s="294">
        <x:v>2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SUM('1:13'!$C$18)</x:f>
        <x:v>140</x:v>
      </x:c>
      <x:c r="D19" s="260"/>
      <x:c r="E19" s="261"/>
      <x:c r="F19" s="257">
        <x:f>SUM('1:13'!$F$18)</x:f>
        <x:v>48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31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SUM('1:13'!$F$20)</x:f>
        <x:v>605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647000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4261000</x:v>
      </x:c>
      <x:c r="B25" s="272"/>
      <x:c r="C25" s="272">
        <x:f>E25/I1</x:f>
        <x:v>4827461.5615384616</x:v>
      </x:c>
      <x:c r="D25" s="272"/>
      <x:c r="E25" s="272">
        <x:f>SUM('1:13'!$A$25)</x:f>
        <x:v>62757000.299999997</x:v>
      </x:c>
      <x:c r="F25" s="272"/>
      <x:c r="G25" s="272"/>
      <x:c r="H25" s="107" t="s">
        <x:v>31</x:v>
      </x:c>
      <x:c r="I25" s="108">
        <x:f>SUM('1:13'!$I$23)</x:f>
        <x:v>20661221</x:v>
      </x:c>
      <x:c r="J25" s="61" t="s">
        <x:v>31</x:v>
      </x:c>
      <x:c r="K25" s="62">
        <x:f>SUM('1:13'!$K$21)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0.32922575810239929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869822.58064516133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0.20413578517839975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13000*11</x:f>
        <x:v>143000</x:v>
      </x:c>
      <x:c r="G29" s="271"/>
      <x:c r="H29" s="111" t="s">
        <x:v>31</x:v>
      </x:c>
      <x:c r="I29" s="112">
        <x:f>SUM('1:13'!$I$25)</x:f>
        <x:v>158072074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181.72909914888092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f>142000-6000</x:f>
        <x:v>136000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77000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2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14</x:v>
      </x:c>
      <x:c r="G1" s="68" t="s">
        <x:v>19</x:v>
      </x:c>
      <x:c r="H1" s="52" t="s">
        <x:v>121</x:v>
      </x:c>
      <x:c r="I1" s="52">
        <x:f>F1-K1</x:f>
        <x:v>14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5192600</x:v>
      </x:c>
      <x:c r="D2" s="312"/>
      <x:c r="E2" s="314" t="s">
        <x:v>38</x:v>
      </x:c>
      <x:c r="F2" s="315"/>
      <x:c r="G2" s="304">
        <x:v>58600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4156600</x:v>
      </x:c>
      <x:c r="D4" s="271"/>
      <x:c r="E4" s="313" t="s">
        <x:v>144</x:v>
      </x:c>
      <x:c r="F4" s="313"/>
      <x:c r="G4" s="133">
        <x:f>INT(C4*0.0275)</x:f>
        <x:v>114306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1036000</x:v>
      </x:c>
      <x:c r="D5" s="271"/>
      <x:c r="E5" s="262" t="s">
        <x:v>68</x:v>
      </x:c>
      <x:c r="F5" s="262"/>
      <x:c r="G5" s="133">
        <x:f>INT(C5*0.01)</x:f>
        <x:v>10360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1000000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95600</x:v>
      </x:c>
      <x:c r="D8" s="271"/>
      <x:c r="E8" s="258" t="s">
        <x:v>108</x:v>
      </x:c>
      <x:c r="F8" s="259"/>
      <x:c r="G8" s="292">
        <x:f>C5+G2-G6-C22</x:f>
        <x:v>94600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275400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153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17</x:v>
      </x:c>
      <x:c r="D12" s="258" t="s">
        <x:v>131</x:v>
      </x:c>
      <x:c r="E12" s="259"/>
      <x:c r="F12" s="285">
        <x:v>8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SUM('1:14'!$C$12)</x:f>
        <x:v>132</x:v>
      </x:c>
      <x:c r="D13" s="260"/>
      <x:c r="E13" s="261"/>
      <x:c r="F13" s="290">
        <x:f>SUM('1:14'!$F$12)</x:f>
        <x:v>48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31</x:v>
      </x:c>
      <x:c r="D14" s="258" t="s">
        <x:v>93</x:v>
      </x:c>
      <x:c r="E14" s="259"/>
      <x:c r="F14" s="285">
        <x:v>17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SUM('1:14'!$C$14)</x:f>
        <x:v>245</x:v>
      </x:c>
      <x:c r="D15" s="260"/>
      <x:c r="E15" s="261"/>
      <x:c r="F15" s="290">
        <x:f>SUM('1:14'!$F$14)</x:f>
        <x:v>106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7</x:v>
      </x:c>
      <x:c r="D16" s="258" t="s">
        <x:v>115</x:v>
      </x:c>
      <x:c r="E16" s="259"/>
      <x:c r="F16" s="266">
        <x:v>9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SUM('1:14'!$C$16)</x:f>
        <x:v>67</x:v>
      </x:c>
      <x:c r="D17" s="260"/>
      <x:c r="E17" s="261"/>
      <x:c r="F17" s="257">
        <x:f>SUM('1:14'!$F$16)</x:f>
        <x:v>187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12</x:v>
      </x:c>
      <x:c r="D18" s="258" t="s">
        <x:v>128</x:v>
      </x:c>
      <x:c r="E18" s="259"/>
      <x:c r="F18" s="294">
        <x:v>11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SUM('1:14'!$C$18)</x:f>
        <x:v>152</x:v>
      </x:c>
      <x:c r="D19" s="260"/>
      <x:c r="E19" s="261"/>
      <x:c r="F19" s="257">
        <x:f>SUM('1:14'!$F$18)</x:f>
        <x:v>59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59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SUM('1:14'!$F$20)</x:f>
        <x:v>664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1036000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5192600</x:v>
      </x:c>
      <x:c r="B25" s="272"/>
      <x:c r="C25" s="272">
        <x:f>E25/I1</x:f>
        <x:v>4853542.8785714284</x:v>
      </x:c>
      <x:c r="D25" s="272"/>
      <x:c r="E25" s="272">
        <x:f>SUM('1:14'!$A$25)</x:f>
        <x:v>67949600.299999997</x:v>
      </x:c>
      <x:c r="F25" s="272"/>
      <x:c r="G25" s="272"/>
      <x:c r="H25" s="107" t="s">
        <x:v>31</x:v>
      </x:c>
      <x:c r="I25" s="108">
        <x:f>SUM('1:14'!$I$23)</x:f>
        <x:v>20661221</x:v>
      </x:c>
      <x:c r="J25" s="61" t="s">
        <x:v>31</x:v>
      </x:c>
      <x:c r="K25" s="62">
        <x:f>SUM('1:14'!$K$21)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0.30406685114820314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876822.58064516133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</x:f>
        <x:v>130000</x:v>
      </x:c>
      <x:c r="G28" s="275"/>
      <x:c r="H28" s="111" t="s">
        <x:v>8</x:v>
      </x:c>
      <x:c r="I28" s="113">
        <x:f>I27/$A$25</x:f>
        <x:v>0.16886002785601845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13000*11.5</x:f>
        <x:v>149500</x:v>
      </x:c>
      <x:c r="G29" s="271"/>
      <x:c r="H29" s="111" t="s">
        <x:v>31</x:v>
      </x:c>
      <x:c r="I29" s="112">
        <x:f>SUM('1:14'!$I$25)</x:f>
        <x:v>178733295</x:v>
      </x:c>
      <x:c r="M29" s="66" t="s">
        <x:v>61</x:v>
      </x:c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203.84203024115666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130000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77000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19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15</x:v>
      </x:c>
      <x:c r="G1" s="68" t="s">
        <x:v>47</x:v>
      </x:c>
      <x:c r="H1" s="52" t="s">
        <x:v>121</x:v>
      </x:c>
      <x:c r="I1" s="52">
        <x:f>F1-K1</x:f>
        <x:v>15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5596000</x:v>
      </x:c>
      <x:c r="D2" s="312"/>
      <x:c r="E2" s="314" t="s">
        <x:v>38</x:v>
      </x:c>
      <x:c r="F2" s="315"/>
      <x:c r="G2" s="304">
        <x:v>95600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5129000</x:v>
      </x:c>
      <x:c r="D4" s="271"/>
      <x:c r="E4" s="313" t="s">
        <x:v>144</x:v>
      </x:c>
      <x:c r="F4" s="313"/>
      <x:c r="G4" s="133"/>
      <x:c r="H4" s="54" t="s">
        <x:v>20</x:v>
      </x:c>
      <x:c r="I4" s="124">
        <x:f>289646+452000+221000+196847</x:f>
        <x:v>1159493</x:v>
      </x:c>
      <x:c r="J4" s="80" t="s">
        <x:v>34</x:v>
      </x:c>
      <x:c r="K4" s="58"/>
    </x:row>
    <x:row r="5" spans="1:13" ht="30.949999999999999" customHeight="1">
      <x:c r="A5" s="306" t="s">
        <x:v>59</x:v>
      </x:c>
      <x:c r="B5" s="307"/>
      <x:c r="C5" s="271">
        <x:v>467000</x:v>
      </x:c>
      <x:c r="D5" s="271"/>
      <x:c r="E5" s="262" t="s">
        <x:v>68</x:v>
      </x:c>
      <x:c r="F5" s="262"/>
      <x:c r="G5" s="133">
        <x:f>INT(C5*0.01)</x:f>
        <x:v>4670</x:v>
      </x:c>
      <x:c r="H5" s="54" t="s">
        <x:v>6</x:v>
      </x:c>
      <x:c r="I5" s="124">
        <x:f>29656+39380+50000+34500+36000+27540+18350</x:f>
        <x:v>235426</x:v>
      </x:c>
      <x:c r="J5" s="81"/>
      <x:c r="K5" s="58"/>
      <x:c r="M5" s="136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500000</x:v>
      </x:c>
      <x:c r="H6" s="54"/>
      <x:c r="I6" s="124"/>
      <x:c r="J6" s="81" t="s">
        <x:v>125</x:v>
      </x:c>
      <x:c r="K6" s="58">
        <x:v>168000</x:v>
      </x:c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313450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52600</x:v>
      </x:c>
      <x:c r="D8" s="271"/>
      <x:c r="E8" s="258" t="s">
        <x:v>108</x:v>
      </x:c>
      <x:c r="F8" s="259"/>
      <x:c r="G8" s="292">
        <x:f>C5+G2-G6-C22</x:f>
        <x:v>62600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16</x:v>
      </x:c>
      <x:c r="D12" s="258" t="s">
        <x:v>131</x:v>
      </x:c>
      <x:c r="E12" s="259"/>
      <x:c r="F12" s="285">
        <x:v>3</x:v>
      </x:c>
      <x:c r="G12" s="286"/>
      <x:c r="H12" s="54" t="s">
        <x:v>100</x:v>
      </x:c>
      <x:c r="I12" s="58"/>
      <x:c r="J12" s="54"/>
      <x:c r="K12" s="58">
        <x:v>40800</x:v>
      </x:c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SUM('1:15'!$C$12)</x:f>
        <x:v>148</x:v>
      </x:c>
      <x:c r="D13" s="260"/>
      <x:c r="E13" s="261"/>
      <x:c r="F13" s="290">
        <x:f>SUM('1:15'!$F$12)</x:f>
        <x:v>51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25</x:v>
      </x:c>
      <x:c r="D14" s="258" t="s">
        <x:v>93</x:v>
      </x:c>
      <x:c r="E14" s="259"/>
      <x:c r="F14" s="285">
        <x:v>16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SUM('1:15'!$C$14)</x:f>
        <x:v>270</x:v>
      </x:c>
      <x:c r="D15" s="260"/>
      <x:c r="E15" s="261"/>
      <x:c r="F15" s="290">
        <x:f>SUM('1:15'!$F$14)</x:f>
        <x:v>122</x:v>
      </x:c>
      <x:c r="G15" s="291"/>
      <x:c r="H15" s="54" t="s">
        <x:v>104</x:v>
      </x:c>
      <x:c r="I15" s="58">
        <x:v>89500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0</x:v>
      </x:c>
      <x:c r="D16" s="258" t="s">
        <x:v>115</x:v>
      </x:c>
      <x:c r="E16" s="259"/>
      <x:c r="F16" s="266">
        <x:v>8</x:v>
      </x:c>
      <x:c r="G16" s="266"/>
      <x:c r="H16" s="54"/>
      <x:c r="I16" s="58"/>
      <x:c r="J16" s="54" t="s">
        <x:v>95</x:v>
      </x:c>
      <x:c r="K16" s="58">
        <x:v>302830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SUM('1:15'!$C$16)</x:f>
        <x:v>67</x:v>
      </x:c>
      <x:c r="D17" s="260"/>
      <x:c r="E17" s="261"/>
      <x:c r="F17" s="257">
        <x:f>SUM('1:15'!$F$16)</x:f>
        <x:v>195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24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SUM('1:15'!$C$18)</x:f>
        <x:v>176</x:v>
      </x:c>
      <x:c r="D19" s="260"/>
      <x:c r="E19" s="261"/>
      <x:c r="F19" s="257">
        <x:f>SUM('1:15'!$F$18)</x:f>
        <x:v>59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60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SUM('1:15'!$F$20)</x:f>
        <x:v>724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1862869</x:v>
      </x:c>
      <x:c r="J23" s="61" t="s">
        <x:v>117</x:v>
      </x:c>
      <x:c r="K23" s="62">
        <x:f>SUM(K4:K22)</x:f>
        <x:v>525930</x:v>
      </x:c>
      <x:c r="M23" s="88" t="s">
        <x:v>91</x:v>
      </x:c>
      <x:c r="N23" s="287">
        <x:f>C5+C6</x:f>
        <x:v>467000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0.33289295925661189</x:v>
      </x:c>
      <x:c r="J24" s="61" t="s">
        <x:v>8</x:v>
      </x:c>
      <x:c r="K24" s="63">
        <x:f>K23/A25</x:f>
        <x:v>0.093983202287348105</x:v>
      </x:c>
    </x:row>
    <x:row r="25" spans="1:11" ht="34.149999999999999" customHeight="1">
      <x:c r="A25" s="283">
        <x:f>C2</x:f>
        <x:v>5596000</x:v>
      </x:c>
      <x:c r="B25" s="272"/>
      <x:c r="C25" s="272">
        <x:f>E25/I1</x:f>
        <x:v>4903040.0199999996</x:v>
      </x:c>
      <x:c r="D25" s="272"/>
      <x:c r="E25" s="272">
        <x:f>SUM('1:15'!$A$25)</x:f>
        <x:v>73545600.299999997</x:v>
      </x:c>
      <x:c r="F25" s="272"/>
      <x:c r="G25" s="272"/>
      <x:c r="H25" s="107" t="s">
        <x:v>31</x:v>
      </x:c>
      <x:c r="I25" s="108">
        <x:f>SUM('1:15'!$I$23)</x:f>
        <x:v>22524090</x:v>
      </x:c>
      <x:c r="J25" s="61" t="s">
        <x:v>31</x:v>
      </x:c>
      <x:c r="K25" s="62">
        <x:f>SUM('1:15'!$K$21)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0.30626019650559572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716322.58064516133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</x:f>
        <x:v>130000</x:v>
      </x:c>
      <x:c r="G28" s="275"/>
      <x:c r="H28" s="111" t="s">
        <x:v>8</x:v>
      </x:c>
      <x:c r="I28" s="113">
        <x:f>I27/$A$25</x:f>
        <x:v>0.12800617952915677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SUM('1:15'!$I$25)</x:f>
        <x:v>201257385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280.95915225614698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125000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16</x:v>
      </x:c>
      <x:c r="G1" s="68" t="s">
        <x:v>60</x:v>
      </x:c>
      <x:c r="H1" s="52" t="s">
        <x:v>121</x:v>
      </x:c>
      <x:c r="I1" s="52">
        <x:f>F1-K1</x:f>
        <x:v>16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4748000</x:v>
      </x:c>
      <x:c r="D2" s="312"/>
      <x:c r="E2" s="314" t="s">
        <x:v>38</x:v>
      </x:c>
      <x:c r="F2" s="315"/>
      <x:c r="G2" s="304">
        <x:v>52600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2" ht="30.949999999999999" customHeight="1">
      <x:c r="A4" s="306" t="s">
        <x:v>22</x:v>
      </x:c>
      <x:c r="B4" s="307"/>
      <x:c r="C4" s="271">
        <x:v>3789500</x:v>
      </x:c>
      <x:c r="D4" s="271"/>
      <x:c r="E4" s="313" t="s">
        <x:v>144</x:v>
      </x:c>
      <x:c r="F4" s="313"/>
      <x:c r="G4" s="133">
        <x:f>INT(C4*0.0275)</x:f>
        <x:v>104211</x:v>
      </x:c>
      <x:c r="H4" s="54" t="s">
        <x:v>20</x:v>
      </x:c>
      <x:c r="I4" s="124">
        <x:f>294714+296112+452000+221000+195738+211576</x:f>
        <x:v>1671140</x:v>
      </x:c>
      <x:c r="J4" s="80" t="s">
        <x:v>34</x:v>
      </x:c>
      <x:c r="K4" s="58">
        <x:v>256000</x:v>
      </x:c>
      <x:c r="L4" s="97"/>
    </x:row>
    <x:row r="5" spans="1:11" ht="30.949999999999999" customHeight="1">
      <x:c r="A5" s="306" t="s">
        <x:v>59</x:v>
      </x:c>
      <x:c r="B5" s="307"/>
      <x:c r="C5" s="271">
        <x:v>958500</x:v>
      </x:c>
      <x:c r="D5" s="271"/>
      <x:c r="E5" s="262" t="s">
        <x:v>68</x:v>
      </x:c>
      <x:c r="F5" s="262"/>
      <x:c r="G5" s="133">
        <x:f>INT(C5*0.01)</x:f>
        <x:v>9585</x:v>
      </x:c>
      <x:c r="H5" s="54" t="s">
        <x:v>6</x:v>
      </x:c>
      <x:c r="I5" s="124">
        <x:f>50000+16720+18350+39490+60500+26675+29656+44000+39380+5070+13770</x:f>
        <x:v>343611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900000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207650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111100</x:v>
      </x:c>
      <x:c r="D8" s="271"/>
      <x:c r="E8" s="258" t="s">
        <x:v>108</x:v>
      </x:c>
      <x:c r="F8" s="259"/>
      <x:c r="G8" s="292">
        <x:f>C5+G2-G6-C22</x:f>
        <x:v>111100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10</x:v>
      </x:c>
      <x:c r="D12" s="258" t="s">
        <x:v>131</x:v>
      </x:c>
      <x:c r="E12" s="259"/>
      <x:c r="F12" s="285">
        <x:v>2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SUM('1:16'!$C$12)</x:f>
        <x:v>158</x:v>
      </x:c>
      <x:c r="D13" s="260"/>
      <x:c r="E13" s="261"/>
      <x:c r="F13" s="290">
        <x:f>SUM('1:16'!$F$12)</x:f>
        <x:v>53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15</x:v>
      </x:c>
      <x:c r="D14" s="258" t="s">
        <x:v>93</x:v>
      </x:c>
      <x:c r="E14" s="259"/>
      <x:c r="F14" s="285">
        <x:v>10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SUM('1:16'!$C$14)</x:f>
        <x:v>285</x:v>
      </x:c>
      <x:c r="D15" s="260"/>
      <x:c r="E15" s="261"/>
      <x:c r="F15" s="290">
        <x:f>SUM('1:16'!$F$14)</x:f>
        <x:v>132</x:v>
      </x:c>
      <x:c r="G15" s="291"/>
      <x:c r="H15" s="54" t="s">
        <x:v>104</x:v>
      </x:c>
      <x:c r="I15" s="58">
        <x:f>2450+11800+5500+26000+52000+7200+34000+11500+10500+50000</x:f>
        <x:v>210950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1</x:v>
      </x:c>
      <x:c r="D16" s="258" t="s">
        <x:v>115</x:v>
      </x:c>
      <x:c r="E16" s="259"/>
      <x:c r="F16" s="266">
        <x:v>22</x:v>
      </x:c>
      <x:c r="G16" s="266"/>
      <x:c r="H16" s="54"/>
      <x:c r="I16" s="58"/>
      <x:c r="J16" s="54" t="s">
        <x:v>95</x:v>
      </x:c>
      <x:c r="K16" s="58">
        <x:v>78760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SUM('1:16'!$C$16)</x:f>
        <x:v>68</x:v>
      </x:c>
      <x:c r="D17" s="260"/>
      <x:c r="E17" s="261"/>
      <x:c r="F17" s="257">
        <x:f>SUM('1:16'!$F$16)</x:f>
        <x:v>217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10</x:v>
      </x:c>
      <x:c r="D18" s="258" t="s">
        <x:v>128</x:v>
      </x:c>
      <x:c r="E18" s="259"/>
      <x:c r="F18" s="294">
        <x:v>5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SUM('1:16'!$C$18)</x:f>
        <x:v>186</x:v>
      </x:c>
      <x:c r="D19" s="260"/>
      <x:c r="E19" s="261"/>
      <x:c r="F19" s="257">
        <x:f>SUM('1:16'!$F$18)</x:f>
        <x:v>64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52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SUM('1:16'!$F$20)</x:f>
        <x:v>776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2433351</x:v>
      </x:c>
      <x:c r="J23" s="61" t="s">
        <x:v>117</x:v>
      </x:c>
      <x:c r="K23" s="62">
        <x:f>SUM(K4:K22)</x:f>
        <x:v>334760</x:v>
      </x:c>
      <x:c r="M23" s="88" t="s">
        <x:v>91</x:v>
      </x:c>
      <x:c r="N23" s="287">
        <x:f>C5+C6</x:f>
        <x:v>958500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0.51250021061499573</x:v>
      </x:c>
      <x:c r="J24" s="61" t="s">
        <x:v>8</x:v>
      </x:c>
      <x:c r="K24" s="63">
        <x:f>K23/A25</x:f>
        <x:v>0.070505475989890487</x:v>
      </x:c>
    </x:row>
    <x:row r="25" spans="1:11" ht="34.149999999999999" customHeight="1">
      <x:c r="A25" s="283">
        <x:f>C2</x:f>
        <x:v>4748000</x:v>
      </x:c>
      <x:c r="B25" s="272"/>
      <x:c r="C25" s="272">
        <x:f>E25/I1</x:f>
        <x:v>4893350.0187499998</x:v>
      </x:c>
      <x:c r="D25" s="272"/>
      <x:c r="E25" s="272">
        <x:f>SUM('1:16'!$A$25)</x:f>
        <x:v>78293600.299999997</x:v>
      </x:c>
      <x:c r="F25" s="272"/>
      <x:c r="G25" s="272"/>
      <x:c r="H25" s="107" t="s">
        <x:v>31</x:v>
      </x:c>
      <x:c r="I25" s="108">
        <x:f>SUM('1:16'!$I$23)</x:f>
        <x:v>24957441</x:v>
      </x:c>
      <x:c r="J25" s="61" t="s">
        <x:v>31</x:v>
      </x:c>
      <x:c r="K25" s="62">
        <x:f>SUM('1:16'!$K$21)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0.31876731820186843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776322.58064516133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</x:f>
        <x:v>130000</x:v>
      </x:c>
      <x:c r="G28" s="275"/>
      <x:c r="H28" s="111" t="s">
        <x:v>8</x:v>
      </x:c>
      <x:c r="I28" s="113">
        <x:f>I27/$A$25</x:f>
        <x:v>0.16350517705247711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SUM('1:16'!$I$25)</x:f>
        <x:v>226214826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291.39281999501372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120000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26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17</x:v>
      </x:c>
      <x:c r="G1" s="68" t="s">
        <x:v>26</x:v>
      </x:c>
      <x:c r="H1" s="52" t="s">
        <x:v>121</x:v>
      </x:c>
      <x:c r="I1" s="52">
        <x:f>F1-K1</x:f>
        <x:v>17</x:v>
      </x:c>
      <x:c r="J1" s="52" t="s">
        <x:v>96</x:v>
      </x:c>
      <x:c r="K1" s="52"/>
    </x:row>
    <x:row r="2" spans="1:11" ht="20.100000000000001" customHeight="1">
      <x:c r="A2" s="340" t="s">
        <x:v>9</x:v>
      </x:c>
      <x:c r="B2" s="341"/>
      <x:c r="C2" s="344">
        <x:f>SUM(C4:D7)</x:f>
        <x:v>4992500</x:v>
      </x:c>
      <x:c r="D2" s="345"/>
      <x:c r="E2" s="314" t="s">
        <x:v>38</x:v>
      </x:c>
      <x:c r="F2" s="315"/>
      <x:c r="G2" s="304">
        <x:v>111100</x:v>
      </x:c>
      <x:c r="H2" s="348" t="s">
        <x:v>6</x:v>
      </x:c>
      <x:c r="I2" s="349"/>
      <x:c r="J2" s="300" t="s">
        <x:v>72</x:v>
      </x:c>
      <x:c r="K2" s="350"/>
    </x:row>
    <x:row r="3" spans="1:11" ht="20.100000000000001" customHeight="1">
      <x:c r="A3" s="342"/>
      <x:c r="B3" s="343"/>
      <x:c r="C3" s="346"/>
      <x:c r="D3" s="347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31" t="s">
        <x:v>22</x:v>
      </x:c>
      <x:c r="B4" s="332"/>
      <x:c r="C4" s="269">
        <x:v>4340500</x:v>
      </x:c>
      <x:c r="D4" s="270"/>
      <x:c r="E4" s="333" t="s">
        <x:v>144</x:v>
      </x:c>
      <x:c r="F4" s="334"/>
      <x:c r="G4" s="133">
        <x:f>INT(C4*0.0275)</x:f>
        <x:v>119363</x:v>
      </x:c>
      <x:c r="H4" s="54" t="s">
        <x:v>20</x:v>
      </x:c>
      <x:c r="I4" s="124">
        <x:f>202606+10+301731+452000+221556</x:f>
        <x:v>1177903</x:v>
      </x:c>
      <x:c r="J4" s="80" t="s">
        <x:v>34</x:v>
      </x:c>
      <x:c r="K4" s="58"/>
    </x:row>
    <x:row r="5" spans="1:11" ht="30.949999999999999" customHeight="1">
      <x:c r="A5" s="331" t="s">
        <x:v>59</x:v>
      </x:c>
      <x:c r="B5" s="332"/>
      <x:c r="C5" s="269">
        <x:v>652000</x:v>
      </x:c>
      <x:c r="D5" s="270"/>
      <x:c r="E5" s="285" t="s">
        <x:v>68</x:v>
      </x:c>
      <x:c r="F5" s="286"/>
      <x:c r="G5" s="133">
        <x:f>INT(C5*0.01)</x:f>
        <x:v>6520</x:v>
      </x:c>
      <x:c r="H5" s="54" t="s">
        <x:v>6</x:v>
      </x:c>
      <x:c r="I5" s="124">
        <x:f>34500+36000+18350+9770</x:f>
        <x:v>98620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680000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155100</x:v>
      </x:c>
      <x:c r="J7" s="81" t="s">
        <x:v>114</x:v>
      </x:c>
      <x:c r="K7" s="58"/>
    </x:row>
    <x:row r="8" spans="1:11" ht="21.949999999999999" customHeight="1">
      <x:c r="A8" s="338" t="s">
        <x:v>132</x:v>
      </x:c>
      <x:c r="B8" s="259"/>
      <x:c r="C8" s="276">
        <x:v>83100</x:v>
      </x:c>
      <x:c r="D8" s="277"/>
      <x:c r="E8" s="258" t="s">
        <x:v>108</x:v>
      </x:c>
      <x:c r="F8" s="259"/>
      <x:c r="G8" s="292">
        <x:f>C5+G2-G6-C22</x:f>
        <x:v>83100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339"/>
      <x:c r="B9" s="261"/>
      <x:c r="C9" s="278"/>
      <x:c r="D9" s="279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323" t="s">
        <x:v>141</x:v>
      </x:c>
      <x:c r="B10" s="286"/>
      <x:c r="C10" s="269">
        <x:v>193000</x:v>
      </x:c>
      <x:c r="D10" s="270"/>
      <x:c r="E10" s="285" t="s">
        <x:v>85</x:v>
      </x:c>
      <x:c r="F10" s="286"/>
      <x:c r="G10" s="55"/>
      <x:c r="H10" s="54"/>
      <x:c r="I10" s="124"/>
      <x:c r="J10" s="54" t="s">
        <x:v>51</x:v>
      </x:c>
      <x:c r="K10" s="58"/>
    </x:row>
    <x:row r="11" spans="1:11" ht="33" customHeight="1">
      <x:c r="A11" s="323" t="s">
        <x:v>101</x:v>
      </x:c>
      <x:c r="B11" s="286"/>
      <x:c r="C11" s="335" t="s">
        <x:v>156</x:v>
      </x:c>
      <x:c r="D11" s="336"/>
      <x:c r="E11" s="336"/>
      <x:c r="F11" s="336"/>
      <x:c r="G11" s="337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13</x:v>
      </x:c>
      <x:c r="D12" s="258" t="s">
        <x:v>131</x:v>
      </x:c>
      <x:c r="E12" s="259"/>
      <x:c r="F12" s="285">
        <x:v>7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SUM('1:17'!$C$12)</x:f>
        <x:v>171</x:v>
      </x:c>
      <x:c r="D13" s="260"/>
      <x:c r="E13" s="261"/>
      <x:c r="F13" s="290">
        <x:f>SUM('1:17'!$F$12)</x:f>
        <x:v>60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25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SUM('1:17'!$C$14)</x:f>
        <x:v>310</x:v>
      </x:c>
      <x:c r="D15" s="260"/>
      <x:c r="E15" s="261"/>
      <x:c r="F15" s="290">
        <x:f>SUM('1:17'!$F$14)</x:f>
        <x:v>139</x:v>
      </x:c>
      <x:c r="G15" s="291"/>
      <x:c r="H15" s="54" t="s">
        <x:v>104</x:v>
      </x:c>
      <x:c r="I15" s="58">
        <x:f>47600+4900+7200+10500+5900+5000+5500+28000+3900+13000+5500+3500</x:f>
        <x:v>140500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10</x:v>
      </x:c>
      <x:c r="D16" s="258" t="s">
        <x:v>115</x:v>
      </x:c>
      <x:c r="E16" s="259"/>
      <x:c r="F16" s="329">
        <x:v>21</x:v>
      </x:c>
      <x:c r="G16" s="330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SUM('1:17'!$C$16)</x:f>
        <x:v>78</x:v>
      </x:c>
      <x:c r="D17" s="260"/>
      <x:c r="E17" s="261"/>
      <x:c r="F17" s="290">
        <x:f>SUM('1:17'!$F$16)</x:f>
        <x:v>238</x:v>
      </x:c>
      <x:c r="G17" s="291"/>
      <x:c r="H17" s="54" t="s">
        <x:v>7</x:v>
      </x:c>
      <x:c r="I17" s="58">
        <x:v>4800</x:v>
      </x:c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4</x:v>
      </x:c>
      <x:c r="D18" s="258" t="s">
        <x:v>128</x:v>
      </x:c>
      <x:c r="E18" s="259"/>
      <x:c r="F18" s="329">
        <x:v>2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SUM('1:17'!$C$18)</x:f>
        <x:v>190</x:v>
      </x:c>
      <x:c r="D19" s="260"/>
      <x:c r="E19" s="261"/>
      <x:c r="F19" s="290">
        <x:f>SUM('1:17'!$F$18)</x:f>
        <x:v>66</x:v>
      </x:c>
      <x:c r="G19" s="291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85" t="s">
        <x:v>111</x:v>
      </x:c>
      <x:c r="E20" s="286"/>
      <x:c r="F20" s="329">
        <x:v>53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85" t="s">
        <x:v>112</x:v>
      </x:c>
      <x:c r="E21" s="286"/>
      <x:c r="F21" s="290">
        <x:f>SUM('1:17'!$F$20)</x:f>
        <x:v>829</x:v>
      </x:c>
      <x:c r="G21" s="291"/>
      <x:c r="H21" s="58"/>
      <x:c r="J21" s="54"/>
      <x:c r="K21" s="58"/>
      <x:c r="L21" s="60"/>
      <x:c r="M21" s="11"/>
    </x:row>
    <x:row r="22" spans="1:13" ht="32.100000000000001" customHeight="1">
      <x:c r="A22" s="323" t="s">
        <x:v>81</x:v>
      </x:c>
      <x:c r="B22" s="286"/>
      <x:c r="C22" s="360"/>
      <x:c r="D22" s="361"/>
      <x:c r="E22" s="361"/>
      <x:c r="F22" s="361"/>
      <x:c r="G22" s="362"/>
      <x:c r="H22" s="54"/>
      <x:c r="J22" s="54"/>
      <x:c r="K22" s="58"/>
      <x:c r="L22" s="60"/>
      <x:c r="M22" s="11"/>
    </x:row>
    <x:row r="23" spans="1:15" ht="34.149999999999999" customHeight="1">
      <x:c r="A23" s="323" t="s">
        <x:v>122</x:v>
      </x:c>
      <x:c r="B23" s="286"/>
      <x:c r="C23" s="353"/>
      <x:c r="D23" s="354"/>
      <x:c r="E23" s="354"/>
      <x:c r="F23" s="354"/>
      <x:c r="G23" s="355"/>
      <x:c r="H23" s="107" t="s">
        <x:v>92</x:v>
      </x:c>
      <x:c r="I23" s="108">
        <x:f>SUM(I4:I22)</x:f>
        <x:v>1641923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652000</x:v>
      </x:c>
      <x:c r="O23" s="288"/>
    </x:row>
    <x:row r="24" spans="1:11" ht="34.149999999999999" customHeight="1">
      <x:c r="A24" s="323" t="s">
        <x:v>8</x:v>
      </x:c>
      <x:c r="B24" s="286"/>
      <x:c r="C24" s="285" t="s">
        <x:v>84</x:v>
      </x:c>
      <x:c r="D24" s="286"/>
      <x:c r="E24" s="285" t="s">
        <x:v>99</x:v>
      </x:c>
      <x:c r="F24" s="352"/>
      <x:c r="G24" s="286"/>
      <x:c r="H24" s="107" t="s">
        <x:v>8</x:v>
      </x:c>
      <x:c r="I24" s="109">
        <x:f>I23/A25</x:f>
        <x:v>0.32887791687531298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25">
        <x:f>C2</x:f>
        <x:v>4992500</x:v>
      </x:c>
      <x:c r="B25" s="274"/>
      <x:c r="C25" s="273">
        <x:f>E25/I1</x:f>
        <x:v>4899182.3705882356</x:v>
      </x:c>
      <x:c r="D25" s="274"/>
      <x:c r="E25" s="273">
        <x:f>SUM('1:17'!$A$25)</x:f>
        <x:v>83286100.299999997</x:v>
      </x:c>
      <x:c r="F25" s="351"/>
      <x:c r="G25" s="274"/>
      <x:c r="H25" s="107" t="s">
        <x:v>31</x:v>
      </x:c>
      <x:c r="I25" s="108">
        <x:f>SUM('1:17'!$I$23)</x:f>
        <x:v>26599364</x:v>
      </x:c>
      <x:c r="J25" s="61" t="s">
        <x:v>31</x:v>
      </x:c>
      <x:c r="K25" s="62">
        <x:f>SUM('1:17'!$K$21)</x:f>
        <x:v>0</x:v>
      </x:c>
    </x:row>
    <x:row r="26" spans="1:11" ht="34.149999999999999" customHeight="1">
      <x:c r="A26" s="323" t="s">
        <x:v>140</x:v>
      </x:c>
      <x:c r="B26" s="286"/>
      <x:c r="C26" s="285"/>
      <x:c r="D26" s="286"/>
      <x:c r="E26" s="269"/>
      <x:c r="F26" s="324"/>
      <x:c r="G26" s="270"/>
      <x:c r="H26" s="107" t="s">
        <x:v>126</x:v>
      </x:c>
      <x:c r="I26" s="110">
        <x:f>I25/$E$25</x:f>
        <x:v>0.31937338768639645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280" t="s">
        <x:v>139</x:v>
      </x:c>
      <x:c r="B27" s="54" t="s">
        <x:v>42</x:v>
      </x:c>
      <x:c r="C27" s="273">
        <x:f>3300000/31</x:f>
        <x:v>106451.6129032258</x:v>
      </x:c>
      <x:c r="D27" s="274"/>
      <x:c r="E27" s="55" t="s">
        <x:v>148</x:v>
      </x:c>
      <x:c r="F27" s="269">
        <x:f>13000*5</x:f>
        <x:v>65000</x:v>
      </x:c>
      <x:c r="G27" s="270"/>
      <x:c r="H27" s="111" t="s">
        <x:v>116</x:v>
      </x:c>
      <x:c r="I27" s="112">
        <x:f>SUM(C27:D34,F27:G32)</x:f>
        <x:v>707322.58064516133</x:v>
      </x:c>
      <x:c r="M27" s="66"/>
    </x:row>
    <x:row r="28" spans="1:13" ht="30.949999999999999" customHeight="1">
      <x:c r="A28" s="281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67"/>
      <x:c r="G28" s="268"/>
      <x:c r="H28" s="111" t="s">
        <x:v>8</x:v>
      </x:c>
      <x:c r="I28" s="113">
        <x:f>I27/$A$25</x:f>
        <x:v>0.14167703167654708</x:v>
      </x:c>
      <x:c r="M28" s="66"/>
    </x:row>
    <x:row r="29" spans="1:13" ht="30.949999999999999" customHeight="1">
      <x:c r="A29" s="281"/>
      <x:c r="B29" s="54" t="s">
        <x:v>45</x:v>
      </x:c>
      <x:c r="C29" s="273">
        <x:f>3300000/31</x:f>
        <x:v>106451.6129032258</x:v>
      </x:c>
      <x:c r="D29" s="274"/>
      <x:c r="E29" s="55" t="s">
        <x:v>55</x:v>
      </x:c>
      <x:c r="F29" s="269"/>
      <x:c r="G29" s="270"/>
      <x:c r="H29" s="111" t="s">
        <x:v>31</x:v>
      </x:c>
      <x:c r="I29" s="112">
        <x:f>SUM('1:17'!$I$25)</x:f>
        <x:v>252814190</x:v>
      </x:c>
      <x:c r="M29" s="66"/>
    </x:row>
    <x:row r="30" spans="1:13" ht="30.949999999999999" customHeight="1">
      <x:c r="A30" s="281"/>
      <x:c r="B30" s="55" t="s">
        <x:v>150</x:v>
      </x:c>
      <x:c r="C30" s="273">
        <x:f>1500000/31</x:f>
        <x:v>48387.096774193546</x:v>
      </x:c>
      <x:c r="D30" s="274"/>
      <x:c r="E30" s="55" t="s">
        <x:v>55</x:v>
      </x:c>
      <x:c r="F30" s="269"/>
      <x:c r="G30" s="270"/>
      <x:c r="H30" s="111" t="s">
        <x:v>126</x:v>
      </x:c>
      <x:c r="I30" s="113">
        <x:f>I29/$I$27</x:f>
        <x:v>357.42417521776804</x:v>
      </x:c>
      <x:c r="M30" s="66"/>
    </x:row>
    <x:row r="31" spans="1:7" customHeight="1">
      <x:c r="A31" s="281"/>
      <x:c r="B31" s="147"/>
      <x:c r="C31" s="267"/>
      <x:c r="D31" s="268"/>
      <x:c r="E31" s="55" t="s">
        <x:v>4</x:v>
      </x:c>
      <x:c r="F31" s="269">
        <x:v>132000</x:v>
      </x:c>
      <x:c r="G31" s="270"/>
    </x:row>
    <x:row r="32" spans="1:7" customHeight="1">
      <x:c r="A32" s="281"/>
      <x:c r="B32" s="147"/>
      <x:c r="C32" s="267"/>
      <x:c r="D32" s="268"/>
      <x:c r="E32" s="55" t="s">
        <x:v>136</x:v>
      </x:c>
      <x:c r="F32" s="269">
        <x:v>120000</x:v>
      </x:c>
      <x:c r="G32" s="270"/>
    </x:row>
    <x:row r="33" spans="1:4" customHeight="1">
      <x:c r="A33" s="281"/>
      <x:c r="B33" s="54"/>
      <x:c r="C33" s="267"/>
      <x:c r="D33" s="268"/>
    </x:row>
    <x:row r="34" spans="1:4" customHeight="1">
      <x:c r="A34" s="282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1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18</x:v>
      </x:c>
      <x:c r="G1" s="68" t="s">
        <x:v>48</x:v>
      </x:c>
      <x:c r="H1" s="52" t="s">
        <x:v>121</x:v>
      </x:c>
      <x:c r="I1" s="52">
        <x:f>F1-K1</x:f>
        <x:v>18</x:v>
      </x:c>
      <x:c r="J1" s="52" t="s">
        <x:v>96</x:v>
      </x:c>
      <x:c r="K1" s="52"/>
    </x:row>
    <x:row r="2" spans="1:11" ht="20.100000000000001" customHeight="1">
      <x:c r="A2" s="340" t="s">
        <x:v>9</x:v>
      </x:c>
      <x:c r="B2" s="341"/>
      <x:c r="C2" s="344">
        <x:f>SUM(C4:D7)</x:f>
        <x:v>4586500</x:v>
      </x:c>
      <x:c r="D2" s="345"/>
      <x:c r="E2" s="314" t="s">
        <x:v>38</x:v>
      </x:c>
      <x:c r="F2" s="315"/>
      <x:c r="G2" s="304">
        <x:v>83100</x:v>
      </x:c>
      <x:c r="H2" s="348" t="s">
        <x:v>6</x:v>
      </x:c>
      <x:c r="I2" s="349"/>
      <x:c r="J2" s="300" t="s">
        <x:v>72</x:v>
      </x:c>
      <x:c r="K2" s="350"/>
    </x:row>
    <x:row r="3" spans="1:11" ht="20.100000000000001" customHeight="1">
      <x:c r="A3" s="342"/>
      <x:c r="B3" s="343"/>
      <x:c r="C3" s="346"/>
      <x:c r="D3" s="347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31" t="s">
        <x:v>22</x:v>
      </x:c>
      <x:c r="B4" s="332"/>
      <x:c r="C4" s="269">
        <x:v>4308500</x:v>
      </x:c>
      <x:c r="D4" s="270"/>
      <x:c r="E4" s="333" t="s">
        <x:v>144</x:v>
      </x:c>
      <x:c r="F4" s="334"/>
      <x:c r="G4" s="133">
        <x:f>INT(C4*0.0275)</x:f>
        <x:v>118483</x:v>
      </x:c>
      <x:c r="H4" s="54" t="s">
        <x:v>20</x:v>
      </x:c>
      <x:c r="I4" s="124">
        <x:f>43500+0+221556</x:f>
        <x:v>265056</x:v>
      </x:c>
      <x:c r="J4" s="80" t="s">
        <x:v>34</x:v>
      </x:c>
      <x:c r="K4" s="58"/>
    </x:row>
    <x:row r="5" spans="1:11" ht="30.949999999999999" customHeight="1">
      <x:c r="A5" s="331" t="s">
        <x:v>59</x:v>
      </x:c>
      <x:c r="B5" s="332"/>
      <x:c r="C5" s="269">
        <x:v>278000</x:v>
      </x:c>
      <x:c r="D5" s="270"/>
      <x:c r="E5" s="285" t="s">
        <x:v>68</x:v>
      </x:c>
      <x:c r="F5" s="286"/>
      <x:c r="G5" s="133">
        <x:f>INT(C5*0.01)</x:f>
        <x:v>2780</x:v>
      </x:c>
      <x:c r="H5" s="54" t="s">
        <x:v>6</x:v>
      </x:c>
      <x:c r="I5" s="124">
        <x:f>26675+50000+34500+36000+16720+5200+27540+10390</x:f>
        <x:v>207025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250000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342800</x:v>
      </x:c>
      <x:c r="J7" s="81" t="s">
        <x:v>114</x:v>
      </x:c>
      <x:c r="K7" s="58"/>
    </x:row>
    <x:row r="8" spans="1:11" ht="21.949999999999999" customHeight="1">
      <x:c r="A8" s="338" t="s">
        <x:v>132</x:v>
      </x:c>
      <x:c r="B8" s="259"/>
      <x:c r="C8" s="276">
        <x:v>111100</x:v>
      </x:c>
      <x:c r="D8" s="277"/>
      <x:c r="E8" s="258" t="s">
        <x:v>108</x:v>
      </x:c>
      <x:c r="F8" s="259"/>
      <x:c r="G8" s="292">
        <x:f>C5+G2-G6-C22</x:f>
        <x:v>111100</x:v>
      </x:c>
      <x:c r="H8" s="54" t="s">
        <x:v>43</x:v>
      </x:c>
      <x:c r="I8" s="124"/>
      <x:c r="J8" s="81"/>
      <x:c r="K8" s="58"/>
    </x:row>
    <x:row r="9" spans="1:11" ht="21.949999999999999" customHeight="1">
      <x:c r="A9" s="339"/>
      <x:c r="B9" s="261"/>
      <x:c r="C9" s="278"/>
      <x:c r="D9" s="279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323" t="s">
        <x:v>141</x:v>
      </x:c>
      <x:c r="B10" s="286"/>
      <x:c r="C10" s="269">
        <x:v>110000</x:v>
      </x:c>
      <x:c r="D10" s="270"/>
      <x:c r="E10" s="285" t="s">
        <x:v>85</x:v>
      </x:c>
      <x:c r="F10" s="286"/>
      <x:c r="G10" s="55"/>
      <x:c r="H10" s="54"/>
      <x:c r="I10" s="124"/>
      <x:c r="J10" s="54" t="s">
        <x:v>51</x:v>
      </x:c>
      <x:c r="K10" s="58"/>
    </x:row>
    <x:row r="11" spans="1:11" ht="33" customHeight="1">
      <x:c r="A11" s="323" t="s">
        <x:v>101</x:v>
      </x:c>
      <x:c r="B11" s="286"/>
      <x:c r="C11" s="335" t="s">
        <x:v>162</x:v>
      </x:c>
      <x:c r="D11" s="336"/>
      <x:c r="E11" s="336"/>
      <x:c r="F11" s="336"/>
      <x:c r="G11" s="337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</x:v>
      </x:c>
      <x:c r="D12" s="258" t="s">
        <x:v>131</x:v>
      </x:c>
      <x:c r="E12" s="259"/>
      <x:c r="F12" s="285">
        <x:v>14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SUM('1:18'!$C$12)</x:f>
        <x:v>172</x:v>
      </x:c>
      <x:c r="D13" s="260"/>
      <x:c r="E13" s="261"/>
      <x:c r="F13" s="290">
        <x:f>SUM('1:18'!$F$12)</x:f>
        <x:v>74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3</x:v>
      </x:c>
      <x:c r="D14" s="258" t="s">
        <x:v>93</x:v>
      </x:c>
      <x:c r="E14" s="259"/>
      <x:c r="F14" s="285">
        <x:v>52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SUM('1:18'!$C$14)</x:f>
        <x:v>313</x:v>
      </x:c>
      <x:c r="D15" s="260"/>
      <x:c r="E15" s="261"/>
      <x:c r="F15" s="290">
        <x:f>SUM('1:18'!$F$14)</x:f>
        <x:v>191</x:v>
      </x:c>
      <x:c r="G15" s="291"/>
      <x:c r="H15" s="54" t="s">
        <x:v>104</x:v>
      </x:c>
      <x:c r="I15" s="58">
        <x:f>20400+4900+5500+4800+11800+26000+11800</x:f>
        <x:v>85200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4</x:v>
      </x:c>
      <x:c r="D16" s="258" t="s">
        <x:v>115</x:v>
      </x:c>
      <x:c r="E16" s="259"/>
      <x:c r="F16" s="329">
        <x:v>36</x:v>
      </x:c>
      <x:c r="G16" s="330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SUM('1:18'!$C$16)</x:f>
        <x:v>82</x:v>
      </x:c>
      <x:c r="D17" s="260"/>
      <x:c r="E17" s="261"/>
      <x:c r="F17" s="290">
        <x:f>SUM('1:18'!$F$16)</x:f>
        <x:v>274</x:v>
      </x:c>
      <x:c r="G17" s="291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17</x:v>
      </x:c>
      <x:c r="D18" s="258" t="s">
        <x:v>128</x:v>
      </x:c>
      <x:c r="E18" s="259"/>
      <x:c r="F18" s="329">
        <x:v>3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SUM('1:18'!$C$18)</x:f>
        <x:v>207</x:v>
      </x:c>
      <x:c r="D19" s="260"/>
      <x:c r="E19" s="261"/>
      <x:c r="F19" s="290">
        <x:f>SUM('1:18'!$F$18)</x:f>
        <x:v>69</x:v>
      </x:c>
      <x:c r="G19" s="291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85" t="s">
        <x:v>111</x:v>
      </x:c>
      <x:c r="E20" s="286"/>
      <x:c r="F20" s="329">
        <x:v>32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85" t="s">
        <x:v>112</x:v>
      </x:c>
      <x:c r="E21" s="286"/>
      <x:c r="F21" s="290">
        <x:f>SUM('1:18'!$F$20)</x:f>
        <x:v>861</x:v>
      </x:c>
      <x:c r="G21" s="291"/>
      <x:c r="H21" s="58"/>
      <x:c r="J21" s="54"/>
      <x:c r="K21" s="58"/>
      <x:c r="L21" s="60"/>
      <x:c r="M21" s="11"/>
    </x:row>
    <x:row r="22" spans="1:13" ht="32.100000000000001" customHeight="1">
      <x:c r="A22" s="323" t="s">
        <x:v>81</x:v>
      </x:c>
      <x:c r="B22" s="286"/>
      <x:c r="C22" s="360"/>
      <x:c r="D22" s="361"/>
      <x:c r="E22" s="361"/>
      <x:c r="F22" s="361"/>
      <x:c r="G22" s="362"/>
      <x:c r="H22" s="54"/>
      <x:c r="J22" s="54"/>
      <x:c r="K22" s="58"/>
      <x:c r="L22" s="60"/>
      <x:c r="M22" s="11"/>
    </x:row>
    <x:row r="23" spans="1:15" ht="34.149999999999999" customHeight="1">
      <x:c r="A23" s="323" t="s">
        <x:v>122</x:v>
      </x:c>
      <x:c r="B23" s="286"/>
      <x:c r="C23" s="353"/>
      <x:c r="D23" s="354"/>
      <x:c r="E23" s="354"/>
      <x:c r="F23" s="354"/>
      <x:c r="G23" s="355"/>
      <x:c r="H23" s="107" t="s">
        <x:v>92</x:v>
      </x:c>
      <x:c r="I23" s="108">
        <x:f>SUM(I4:I22)</x:f>
        <x:v>900081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278000</x:v>
      </x:c>
      <x:c r="O23" s="288"/>
    </x:row>
    <x:row r="24" spans="1:11" ht="34.149999999999999" customHeight="1">
      <x:c r="A24" s="323" t="s">
        <x:v>8</x:v>
      </x:c>
      <x:c r="B24" s="286"/>
      <x:c r="C24" s="285" t="s">
        <x:v>84</x:v>
      </x:c>
      <x:c r="D24" s="286"/>
      <x:c r="E24" s="285" t="s">
        <x:v>99</x:v>
      </x:c>
      <x:c r="F24" s="352"/>
      <x:c r="G24" s="286"/>
      <x:c r="H24" s="107" t="s">
        <x:v>8</x:v>
      </x:c>
      <x:c r="I24" s="109">
        <x:f>I23/A25</x:f>
        <x:v>0.19624572113812275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25">
        <x:f>C2</x:f>
        <x:v>4586500</x:v>
      </x:c>
      <x:c r="B25" s="274"/>
      <x:c r="C25" s="273">
        <x:f>E25/I1</x:f>
        <x:v>4881811.1277777776</x:v>
      </x:c>
      <x:c r="D25" s="274"/>
      <x:c r="E25" s="273">
        <x:f>SUM('1:18'!$A$25)</x:f>
        <x:v>87872600.299999997</x:v>
      </x:c>
      <x:c r="F25" s="351"/>
      <x:c r="G25" s="274"/>
      <x:c r="H25" s="107" t="s">
        <x:v>31</x:v>
      </x:c>
      <x:c r="I25" s="108">
        <x:f>SUM('1:18'!$I$23)</x:f>
        <x:v>27499445</x:v>
      </x:c>
      <x:c r="J25" s="61" t="s">
        <x:v>31</x:v>
      </x:c>
      <x:c r="K25" s="62">
        <x:f>SUM('1:18'!$K$21)</x:f>
        <x:v>0</x:v>
      </x:c>
    </x:row>
    <x:row r="26" spans="1:11" ht="34.149999999999999" customHeight="1">
      <x:c r="A26" s="323" t="s">
        <x:v>140</x:v>
      </x:c>
      <x:c r="B26" s="286"/>
      <x:c r="C26" s="285"/>
      <x:c r="D26" s="286"/>
      <x:c r="E26" s="269"/>
      <x:c r="F26" s="324"/>
      <x:c r="G26" s="270"/>
      <x:c r="H26" s="107" t="s">
        <x:v>126</x:v>
      </x:c>
      <x:c r="I26" s="110">
        <x:f>I25/$E$25</x:f>
        <x:v>0.31294675366514674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280" t="s">
        <x:v>139</x:v>
      </x:c>
      <x:c r="B27" s="54" t="s">
        <x:v>42</x:v>
      </x:c>
      <x:c r="C27" s="273">
        <x:f>3300000/31</x:f>
        <x:v>106451.6129032258</x:v>
      </x:c>
      <x:c r="D27" s="274"/>
      <x:c r="E27" s="55" t="s">
        <x:v>148</x:v>
      </x:c>
      <x:c r="F27" s="269">
        <x:f>13000*5</x:f>
        <x:v>65000</x:v>
      </x:c>
      <x:c r="G27" s="270"/>
      <x:c r="H27" s="111" t="s">
        <x:v>116</x:v>
      </x:c>
      <x:c r="I27" s="112">
        <x:f>SUM(C27:D34,F27:G32)</x:f>
        <x:v>658322.58064516133</x:v>
      </x:c>
      <x:c r="M27" s="66"/>
    </x:row>
    <x:row r="28" spans="1:13" ht="30.949999999999999" customHeight="1">
      <x:c r="A28" s="281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67"/>
      <x:c r="G28" s="268"/>
      <x:c r="H28" s="111" t="s">
        <x:v>8</x:v>
      </x:c>
      <x:c r="I28" s="113">
        <x:f>I27/$A$25</x:f>
        <x:v>0.14353484806391831</x:v>
      </x:c>
      <x:c r="M28" s="66"/>
    </x:row>
    <x:row r="29" spans="1:13" ht="30.949999999999999" customHeight="1">
      <x:c r="A29" s="281"/>
      <x:c r="B29" s="54" t="s">
        <x:v>45</x:v>
      </x:c>
      <x:c r="C29" s="273">
        <x:f>3300000/31</x:f>
        <x:v>106451.6129032258</x:v>
      </x:c>
      <x:c r="D29" s="274"/>
      <x:c r="E29" s="55" t="s">
        <x:v>55</x:v>
      </x:c>
      <x:c r="F29" s="269"/>
      <x:c r="G29" s="270"/>
      <x:c r="H29" s="111" t="s">
        <x:v>31</x:v>
      </x:c>
      <x:c r="I29" s="112">
        <x:f>SUM('1:18'!$I$25)</x:f>
        <x:v>280313635</x:v>
      </x:c>
      <x:c r="M29" s="66"/>
    </x:row>
    <x:row r="30" spans="1:13" ht="30.949999999999999" customHeight="1">
      <x:c r="A30" s="281"/>
      <x:c r="B30" s="55" t="s">
        <x:v>150</x:v>
      </x:c>
      <x:c r="C30" s="273">
        <x:f>1500000/31</x:f>
        <x:v>48387.096774193546</x:v>
      </x:c>
      <x:c r="D30" s="274"/>
      <x:c r="E30" s="55" t="s">
        <x:v>55</x:v>
      </x:c>
      <x:c r="F30" s="269"/>
      <x:c r="G30" s="270"/>
      <x:c r="H30" s="111" t="s">
        <x:v>126</x:v>
      </x:c>
      <x:c r="I30" s="113">
        <x:f>I29/$I$27</x:f>
        <x:v>425.79981796354366</x:v>
      </x:c>
      <x:c r="M30" s="66"/>
    </x:row>
    <x:row r="31" spans="1:7" customHeight="1">
      <x:c r="A31" s="281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281"/>
      <x:c r="B32" s="147"/>
      <x:c r="C32" s="267"/>
      <x:c r="D32" s="268"/>
      <x:c r="E32" s="55" t="s">
        <x:v>136</x:v>
      </x:c>
      <x:c r="F32" s="269">
        <x:f>71000+132000</x:f>
        <x:v>203000</x:v>
      </x:c>
      <x:c r="G32" s="270"/>
    </x:row>
    <x:row r="33" spans="1:4" customHeight="1">
      <x:c r="A33" s="281"/>
      <x:c r="B33" s="54"/>
      <x:c r="C33" s="267"/>
      <x:c r="D33" s="268"/>
    </x:row>
    <x:row r="34" spans="1:4" customHeight="1">
      <x:c r="A34" s="282"/>
      <x:c r="B34" s="54"/>
      <x:c r="C34" s="269"/>
      <x:c r="D34" s="270"/>
    </x:row>
    <x:row r="35" spans="2:4" customHeight="1">
      <x:c r="B35" s="54"/>
      <x:c r="C35" s="269"/>
      <x:c r="D35" s="270"/>
    </x:row>
  </x:sheetData>
  <x:mergeCells count="75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P36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123</x:v>
      </x:c>
      <x:c r="D1" s="68"/>
      <x:c r="E1" s="68" t="s">
        <x:v>146</x:v>
      </x:c>
      <x:c r="F1" s="68">
        <x:v>19</x:v>
      </x:c>
      <x:c r="G1" s="68" t="s">
        <x:v>27</x:v>
      </x:c>
      <x:c r="H1" s="52" t="s">
        <x:v>121</x:v>
      </x:c>
      <x:c r="I1" s="52">
        <x:f>F1-K1</x:f>
        <x:v>19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4964000</x:v>
      </x:c>
      <x:c r="D2" s="312"/>
      <x:c r="E2" s="314" t="s">
        <x:v>38</x:v>
      </x:c>
      <x:c r="F2" s="315"/>
      <x:c r="G2" s="304">
        <x:v>111100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4509000</x:v>
      </x:c>
      <x:c r="D4" s="271"/>
      <x:c r="E4" s="313" t="s">
        <x:v>144</x:v>
      </x:c>
      <x:c r="F4" s="313"/>
      <x:c r="G4" s="133">
        <x:f>INT(C4*0.0275)</x:f>
        <x:v>123997</x:v>
      </x:c>
      <x:c r="H4" s="54" t="s">
        <x:v>20</x:v>
      </x:c>
      <x:c r="I4" s="124">
        <x:f>452000+235528+233512</x:f>
        <x:v>921040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455000</x:v>
      </x:c>
      <x:c r="D5" s="271"/>
      <x:c r="E5" s="262" t="s">
        <x:v>68</x:v>
      </x:c>
      <x:c r="F5" s="262"/>
      <x:c r="G5" s="133">
        <x:f>INT(C5*0.01)</x:f>
        <x:v>4550</x:v>
      </x:c>
      <x:c r="H5" s="54" t="s">
        <x:v>6</x:v>
      </x:c>
      <x:c r="I5" s="124">
        <x:f>44000+39380+50000+34500+36000+18350+45430-26675</x:f>
        <x:v>240985</x:v>
      </x:c>
      <x:c r="J5" s="81"/>
      <x:c r="K5" s="58"/>
    </x:row>
    <x:row r="6" spans="1:16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450000</x:v>
      </x:c>
      <x:c r="H6" s="54"/>
      <x:c r="I6" s="124"/>
      <x:c r="J6" s="81" t="s">
        <x:v>125</x:v>
      </x:c>
      <x:c r="K6" s="58"/>
      <x:c r="M6" s="53" t="s">
        <x:v>61</x:v>
      </x:c>
      <x:c r="O6" s="53" t="s">
        <x:v>61</x:v>
      </x:c>
      <x:c r="P6" s="53" t="s">
        <x:v>61</x:v>
      </x:c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193300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116100</x:v>
      </x:c>
      <x:c r="D8" s="271"/>
      <x:c r="E8" s="258" t="s">
        <x:v>108</x:v>
      </x:c>
      <x:c r="F8" s="259"/>
      <x:c r="G8" s="292">
        <x:f>C5+G2-G6-C22</x:f>
        <x:v>116100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56000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11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SUM('1:19'!$C$12)</x:f>
        <x:v>183</x:v>
      </x:c>
      <x:c r="D13" s="260"/>
      <x:c r="E13" s="261"/>
      <x:c r="F13" s="290">
        <x:f>SUM('1:19'!$F$12)</x:f>
        <x:v>74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26</x:v>
      </x:c>
      <x:c r="D14" s="258" t="s">
        <x:v>93</x:v>
      </x:c>
      <x:c r="E14" s="259"/>
      <x:c r="F14" s="285">
        <x:v>13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SUM('1:19'!$C$14)</x:f>
        <x:v>339</x:v>
      </x:c>
      <x:c r="D15" s="260"/>
      <x:c r="E15" s="261"/>
      <x:c r="F15" s="290">
        <x:f>SUM('1:19'!$F$14)</x:f>
        <x:v>204</x:v>
      </x:c>
      <x:c r="G15" s="291"/>
      <x:c r="H15" s="54" t="s">
        <x:v>104</x:v>
      </x:c>
      <x:c r="I15" s="58">
        <x:v>81600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3</x:v>
      </x:c>
      <x:c r="D16" s="258" t="s">
        <x:v>115</x:v>
      </x:c>
      <x:c r="E16" s="259"/>
      <x:c r="F16" s="266">
        <x:v>10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SUM('1:19'!$C$16)</x:f>
        <x:v>85</x:v>
      </x:c>
      <x:c r="D17" s="260"/>
      <x:c r="E17" s="261"/>
      <x:c r="F17" s="257">
        <x:f>SUM('1:19'!$F$16)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10</x:v>
      </x:c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SUM('1:19'!$C$18)</x:f>
        <x:v>217</x:v>
      </x:c>
      <x:c r="D19" s="260"/>
      <x:c r="E19" s="261"/>
      <x:c r="F19" s="257">
        <x:f>SUM('1:19'!$F$18)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60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SUM('1:19'!$F$20)</x:f>
        <x:v>921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1501925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455000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0.30256345688960518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4964000</x:v>
      </x:c>
      <x:c r="B25" s="272"/>
      <x:c r="C25" s="272">
        <x:f>E25/I1</x:f>
        <x:v>4886136.8578947363</x:v>
      </x:c>
      <x:c r="D25" s="272"/>
      <x:c r="E25" s="272">
        <x:f>SUM('1:19'!$A$25)</x:f>
        <x:v>92836600.299999997</x:v>
      </x:c>
      <x:c r="F25" s="272"/>
      <x:c r="G25" s="272"/>
      <x:c r="H25" s="107" t="s">
        <x:v>31</x:v>
      </x:c>
      <x:c r="I25" s="108">
        <x:f>SUM('1:19'!$I$23)</x:f>
        <x:v>29001370</x:v>
      </x:c>
      <x:c r="J25" s="61" t="s">
        <x:v>31</x:v>
      </x:c>
      <x:c r="K25" s="62">
        <x:f>SUM('1:18'!$K$21)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0.31239155576876504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13000*5.5</x:f>
        <x:v>71500</x:v>
      </x:c>
      <x:c r="G27" s="271"/>
      <x:c r="H27" s="111" t="s">
        <x:v>116</x:v>
      </x:c>
      <x:c r="I27" s="112">
        <x:f>SUM(C27:D34,F27:G32)</x:f>
        <x:v>662822.58064516133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</x:f>
        <x:v>130000</x:v>
      </x:c>
      <x:c r="G28" s="275"/>
      <x:c r="H28" s="111" t="s">
        <x:v>8</x:v>
      </x:c>
      <x:c r="I28" s="113">
        <x:f>I27/$A$25</x:f>
        <x:v>0.13352590262795352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SUM('1:18'!$I$25)</x:f>
        <x:v>280313635</x:v>
      </x:c>
      <x:c r="L29" s="53" t="s">
        <x:v>147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422.9090003650079</x:v>
      </x:c>
      <x:c r="M30" s="66"/>
    </x:row>
    <x:row r="31" spans="1:7" ht="30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ht="30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ht="30" customHeight="1">
      <x:c r="A33" s="318"/>
      <x:c r="B33" s="54"/>
      <x:c r="C33" s="267"/>
      <x:c r="D33" s="268"/>
    </x:row>
    <x:row r="34" spans="1:4" ht="30" customHeight="1">
      <x:c r="A34" s="319"/>
      <x:c r="B34" s="54"/>
      <x:c r="C34" s="269"/>
      <x:c r="D34" s="270"/>
    </x:row>
    <x:row r="35" spans="2:4">
      <x:c r="B35" s="263"/>
      <x:c r="C35" s="276"/>
      <x:c r="D35" s="277"/>
    </x:row>
    <x:row r="36" spans="2:4">
      <x:c r="B36" s="264"/>
      <x:c r="C36" s="278"/>
      <x:c r="D36" s="279"/>
    </x:row>
  </x:sheetData>
  <x:mergeCells count="76"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20</x:v>
      </x:c>
      <x:c r="G1" s="68" t="s">
        <x:v>18</x:v>
      </x:c>
      <x:c r="H1" s="52" t="s">
        <x:v>121</x:v>
      </x:c>
      <x:c r="I1" s="52">
        <x:f>F1-K1</x:f>
        <x:v>20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5150000</x:v>
      </x:c>
      <x:c r="D2" s="312"/>
      <x:c r="E2" s="314" t="s">
        <x:v>38</x:v>
      </x:c>
      <x:c r="F2" s="315"/>
      <x:c r="G2" s="304">
        <x:v>116100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4595000</x:v>
      </x:c>
      <x:c r="D4" s="271"/>
      <x:c r="E4" s="313" t="s">
        <x:v>144</x:v>
      </x:c>
      <x:c r="F4" s="313"/>
      <x:c r="G4" s="133">
        <x:f>INT(C4*0.0275)</x:f>
        <x:v>126362</x:v>
      </x:c>
      <x:c r="H4" s="54" t="s">
        <x:v>20</x:v>
      </x:c>
      <x:c r="I4" s="124">
        <x:f>235528+192304+10+304070+756624+250740</x:f>
        <x:v>1739276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555000</x:v>
      </x:c>
      <x:c r="D5" s="271"/>
      <x:c r="E5" s="262" t="s">
        <x:v>68</x:v>
      </x:c>
      <x:c r="F5" s="262"/>
      <x:c r="G5" s="133">
        <x:f>INT(C5*0.01)</x:f>
        <x:v>5550</x:v>
      </x:c>
      <x:c r="H5" s="54" t="s">
        <x:v>6</x:v>
      </x:c>
      <x:c r="I5" s="124">
        <x:f>59312+50000+34500+18350+9900+27540+60320</x:f>
        <x:v>259922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625000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46100</x:v>
      </x:c>
      <x:c r="D8" s="271"/>
      <x:c r="E8" s="258" t="s">
        <x:v>108</x:v>
      </x:c>
      <x:c r="F8" s="259"/>
      <x:c r="G8" s="292">
        <x:f>C5+G2-G6-C22</x:f>
        <x:v>46100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SUM('1:20'!$C$12)</x:f>
        <x:v>183</x:v>
      </x:c>
      <x:c r="D13" s="260"/>
      <x:c r="E13" s="261"/>
      <x:c r="F13" s="290">
        <x:f>SUM('1:20'!$F$12)</x:f>
        <x:v>74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SUM('1:20'!$C$14)</x:f>
        <x:v>339</x:v>
      </x:c>
      <x:c r="D15" s="260"/>
      <x:c r="E15" s="261"/>
      <x:c r="F15" s="290">
        <x:f>SUM('1:20'!$F$14)</x:f>
        <x:v>204</x:v>
      </x:c>
      <x:c r="G15" s="291"/>
      <x:c r="H15" s="54" t="s">
        <x:v>104</x:v>
      </x:c>
      <x:c r="I15" s="58">
        <x:f>19200+40800+4900+5500+5900+1700+39000+10500+5500</x:f>
        <x:v>133000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SUM('1:20'!$C$16)</x:f>
        <x:v>85</x:v>
      </x:c>
      <x:c r="D17" s="260"/>
      <x:c r="E17" s="261"/>
      <x:c r="F17" s="257">
        <x:f>SUM('1:20'!$F$16)</x:f>
        <x:v>284</x:v>
      </x:c>
      <x:c r="G17" s="257"/>
      <x:c r="H17" s="54" t="s">
        <x:v>7</x:v>
      </x:c>
      <x:c r="I17" s="58"/>
      <x:c r="J17" s="54" t="s">
        <x:v>88</x:v>
      </x:c>
      <x:c r="K17" s="58">
        <x:v>34200</x:v>
      </x:c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SUM('1:20'!$C$18)</x:f>
        <x:v>217</x:v>
      </x:c>
      <x:c r="D19" s="260"/>
      <x:c r="E19" s="261"/>
      <x:c r="F19" s="257">
        <x:f>SUM('1:20'!$F$18)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44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SUM('1:20'!$F$20)</x:f>
        <x:v>965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2132198</x:v>
      </x:c>
      <x:c r="J23" s="61" t="s">
        <x:v>117</x:v>
      </x:c>
      <x:c r="K23" s="62">
        <x:f>SUM(K4:K22)</x:f>
        <x:v>34200</x:v>
      </x:c>
      <x:c r="M23" s="88" t="s">
        <x:v>91</x:v>
      </x:c>
      <x:c r="N23" s="287">
        <x:f>C5+C6</x:f>
        <x:v>555000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0.41401902912621358</x:v>
      </x:c>
      <x:c r="J24" s="61" t="s">
        <x:v>8</x:v>
      </x:c>
      <x:c r="K24" s="63">
        <x:f>K23/A25</x:f>
        <x:v>0.0066407766990291264</x:v>
      </x:c>
    </x:row>
    <x:row r="25" spans="1:11" ht="34.149999999999999" customHeight="1">
      <x:c r="A25" s="283">
        <x:f>C2</x:f>
        <x:v>5150000</x:v>
      </x:c>
      <x:c r="B25" s="272"/>
      <x:c r="C25" s="272">
        <x:f>E25/I1</x:f>
        <x:v>4899330.0149999997</x:v>
      </x:c>
      <x:c r="D25" s="272"/>
      <x:c r="E25" s="272">
        <x:f>SUM('1:20'!$A$25)</x:f>
        <x:v>97986600.299999997</x:v>
      </x:c>
      <x:c r="F25" s="272"/>
      <x:c r="G25" s="272"/>
      <x:c r="H25" s="107" t="s">
        <x:v>31</x:v>
      </x:c>
      <x:c r="I25" s="108">
        <x:f>SUM('1:20'!$I$23)</x:f>
        <x:v>31133568</x:v>
      </x:c>
      <x:c r="J25" s="61" t="s">
        <x:v>31</x:v>
      </x:c>
      <x:c r="K25" s="62">
        <x:f>SUM('1:20'!$K$21)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0.31773291352776939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584822.58064516133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0.11355778264954589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SUM('1:20'!$I$25)</x:f>
        <x:v>340448573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582.1399245980308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9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21</x:v>
      </x:c>
      <x:c r="G1" s="68" t="s">
        <x:v>19</x:v>
      </x:c>
      <x:c r="H1" s="52" t="s">
        <x:v>121</x:v>
      </x:c>
      <x:c r="I1" s="52">
        <x:f>F1-K1</x:f>
        <x:v>21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4459000</x:v>
      </x:c>
      <x:c r="D2" s="312"/>
      <x:c r="E2" s="314" t="s">
        <x:v>38</x:v>
      </x:c>
      <x:c r="F2" s="315"/>
      <x:c r="G2" s="304">
        <x:v>46100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3533000</x:v>
      </x:c>
      <x:c r="D4" s="271"/>
      <x:c r="E4" s="313" t="s">
        <x:v>144</x:v>
      </x:c>
      <x:c r="F4" s="313"/>
      <x:c r="G4" s="133">
        <x:f>INT(C4*0.0275)</x:f>
        <x:v>97157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926000</x:v>
      </x:c>
      <x:c r="D5" s="271"/>
      <x:c r="E5" s="262" t="s">
        <x:v>68</x:v>
      </x:c>
      <x:c r="F5" s="262"/>
      <x:c r="G5" s="133">
        <x:f>INT(C5*0.01)</x:f>
        <x:v>9260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880000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92100</x:v>
      </x:c>
      <x:c r="D8" s="271"/>
      <x:c r="E8" s="258" t="s">
        <x:v>108</x:v>
      </x:c>
      <x:c r="F8" s="259"/>
      <x:c r="G8" s="292">
        <x:f>C5+G2-G6-C22</x:f>
        <x:v>92100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175000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157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SUM('1:21'!$C$12)</x:f>
        <x:v>183</x:v>
      </x:c>
      <x:c r="D13" s="260"/>
      <x:c r="E13" s="261"/>
      <x:c r="F13" s="290">
        <x:f>SUM('1:21'!$F$12)</x:f>
        <x:v>74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SUM('1:21'!$C$14)</x:f>
        <x:v>339</x:v>
      </x:c>
      <x:c r="D15" s="260"/>
      <x:c r="E15" s="261"/>
      <x:c r="F15" s="290">
        <x:f>SUM('1:21'!$F$14)</x:f>
        <x:v>204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>
        <x:v>418340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SUM('1:21'!$C$16)</x:f>
        <x:v>85</x:v>
      </x:c>
      <x:c r="D17" s="260"/>
      <x:c r="E17" s="261"/>
      <x:c r="F17" s="257">
        <x:f>SUM('1:21'!$F$16)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SUM('1:21'!$C$18)</x:f>
        <x:v>217</x:v>
      </x:c>
      <x:c r="D19" s="260"/>
      <x:c r="E19" s="261"/>
      <x:c r="F19" s="257">
        <x:f>SUM('1:21'!$F$18)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/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SUM('1:21'!$F$20)</x:f>
        <x:v>965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418340</x:v>
      </x:c>
      <x:c r="M23" s="88" t="s">
        <x:v>91</x:v>
      </x:c>
      <x:c r="N23" s="287">
        <x:f>C5+C6</x:f>
        <x:v>926000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0.093819241982507295</x:v>
      </x:c>
    </x:row>
    <x:row r="25" spans="1:11" ht="34.149999999999999" customHeight="1">
      <x:c r="A25" s="283">
        <x:f>C2</x:f>
        <x:v>4459000</x:v>
      </x:c>
      <x:c r="B25" s="272"/>
      <x:c r="C25" s="272">
        <x:f>E25/I1</x:f>
        <x:v>4878361.9190476192</x:v>
      </x:c>
      <x:c r="D25" s="272"/>
      <x:c r="E25" s="272">
        <x:f>SUM('1:21'!$A$25)</x:f>
        <x:v>102445600.3</x:v>
      </x:c>
      <x:c r="F25" s="272"/>
      <x:c r="G25" s="272"/>
      <x:c r="H25" s="107" t="s">
        <x:v>31</x:v>
      </x:c>
      <x:c r="I25" s="108">
        <x:f>SUM('1:21'!$I$23)</x:f>
        <x:v>31133568</x:v>
      </x:c>
      <x:c r="J25" s="61" t="s">
        <x:v>31</x:v>
      </x:c>
      <x:c r="K25" s="62">
        <x:f>SUM('1:21'!$K$21)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0.30390341711922209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720822.58064516133</x:v>
      </x:c>
      <x:c r="M27" s="66"/>
    </x:row>
    <x:row r="28" spans="1:13" ht="30.949999999999999" customHeight="1">
      <x:c r="A28" s="318"/>
      <x:c r="B28" s="54" t="s">
        <x:v>39</x:v>
      </x:c>
      <x:c r="C28" s="272">
        <x:f>4000000/31</x:f>
        <x:v>129032.25806451614</x:v>
      </x:c>
      <x:c r="D28" s="272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0.16165565836401913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13000*10</x:f>
        <x:v>130000</x:v>
      </x:c>
      <x:c r="G29" s="271"/>
      <x:c r="H29" s="111" t="s">
        <x:v>31</x:v>
      </x:c>
      <x:c r="I29" s="112">
        <x:f>SUM('1:21'!$I$25)</x:f>
        <x:v>371582141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515.49736506231682</x:v>
      </x:c>
      <x:c r="M30" s="66"/>
    </x:row>
    <x:row r="31" spans="1:7" customHeight="1">
      <x:c r="A31" s="318"/>
      <x:c r="B31" s="147"/>
      <x:c r="C31" s="275"/>
      <x:c r="D31" s="275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77000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A4:B4"/>
    <x:mergeCell ref="C4:D4"/>
    <x:mergeCell ref="E4:F4"/>
    <x:mergeCell ref="A2:B3"/>
    <x:mergeCell ref="C2:D3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22</x:v>
      </x:c>
      <x:c r="G1" s="68" t="s">
        <x:v>47</x:v>
      </x:c>
      <x:c r="H1" s="52" t="s">
        <x:v>121</x:v>
      </x:c>
      <x:c r="I1" s="52">
        <x:f>F1-K1</x:f>
        <x:v>22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4248000</x:v>
      </x:c>
      <x:c r="D2" s="312"/>
      <x:c r="E2" s="314" t="s">
        <x:v>38</x:v>
      </x:c>
      <x:c r="F2" s="315"/>
      <x:c r="G2" s="304">
        <x:v>92100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3537000</x:v>
      </x:c>
      <x:c r="D4" s="271"/>
      <x:c r="E4" s="313" t="s">
        <x:v>144</x:v>
      </x:c>
      <x:c r="F4" s="313"/>
      <x:c r="G4" s="133">
        <x:f>INT(C4*0.0275)</x:f>
        <x:v>97267</x:v>
      </x:c>
      <x:c r="H4" s="54" t="s">
        <x:v>20</x:v>
      </x:c>
      <x:c r="I4" s="124">
        <x:f>655854+217564+236946</x:f>
        <x:v>1110364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711000</x:v>
      </x:c>
      <x:c r="D5" s="271"/>
      <x:c r="E5" s="262" t="s">
        <x:v>68</x:v>
      </x:c>
      <x:c r="F5" s="262"/>
      <x:c r="G5" s="133">
        <x:f>INT(C5*0.01)</x:f>
        <x:v>7110</x:v>
      </x:c>
      <x:c r="H5" s="54" t="s">
        <x:v>6</x:v>
      </x:c>
      <x:c r="I5" s="124">
        <x:f>29656+50000+34500+36000+4950+13770+18350+1513248+10</x:f>
        <x:v>1700484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750000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f>308900-44000</x:f>
        <x:v>264900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53100</x:v>
      </x:c>
      <x:c r="D8" s="271"/>
      <x:c r="E8" s="258" t="s">
        <x:v>108</x:v>
      </x:c>
      <x:c r="F8" s="259"/>
      <x:c r="G8" s="292">
        <x:f>C5+G2-G6-C22</x:f>
        <x:v>53100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60000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5" t="s">
        <x:v>101</x:v>
      </x:c>
      <x:c r="B11" s="262"/>
      <x:c r="C11" s="284" t="s">
        <x:v>163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SUM('1:22'!$C$12)</x:f>
        <x:v>183</x:v>
      </x:c>
      <x:c r="D13" s="260"/>
      <x:c r="E13" s="261"/>
      <x:c r="F13" s="290">
        <x:f>SUM('1:22'!$F$12)</x:f>
        <x:v>74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SUM('1:22'!$C$14)</x:f>
        <x:v>339</x:v>
      </x:c>
      <x:c r="D15" s="260"/>
      <x:c r="E15" s="261"/>
      <x:c r="F15" s="290">
        <x:f>SUM('1:22'!$F$14)</x:f>
        <x:v>204</x:v>
      </x:c>
      <x:c r="G15" s="291"/>
      <x:c r="H15" s="54" t="s">
        <x:v>104</x:v>
      </x:c>
      <x:c r="I15" s="58">
        <x:f>9800+22000+5500+14000+52000+27200+6200+28000+33000+4200</x:f>
        <x:v>201900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>
        <x:f>101970+19990+29200</x:f>
        <x:v>151160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SUM('1:22'!$C$16)</x:f>
        <x:v>85</x:v>
      </x:c>
      <x:c r="D17" s="260"/>
      <x:c r="E17" s="261"/>
      <x:c r="F17" s="257">
        <x:f>SUM('1:22'!$F$16)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SUM('1:22'!$C$18)</x:f>
        <x:v>217</x:v>
      </x:c>
      <x:c r="D19" s="260"/>
      <x:c r="E19" s="261"/>
      <x:c r="F19" s="257">
        <x:f>SUM('1:22'!$F$18)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49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SUM('1:22'!$F$20)</x:f>
        <x:v>1014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3342648</x:v>
      </x:c>
      <x:c r="J23" s="61" t="s">
        <x:v>117</x:v>
      </x:c>
      <x:c r="K23" s="62">
        <x:f>SUM(K4:K22)</x:f>
        <x:v>165460</x:v>
      </x:c>
      <x:c r="M23" s="88" t="s">
        <x:v>91</x:v>
      </x:c>
      <x:c r="N23" s="287">
        <x:f>C5+C6</x:f>
        <x:v>711000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0.78687570621468927</x:v>
      </x:c>
      <x:c r="J24" s="61" t="s">
        <x:v>8</x:v>
      </x:c>
      <x:c r="K24" s="63">
        <x:f>K23/A25</x:f>
        <x:v>0.038950094161958569</x:v>
      </x:c>
    </x:row>
    <x:row r="25" spans="1:11" ht="34.149999999999999" customHeight="1">
      <x:c r="A25" s="283">
        <x:f>C2</x:f>
        <x:v>4248000</x:v>
      </x:c>
      <x:c r="B25" s="272"/>
      <x:c r="C25" s="272">
        <x:f>E25/I1</x:f>
        <x:v>4849709.1045454545</x:v>
      </x:c>
      <x:c r="D25" s="272"/>
      <x:c r="E25" s="272">
        <x:f>SUM('1:22'!$A$25)</x:f>
        <x:v>106693600.3</x:v>
      </x:c>
      <x:c r="F25" s="272"/>
      <x:c r="G25" s="272"/>
      <x:c r="H25" s="107" t="s">
        <x:v>31</x:v>
      </x:c>
      <x:c r="I25" s="108">
        <x:f>SUM('1:22'!$I$23)</x:f>
        <x:v>34476216</x:v>
      </x:c>
      <x:c r="J25" s="61" t="s">
        <x:v>31</x:v>
      </x:c>
      <x:c r="K25" s="62">
        <x:f>SUM('1:22'!$K$21)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0.32313293302559964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13000*4.5</x:f>
        <x:v>58500</x:v>
      </x:c>
      <x:c r="G27" s="271"/>
      <x:c r="H27" s="111" t="s">
        <x:v>116</x:v>
      </x:c>
      <x:c r="I27" s="112">
        <x:f>SUM(C27:D34,F27:G32)</x:f>
        <x:v>630322.58064516133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13000*8.5</x:f>
        <x:v>110500</x:v>
      </x:c>
      <x:c r="G28" s="275"/>
      <x:c r="H28" s="111" t="s">
        <x:v>8</x:v>
      </x:c>
      <x:c r="I28" s="113">
        <x:f>I27/$A$25</x:f>
        <x:v>0.1483810218091246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SUM('1:22'!$I$25)</x:f>
        <x:v>406058357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644.20721939611053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>
        <x:v>71000</x:v>
      </x:c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F15:G15"/>
    <x:mergeCell ref="A23:B23"/>
    <x:mergeCell ref="C23:G23"/>
    <x:mergeCell ref="F16:G16"/>
    <x:mergeCell ref="F17:G17"/>
    <x:mergeCell ref="A24:B24"/>
    <x:mergeCell ref="C24:D24"/>
    <x:mergeCell ref="E24:G24"/>
    <x:mergeCell ref="A22:B22"/>
    <x:mergeCell ref="C22:G22"/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6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23</x:v>
      </x:c>
      <x:c r="G1" s="68" t="s">
        <x:v>60</x:v>
      </x:c>
      <x:c r="H1" s="52" t="s">
        <x:v>121</x:v>
      </x:c>
      <x:c r="I1" s="52">
        <x:f>F1-K1</x:f>
        <x:v>23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5065000</x:v>
      </x:c>
      <x:c r="D2" s="312"/>
      <x:c r="E2" s="314" t="s">
        <x:v>38</x:v>
      </x:c>
      <x:c r="F2" s="315"/>
      <x:c r="G2" s="304">
        <x:v>53100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4530000</x:v>
      </x:c>
      <x:c r="D4" s="271"/>
      <x:c r="E4" s="313" t="s">
        <x:v>144</x:v>
      </x:c>
      <x:c r="F4" s="313"/>
      <x:c r="G4" s="133">
        <x:f>INT(C4*0.0275)</x:f>
        <x:v>124575</x:v>
      </x:c>
      <x:c r="H4" s="54" t="s">
        <x:v>20</x:v>
      </x:c>
      <x:c r="I4" s="124">
        <x:f>331428+452000+213572+243814</x:f>
        <x:v>1240814</x:v>
      </x:c>
      <x:c r="J4" s="80" t="s">
        <x:v>34</x:v>
      </x:c>
      <x:c r="K4" s="58">
        <x:v>256000</x:v>
      </x:c>
    </x:row>
    <x:row r="5" spans="1:11" ht="30.949999999999999" customHeight="1">
      <x:c r="A5" s="306" t="s">
        <x:v>59</x:v>
      </x:c>
      <x:c r="B5" s="307"/>
      <x:c r="C5" s="271">
        <x:v>535000</x:v>
      </x:c>
      <x:c r="D5" s="271"/>
      <x:c r="E5" s="262" t="s">
        <x:v>68</x:v>
      </x:c>
      <x:c r="F5" s="262"/>
      <x:c r="G5" s="133">
        <x:v>0</x:v>
      </x:c>
      <x:c r="H5" s="54" t="s">
        <x:v>6</x:v>
      </x:c>
      <x:c r="I5" s="124">
        <x:f>44000+39380+46900+50000+34500</x:f>
        <x:v>214780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521000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67100</x:v>
      </x:c>
      <x:c r="D8" s="271"/>
      <x:c r="E8" s="258" t="s">
        <x:v>108</x:v>
      </x:c>
      <x:c r="F8" s="259"/>
      <x:c r="G8" s="292">
        <x:f>C5+G2-G6-C22</x:f>
        <x:v>67100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SUM('1:23'!$C$12)</x:f>
        <x:v>183</x:v>
      </x:c>
      <x:c r="D13" s="260"/>
      <x:c r="E13" s="261"/>
      <x:c r="F13" s="290">
        <x:f>SUM('1:23'!$F$12)</x:f>
        <x:v>74</x:v>
      </x:c>
      <x:c r="G13" s="291"/>
      <x:c r="H13" s="54" t="s">
        <x:v>124</x:v>
      </x:c>
      <x:c r="I13" s="58">
        <x:v>480000</x:v>
      </x:c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SUM('1:23'!$C$14)</x:f>
        <x:v>339</x:v>
      </x:c>
      <x:c r="D15" s="260"/>
      <x:c r="E15" s="261"/>
      <x:c r="F15" s="290">
        <x:f>SUM('1:23'!$F$14)</x:f>
        <x:v>204</x:v>
      </x:c>
      <x:c r="G15" s="291"/>
      <x:c r="H15" s="54" t="s">
        <x:v>104</x:v>
      </x:c>
      <x:c r="I15" s="58">
        <x:v>54700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>
        <x:v>104640</x:v>
      </x:c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SUM('1:23'!$C$16)</x:f>
        <x:v>85</x:v>
      </x:c>
      <x:c r="D17" s="260"/>
      <x:c r="E17" s="261"/>
      <x:c r="F17" s="257">
        <x:f>SUM('1:23'!$F$16)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SUM('1:23'!$C$18)</x:f>
        <x:v>217</x:v>
      </x:c>
      <x:c r="D19" s="260"/>
      <x:c r="E19" s="261"/>
      <x:c r="F19" s="257">
        <x:f>SUM('1:23'!$F$18)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55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SUM('1:23'!$F$20)</x:f>
        <x:v>1069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1990294</x:v>
      </x:c>
      <x:c r="J23" s="61" t="s">
        <x:v>117</x:v>
      </x:c>
      <x:c r="K23" s="62">
        <x:f>SUM(K4:K22)</x:f>
        <x:v>360640</x:v>
      </x:c>
      <x:c r="M23" s="88" t="s">
        <x:v>91</x:v>
      </x:c>
      <x:c r="N23" s="287">
        <x:f>C5+C6</x:f>
        <x:v>535000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0.39295044422507402</x:v>
      </x:c>
      <x:c r="J24" s="61" t="s">
        <x:v>8</x:v>
      </x:c>
      <x:c r="K24" s="63">
        <x:f>K23/A25</x:f>
        <x:v>0.071202369200394869</x:v>
      </x:c>
    </x:row>
    <x:row r="25" spans="1:11" ht="34.149999999999999" customHeight="1">
      <x:c r="A25" s="283">
        <x:f>C2</x:f>
        <x:v>5065000</x:v>
      </x:c>
      <x:c r="B25" s="272"/>
      <x:c r="C25" s="272">
        <x:f>E25/I1</x:f>
        <x:v>4859069.5782608697</x:v>
      </x:c>
      <x:c r="D25" s="272"/>
      <x:c r="E25" s="272">
        <x:f>SUM('1:23'!$A$25)</x:f>
        <x:v>111758600.3</x:v>
      </x:c>
      <x:c r="F25" s="272"/>
      <x:c r="G25" s="272"/>
      <x:c r="H25" s="107" t="s">
        <x:v>31</x:v>
      </x:c>
      <x:c r="I25" s="108">
        <x:f>SUM('1:23'!$I$23)</x:f>
        <x:v>36466510</x:v>
      </x:c>
      <x:c r="J25" s="61" t="s">
        <x:v>31</x:v>
      </x:c>
      <x:c r="K25" s="62">
        <x:f>SUM('1:23'!$K$21)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0.32629712525130827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656322.58064516133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</x:f>
        <x:v>130000</x:v>
      </x:c>
      <x:c r="G28" s="275"/>
      <x:c r="H28" s="111" t="s">
        <x:v>8</x:v>
      </x:c>
      <x:c r="I28" s="113">
        <x:f>I27/$A$25</x:f>
        <x:v>0.12957997643537242</x:v>
      </x:c>
      <x:c r="M28" s="66" t="s">
        <x:v>61</x:v>
      </x:c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SUM('1:23'!$I$25)</x:f>
        <x:v>442524867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674.2490355352403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24</x:v>
      </x:c>
      <x:c r="G1" s="68" t="s">
        <x:v>26</x:v>
      </x:c>
      <x:c r="H1" s="52" t="s">
        <x:v>121</x:v>
      </x:c>
      <x:c r="I1" s="52">
        <x:f>F1-K1</x:f>
        <x:v>24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5739900</x:v>
      </x:c>
      <x:c r="D2" s="312"/>
      <x:c r="E2" s="314" t="s">
        <x:v>38</x:v>
      </x:c>
      <x:c r="F2" s="315"/>
      <x:c r="G2" s="304">
        <x:v>67100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63" t="s">
        <x:v>22</x:v>
      </x:c>
      <x:c r="B4" s="307"/>
      <x:c r="C4" s="271">
        <x:v>4637400</x:v>
      </x:c>
      <x:c r="D4" s="271"/>
      <x:c r="E4" s="313" t="s">
        <x:v>144</x:v>
      </x:c>
      <x:c r="F4" s="313"/>
      <x:c r="G4" s="133">
        <x:f>INT(C4*0.0275)</x:f>
        <x:v>127528</x:v>
      </x:c>
      <x:c r="H4" s="54" t="s">
        <x:v>20</x:v>
      </x:c>
      <x:c r="I4" s="124">
        <x:f>56220+452000+310422+207584+195738</x:f>
        <x:v>1221964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1102500</x:v>
      </x:c>
      <x:c r="D5" s="271"/>
      <x:c r="E5" s="262" t="s">
        <x:v>68</x:v>
      </x:c>
      <x:c r="F5" s="262"/>
      <x:c r="G5" s="133">
        <x:f>INT(C5*0.01)</x:f>
        <x:v>11025</x:v>
      </x:c>
      <x:c r="H5" s="54" t="s">
        <x:v>6</x:v>
      </x:c>
      <x:c r="I5" s="124">
        <x:f>39380+44000+50000+16720+18350+18300</x:f>
        <x:v>186750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1030000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53100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141100</x:v>
      </x:c>
      <x:c r="D8" s="271"/>
      <x:c r="E8" s="258" t="s">
        <x:v>108</x:v>
      </x:c>
      <x:c r="F8" s="259"/>
      <x:c r="G8" s="292">
        <x:f>C5+G2-G6-C22</x:f>
        <x:v>139600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f>106000+101000</x:f>
        <x:v>207000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154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11</x:v>
      </x:c>
      <x:c r="D12" s="258" t="s">
        <x:v>131</x:v>
      </x:c>
      <x:c r="E12" s="259"/>
      <x:c r="F12" s="285">
        <x:v>8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SUM('1:24'!$C$12)</x:f>
        <x:v>194</x:v>
      </x:c>
      <x:c r="D13" s="260"/>
      <x:c r="E13" s="261"/>
      <x:c r="F13" s="290">
        <x:f>SUM('1:24'!$F$12)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19</x:v>
      </x:c>
      <x:c r="D14" s="258" t="s">
        <x:v>93</x:v>
      </x:c>
      <x:c r="E14" s="259"/>
      <x:c r="F14" s="285">
        <x:v>20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SUM('1:24'!$C$14)</x:f>
        <x:v>358</x:v>
      </x:c>
      <x:c r="D15" s="260"/>
      <x:c r="E15" s="261"/>
      <x:c r="F15" s="290">
        <x:f>SUM('1:24'!$F$14)</x:f>
        <x:v>224</x:v>
      </x:c>
      <x:c r="G15" s="291"/>
      <x:c r="H15" s="54" t="s">
        <x:v>104</x:v>
      </x:c>
      <x:c r="I15" s="58">
        <x:v>168450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5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SUM('1:24'!$C$16)</x:f>
        <x:v>90</x:v>
      </x:c>
      <x:c r="D17" s="260"/>
      <x:c r="E17" s="261"/>
      <x:c r="F17" s="257">
        <x:f>SUM('1:24'!$F$16)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14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SUM('1:24'!$C$18)</x:f>
        <x:v>231</x:v>
      </x:c>
      <x:c r="D19" s="260"/>
      <x:c r="E19" s="261"/>
      <x:c r="F19" s="257">
        <x:f>SUM('1:24'!$F$18)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76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SUM('1:24'!$F$20)</x:f>
        <x:v>1145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1695264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1102500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0.29534730570218992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5739900</x:v>
      </x:c>
      <x:c r="B25" s="272"/>
      <x:c r="C25" s="272">
        <x:f>E25/I1</x:f>
        <x:v>4895770.8458333332</x:v>
      </x:c>
      <x:c r="D25" s="272"/>
      <x:c r="E25" s="272">
        <x:f>SUM('1:24'!$A$25)</x:f>
        <x:v>117498500.3</x:v>
      </x:c>
      <x:c r="F25" s="272"/>
      <x:c r="G25" s="272"/>
      <x:c r="H25" s="107" t="s">
        <x:v>31</x:v>
      </x:c>
      <x:c r="I25" s="108">
        <x:f>SUM('1:24'!$I$23)</x:f>
        <x:v>38161774</x:v>
      </x:c>
      <x:c r="J25" s="61" t="s">
        <x:v>31</x:v>
      </x:c>
      <x:c r="K25" s="62">
        <x:f>SUM('1:24'!$K$21)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0.32478520068396144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13000*5.5</x:f>
        <x:v>71500</x:v>
      </x:c>
      <x:c r="G27" s="271"/>
      <x:c r="H27" s="111" t="s">
        <x:v>116</x:v>
      </x:c>
      <x:c r="I27" s="112">
        <x:f>SUM(C27:D34,F27:G32)</x:f>
        <x:v>461822.58064516133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0.080458297295277148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SUM('1:24'!$I$25)</x:f>
        <x:v>480686641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1040.8469857157825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25</x:v>
      </x:c>
      <x:c r="G1" s="68" t="s">
        <x:v>48</x:v>
      </x:c>
      <x:c r="H1" s="52" t="s">
        <x:v>121</x:v>
      </x:c>
      <x:c r="I1" s="52">
        <x:f>F1-K1</x:f>
        <x:v>25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5219400</x:v>
      </x:c>
      <x:c r="D2" s="312"/>
      <x:c r="E2" s="314" t="s">
        <x:v>38</x:v>
      </x:c>
      <x:c r="F2" s="315"/>
      <x:c r="G2" s="304">
        <x:v>141100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4695700</x:v>
      </x:c>
      <x:c r="D4" s="271"/>
      <x:c r="E4" s="313" t="s">
        <x:v>144</x:v>
      </x:c>
      <x:c r="F4" s="313"/>
      <x:c r="G4" s="133">
        <x:f>INT(C4*0.0275)</x:f>
        <x:v>129131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523700</x:v>
      </x:c>
      <x:c r="D5" s="271"/>
      <x:c r="E5" s="262" t="s">
        <x:v>68</x:v>
      </x:c>
      <x:c r="F5" s="262"/>
      <x:c r="G5" s="133">
        <x:f>INT(C5*0.01)</x:f>
        <x:v>5237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540000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>
        <x:v>12500</x:v>
      </x:c>
    </x:row>
    <x:row r="8" spans="1:11" ht="21.949999999999999" customHeight="1">
      <x:c r="A8" s="265" t="s">
        <x:v>132</x:v>
      </x:c>
      <x:c r="B8" s="262"/>
      <x:c r="C8" s="271">
        <x:v>124800</x:v>
      </x:c>
      <x:c r="D8" s="271"/>
      <x:c r="E8" s="258" t="s">
        <x:v>108</x:v>
      </x:c>
      <x:c r="F8" s="259"/>
      <x:c r="G8" s="292">
        <x:f>C5+G2-G6-C22</x:f>
        <x:v>124800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/>
      <x:c r="D12" s="258" t="s">
        <x:v>131</x:v>
      </x:c>
      <x:c r="E12" s="259"/>
      <x:c r="F12" s="285"/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SUM('1:25'!$C$12)</x:f>
        <x:v>194</x:v>
      </x:c>
      <x:c r="D13" s="260"/>
      <x:c r="E13" s="261"/>
      <x:c r="F13" s="290">
        <x:f>SUM('1:25'!$F$12)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/>
      <x:c r="D14" s="258" t="s">
        <x:v>93</x:v>
      </x:c>
      <x:c r="E14" s="259"/>
      <x:c r="F14" s="285"/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SUM('1:25'!$C$14)</x:f>
        <x:v>358</x:v>
      </x:c>
      <x:c r="D15" s="260"/>
      <x:c r="E15" s="261"/>
      <x:c r="F15" s="290">
        <x:f>SUM('1:25'!$F$14)</x:f>
        <x:v>224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/>
      <x:c r="D16" s="258" t="s">
        <x:v>115</x:v>
      </x:c>
      <x:c r="E16" s="259"/>
      <x:c r="F16" s="266"/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SUM('1:25'!$C$16)</x:f>
        <x:v>90</x:v>
      </x:c>
      <x:c r="D17" s="260"/>
      <x:c r="E17" s="261"/>
      <x:c r="F17" s="257">
        <x:f>SUM('1:25'!$F$16)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/>
      <x:c r="D18" s="258" t="s">
        <x:v>128</x:v>
      </x:c>
      <x:c r="E18" s="259"/>
      <x:c r="F18" s="294"/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SUM('1:25'!$C$18)</x:f>
        <x:v>231</x:v>
      </x:c>
      <x:c r="D19" s="260"/>
      <x:c r="E19" s="261"/>
      <x:c r="F19" s="257">
        <x:f>SUM('1:25'!$F$18)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/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SUM('1:25'!$F$20)</x:f>
        <x:v>1145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12500</x:v>
      </x:c>
      <x:c r="M23" s="88" t="s">
        <x:v>91</x:v>
      </x:c>
      <x:c r="N23" s="287">
        <x:f>C5+C6</x:f>
        <x:v>523700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0.0023949112924857262</x:v>
      </x:c>
    </x:row>
    <x:row r="25" spans="1:11" ht="34.149999999999999" customHeight="1">
      <x:c r="A25" s="283">
        <x:f>C2</x:f>
        <x:v>5219400</x:v>
      </x:c>
      <x:c r="B25" s="272"/>
      <x:c r="C25" s="272">
        <x:f>E25/I1</x:f>
        <x:v>4908716.0120000001</x:v>
      </x:c>
      <x:c r="D25" s="272"/>
      <x:c r="E25" s="272">
        <x:f>SUM('1:25'!$A$25)</x:f>
        <x:v>122717900.3</x:v>
      </x:c>
      <x:c r="F25" s="272"/>
      <x:c r="G25" s="272"/>
      <x:c r="H25" s="107" t="s">
        <x:v>31</x:v>
      </x:c>
      <x:c r="I25" s="108">
        <x:f>SUM('1:25'!$I$23)</x:f>
        <x:v>38161774</x:v>
      </x:c>
      <x:c r="J25" s="61" t="s">
        <x:v>31</x:v>
      </x:c>
      <x:c r="K25" s="62">
        <x:f>SUM('1:25'!$K$21)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0.310971536399405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13000*5.5</x:f>
        <x:v>71500</x:v>
      </x:c>
      <x:c r="G27" s="271"/>
      <x:c r="H27" s="111" t="s">
        <x:v>116</x:v>
      </x:c>
      <x:c r="I27" s="112">
        <x:f>SUM(C27:D34,F27:G32)</x:f>
        <x:v>461822.58064516133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0.088481929080959754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SUM('1:25'!$I$25)</x:f>
        <x:v>518848415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1123.4799612335416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23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26</x:v>
      </x:c>
      <x:c r="G1" s="68" t="s">
        <x:v>27</x:v>
      </x:c>
      <x:c r="H1" s="52" t="s">
        <x:v>121</x:v>
      </x:c>
      <x:c r="I1" s="52">
        <x:f>F1-K1</x:f>
        <x:v>26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2757400</x:v>
      </x:c>
      <x:c r="D2" s="312"/>
      <x:c r="E2" s="314" t="s">
        <x:v>38</x:v>
      </x:c>
      <x:c r="F2" s="315"/>
      <x:c r="G2" s="304">
        <x:v>124800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2502200</x:v>
      </x:c>
      <x:c r="D4" s="271"/>
      <x:c r="E4" s="313" t="s">
        <x:v>144</x:v>
      </x:c>
      <x:c r="F4" s="313"/>
      <x:c r="G4" s="133">
        <x:f>INT(C4*0.0275)</x:f>
        <x:v>68810</x:v>
      </x:c>
      <x:c r="H4" s="54" t="s">
        <x:v>20</x:v>
      </x:c>
      <x:c r="I4" s="124">
        <x:f>378312+904000</x:f>
        <x:v>1282312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255200</x:v>
      </x:c>
      <x:c r="D5" s="271"/>
      <x:c r="E5" s="262" t="s">
        <x:v>68</x:v>
      </x:c>
      <x:c r="F5" s="262"/>
      <x:c r="G5" s="133">
        <x:f>INT(C5*0.01)</x:f>
        <x:v>2552</x:v>
      </x:c>
      <x:c r="H5" s="54" t="s">
        <x:v>6</x:v>
      </x:c>
      <x:c r="I5" s="124">
        <x:f>46900+27540+18350+15080+59312</x:f>
        <x:v>167182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250000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639800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130000</x:v>
      </x:c>
      <x:c r="D8" s="271"/>
      <x:c r="E8" s="258" t="s">
        <x:v>108</x:v>
      </x:c>
      <x:c r="F8" s="259"/>
      <x:c r="G8" s="292">
        <x:f>C5+G2-G6-C22</x:f>
        <x:v>130000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2554700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152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11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SUM('1:26'!$C$12)</x:f>
        <x:v>205</x:v>
      </x:c>
      <x:c r="D13" s="260"/>
      <x:c r="E13" s="261"/>
      <x:c r="F13" s="290">
        <x:f>SUM('1:26'!$F$12)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4</x:v>
      </x:c>
      <x:c r="D14" s="258" t="s">
        <x:v>93</x:v>
      </x:c>
      <x:c r="E14" s="259"/>
      <x:c r="F14" s="285">
        <x:v>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SUM('1:26'!$C$14)</x:f>
        <x:v>362</x:v>
      </x:c>
      <x:c r="D15" s="260"/>
      <x:c r="E15" s="261"/>
      <x:c r="F15" s="290">
        <x:f>SUM('1:26'!$F$14)</x:f>
        <x:v>231</x:v>
      </x:c>
      <x:c r="G15" s="291"/>
      <x:c r="H15" s="54" t="s">
        <x:v>104</x:v>
      </x:c>
      <x:c r="I15" s="58">
        <x:f>171600</x:f>
        <x:v>171600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0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SUM('1:26'!$C$16)</x:f>
        <x:v>90</x:v>
      </x:c>
      <x:c r="D17" s="260"/>
      <x:c r="E17" s="261"/>
      <x:c r="F17" s="257">
        <x:f>SUM('1:26'!$F$16)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8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SUM('1:26'!$C$18)</x:f>
        <x:v>239</x:v>
      </x:c>
      <x:c r="D19" s="260"/>
      <x:c r="E19" s="261"/>
      <x:c r="F19" s="257">
        <x:f>SUM('1:26'!$F$18)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37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SUM('1:26'!$F$20)</x:f>
        <x:v>1182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2325894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255200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0.84350982809893382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2757400</x:v>
      </x:c>
      <x:c r="B25" s="272"/>
      <x:c r="C25" s="364">
        <x:f>E25/I1</x:f>
        <x:v>4825973.0884615388</x:v>
      </x:c>
      <x:c r="D25" s="272"/>
      <x:c r="E25" s="272">
        <x:f>SUM('1:26'!$A$25)</x:f>
        <x:v>125475300.3</x:v>
      </x:c>
      <x:c r="F25" s="272"/>
      <x:c r="G25" s="272"/>
      <x:c r="H25" s="107" t="s">
        <x:v>31</x:v>
      </x:c>
      <x:c r="I25" s="108">
        <x:f>SUM('1:26'!$I$23)</x:f>
        <x:v>40487668</x:v>
      </x:c>
      <x:c r="J25" s="61" t="s">
        <x:v>31</x:v>
      </x:c>
      <x:c r="K25" s="62">
        <x:f>SUM('1:26'!$K$21)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0.3226744060639638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13000*4.5</x:f>
        <x:v>58500</x:v>
      </x:c>
      <x:c r="G27" s="271"/>
      <x:c r="H27" s="111" t="s">
        <x:v>116</x:v>
      </x:c>
      <x:c r="I27" s="112">
        <x:f>SUM(C27:D34,F27:G32)</x:f>
        <x:v>643322.58064516133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0.23330767412967338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SUM('1:26'!$I$25)</x:f>
        <x:v>559336083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869.44885789500074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27</x:v>
      </x:c>
      <x:c r="G1" s="68" t="s">
        <x:v>18</x:v>
      </x:c>
      <x:c r="H1" s="52" t="s">
        <x:v>121</x:v>
      </x:c>
      <x:c r="I1" s="52">
        <x:f>F1-K1</x:f>
        <x:v>27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5737900</x:v>
      </x:c>
      <x:c r="D2" s="312"/>
      <x:c r="E2" s="314" t="s">
        <x:v>38</x:v>
      </x:c>
      <x:c r="F2" s="315"/>
      <x:c r="G2" s="304">
        <x:v>130000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4650100</x:v>
      </x:c>
      <x:c r="D4" s="271"/>
      <x:c r="E4" s="313" t="s">
        <x:v>144</x:v>
      </x:c>
      <x:c r="F4" s="313"/>
      <x:c r="G4" s="133">
        <x:f>INT(C4*0.0275)</x:f>
        <x:v>127877</x:v>
      </x:c>
      <x:c r="H4" s="54" t="s">
        <x:v>20</x:v>
      </x:c>
      <x:c r="I4" s="124">
        <x:f>95100+756624+452000+159680</x:f>
        <x:v>1463404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1087800</x:v>
      </x:c>
      <x:c r="D5" s="271"/>
      <x:c r="E5" s="262" t="s">
        <x:v>68</x:v>
      </x:c>
      <x:c r="F5" s="262"/>
      <x:c r="G5" s="133">
        <x:f>INT(C5*0.01)</x:f>
        <x:v>10878</x:v>
      </x:c>
      <x:c r="H5" s="54" t="s">
        <x:v>6</x:v>
      </x:c>
      <x:c r="I5" s="124">
        <x:f>18350+39380+29656+93800+100000</x:f>
        <x:v>281186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1100000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117800</x:v>
      </x:c>
      <x:c r="D8" s="271"/>
      <x:c r="E8" s="258" t="s">
        <x:v>108</x:v>
      </x:c>
      <x:c r="F8" s="259"/>
      <x:c r="G8" s="292">
        <x:f>C5+G2-G6-C22</x:f>
        <x:v>117800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>
        <x:v>328900</x:v>
      </x:c>
    </x:row>
    <x:row r="10" spans="1:11" ht="30.949999999999999" customHeight="1">
      <x:c r="A10" s="265" t="s">
        <x:v>141</x:v>
      </x:c>
      <x:c r="B10" s="262"/>
      <x:c r="C10" s="271">
        <x:v>60000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20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SUM('1:27'!$C$12)</x:f>
        <x:v>225</x:v>
      </x:c>
      <x:c r="D13" s="260"/>
      <x:c r="E13" s="261"/>
      <x:c r="F13" s="290">
        <x:f>SUM('1:27'!$F$12)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24</x:v>
      </x:c>
      <x:c r="D14" s="258" t="s">
        <x:v>93</x:v>
      </x:c>
      <x:c r="E14" s="259"/>
      <x:c r="F14" s="285">
        <x:v>8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SUM('1:27'!$C$14)</x:f>
        <x:v>386</x:v>
      </x:c>
      <x:c r="D15" s="260"/>
      <x:c r="E15" s="261"/>
      <x:c r="F15" s="290">
        <x:f>SUM('1:27'!$F$14)</x:f>
        <x:v>239</x:v>
      </x:c>
      <x:c r="G15" s="291"/>
      <x:c r="H15" s="54" t="s">
        <x:v>104</x:v>
      </x:c>
      <x:c r="I15" s="58">
        <x:f>5500+4900+8400+27200+5500+39000</x:f>
        <x:v>90500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10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SUM('1:27'!$C$16)</x:f>
        <x:v>100</x:v>
      </x:c>
      <x:c r="D17" s="260"/>
      <x:c r="E17" s="261"/>
      <x:c r="F17" s="257">
        <x:f>SUM('1:27'!$F$16)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36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SUM('1:27'!$C$18)</x:f>
        <x:v>275</x:v>
      </x:c>
      <x:c r="D19" s="260"/>
      <x:c r="E19" s="261"/>
      <x:c r="F19" s="257">
        <x:f>SUM('1:27'!$F$18)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54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SUM('1:27'!$F$20)</x:f>
        <x:v>1236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1835090</x:v>
      </x:c>
      <x:c r="J23" s="61" t="s">
        <x:v>117</x:v>
      </x:c>
      <x:c r="K23" s="62">
        <x:f>SUM(K4:K22)</x:f>
        <x:v>328900</x:v>
      </x:c>
      <x:c r="M23" s="88" t="s">
        <x:v>91</x:v>
      </x:c>
      <x:c r="N23" s="287">
        <x:f>C5+C6</x:f>
        <x:v>1087800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0.31981909757925375</x:v>
      </x:c>
      <x:c r="J24" s="61" t="s">
        <x:v>8</x:v>
      </x:c>
      <x:c r="K24" s="63">
        <x:f>K23/A25</x:f>
        <x:v>0.057320622527405496</x:v>
      </x:c>
    </x:row>
    <x:row r="25" spans="1:11" ht="34.149999999999999" customHeight="1">
      <x:c r="A25" s="283">
        <x:f>C2</x:f>
        <x:v>5737900</x:v>
      </x:c>
      <x:c r="B25" s="272"/>
      <x:c r="C25" s="272">
        <x:f>E25/I1</x:f>
        <x:v>4859748.1592592588</x:v>
      </x:c>
      <x:c r="D25" s="272"/>
      <x:c r="E25" s="272">
        <x:f>SUM('1:27'!$A$25)</x:f>
        <x:v>131213200.3</x:v>
      </x:c>
      <x:c r="F25" s="272"/>
      <x:c r="G25" s="272"/>
      <x:c r="H25" s="107" t="s">
        <x:v>31</x:v>
      </x:c>
      <x:c r="I25" s="108">
        <x:f>SUM('1:27'!$I$23)</x:f>
        <x:v>42322758</x:v>
      </x:c>
      <x:c r="J25" s="61" t="s">
        <x:v>31</x:v>
      </x:c>
      <x:c r="K25" s="62">
        <x:f>SUM('1:27'!$K$21)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0.3225495445826726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669822.58064516133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0.11673653787015482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13000*12</x:f>
        <x:v>156000</x:v>
      </x:c>
      <x:c r="G29" s="271"/>
      <x:c r="H29" s="111" t="s">
        <x:v>31</x:v>
      </x:c>
      <x:c r="I29" s="112">
        <x:f>SUM('1:27'!$I$25)</x:f>
        <x:v>601658841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898.23612757350281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8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28</x:v>
      </x:c>
      <x:c r="G1" s="68" t="s">
        <x:v>19</x:v>
      </x:c>
      <x:c r="H1" s="52" t="s">
        <x:v>121</x:v>
      </x:c>
      <x:c r="I1" s="52">
        <x:f>F1-K1</x:f>
        <x:v>28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4698500</x:v>
      </x:c>
      <x:c r="D2" s="312"/>
      <x:c r="E2" s="314" t="s">
        <x:v>38</x:v>
      </x:c>
      <x:c r="F2" s="315"/>
      <x:c r="G2" s="304">
        <x:v>117800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4206100</x:v>
      </x:c>
      <x:c r="D4" s="271"/>
      <x:c r="E4" s="313" t="s">
        <x:v>144</x:v>
      </x:c>
      <x:c r="F4" s="313"/>
      <x:c r="G4" s="133">
        <x:f>INT(C4*0.0275)</x:f>
        <x:v>115667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492400</x:v>
      </x:c>
      <x:c r="D5" s="271"/>
      <x:c r="E5" s="262" t="s">
        <x:v>68</x:v>
      </x:c>
      <x:c r="F5" s="262"/>
      <x:c r="G5" s="133">
        <x:f>INT(C5*0.01)</x:f>
        <x:v>4924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110500</x:v>
      </x:c>
      <x:c r="D8" s="271"/>
      <x:c r="E8" s="258" t="s">
        <x:v>108</x:v>
      </x:c>
      <x:c r="F8" s="259"/>
      <x:c r="G8" s="292">
        <x:f>C5+G2-G6-C22</x:f>
        <x:v>110200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278000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160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25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SUM('1:28'!$C$12)</x:f>
        <x:v>250</x:v>
      </x:c>
      <x:c r="D13" s="260"/>
      <x:c r="E13" s="261"/>
      <x:c r="F13" s="290">
        <x:f>SUM('1:28'!$F$12)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0</x:v>
      </x:c>
      <x:c r="D14" s="258" t="s">
        <x:v>93</x:v>
      </x:c>
      <x:c r="E14" s="259"/>
      <x:c r="F14" s="285">
        <x:v>16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SUM('1:28'!$C$14)</x:f>
        <x:v>386</x:v>
      </x:c>
      <x:c r="D15" s="260"/>
      <x:c r="E15" s="261"/>
      <x:c r="F15" s="290">
        <x:f>SUM('1:28'!$F$14)</x:f>
        <x:v>255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12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SUM('1:28'!$C$16)</x:f>
        <x:v>112</x:v>
      </x:c>
      <x:c r="D17" s="260"/>
      <x:c r="E17" s="261"/>
      <x:c r="F17" s="257">
        <x:f>SUM('1:28'!$F$16)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40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SUM('1:28'!$C$18)</x:f>
        <x:v>315</x:v>
      </x:c>
      <x:c r="D19" s="260"/>
      <x:c r="E19" s="261"/>
      <x:c r="F19" s="257">
        <x:f>SUM('1:28'!$F$18)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58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SUM('1:28'!$F$20)</x:f>
        <x:v>1294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492400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4698500</x:v>
      </x:c>
      <x:c r="B25" s="272"/>
      <x:c r="C25" s="272">
        <x:f>E25/I1</x:f>
        <x:v>4853989.2964285715</x:v>
      </x:c>
      <x:c r="D25" s="272"/>
      <x:c r="E25" s="272">
        <x:f>SUM('1:28'!$A$25)</x:f>
        <x:v>135911700.30000001</x:v>
      </x:c>
      <x:c r="F25" s="272"/>
      <x:c r="G25" s="272"/>
      <x:c r="H25" s="107" t="s">
        <x:v>31</x:v>
      </x:c>
      <x:c r="I25" s="108">
        <x:f>SUM('1:28'!$I$23)</x:f>
        <x:v>42322758</x:v>
      </x:c>
      <x:c r="J25" s="61" t="s">
        <x:v>31</x:v>
      </x:c>
      <x:c r="K25" s="62">
        <x:f>SUM('1:28'!$K$21)</x:f>
        <x:v>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0.31139892964756027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/>
      <x:c r="G27" s="271"/>
      <x:c r="H27" s="111" t="s">
        <x:v>116</x:v>
      </x:c>
      <x:c r="I27" s="112">
        <x:f>SUM(C27:D34,F27:G32)</x:f>
        <x:v>650322.58064516133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13000*9.5</x:f>
        <x:v>123500</x:v>
      </x:c>
      <x:c r="G28" s="275"/>
      <x:c r="H28" s="111" t="s">
        <x:v>8</x:v>
      </x:c>
      <x:c r="I28" s="113">
        <x:f>I27/$A$25</x:f>
        <x:v>0.13841068014156888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>
        <x:f>13000*10.5</x:f>
        <x:v>136500</x:v>
      </x:c>
      <x:c r="G29" s="271"/>
      <x:c r="H29" s="111" t="s">
        <x:v>31</x:v>
      </x:c>
      <x:c r="I29" s="112">
        <x:f>SUM('1:28'!$I$25)</x:f>
        <x:v>643981599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990.24948258928566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5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29</x:v>
      </x:c>
      <x:c r="G1" s="68" t="s">
        <x:v>47</x:v>
      </x:c>
      <x:c r="H1" s="52" t="s">
        <x:v>121</x:v>
      </x:c>
      <x:c r="I1" s="52">
        <x:f>F1-K1</x:f>
        <x:v>29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5224500</x:v>
      </x:c>
      <x:c r="D2" s="312"/>
      <x:c r="E2" s="314" t="s">
        <x:v>38</x:v>
      </x:c>
      <x:c r="F2" s="315"/>
      <x:c r="G2" s="304">
        <x:v>110500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4680100</x:v>
      </x:c>
      <x:c r="D4" s="271"/>
      <x:c r="E4" s="313" t="s">
        <x:v>144</x:v>
      </x:c>
      <x:c r="F4" s="313"/>
      <x:c r="G4" s="133">
        <x:v>104100</x:v>
      </x:c>
      <x:c r="H4" s="54" t="s">
        <x:v>20</x:v>
      </x:c>
      <x:c r="I4" s="124">
        <x:v>1917384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544400</x:v>
      </x:c>
      <x:c r="D5" s="271"/>
      <x:c r="E5" s="262" t="s">
        <x:v>68</x:v>
      </x:c>
      <x:c r="F5" s="262"/>
      <x:c r="G5" s="133">
        <x:f>INT(C5*0.01)</x:f>
        <x:v>5444</x:v>
      </x:c>
      <x:c r="H5" s="54" t="s">
        <x:v>6</x:v>
      </x:c>
      <x:c r="I5" s="124"/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570000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504900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85600</x:v>
      </x:c>
      <x:c r="D8" s="271"/>
      <x:c r="E8" s="258" t="s">
        <x:v>108</x:v>
      </x:c>
      <x:c r="F8" s="259"/>
      <x:c r="G8" s="292">
        <x:f>C5+G2-G6-C22</x:f>
        <x:v>84900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20000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5" t="s">
        <x:v>101</x:v>
      </x:c>
      <x:c r="B11" s="262"/>
      <x:c r="C11" s="284" t="s">
        <x:v>158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33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SUM('1:29'!$C$12)</x:f>
        <x:v>283</x:v>
      </x:c>
      <x:c r="D13" s="260"/>
      <x:c r="E13" s="261"/>
      <x:c r="F13" s="290">
        <x:f>SUM('1:29'!$F$12)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3</x:v>
      </x:c>
      <x:c r="D14" s="258" t="s">
        <x:v>93</x:v>
      </x:c>
      <x:c r="E14" s="259"/>
      <x:c r="F14" s="285">
        <x:v>18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SUM('1:29'!$C$14)</x:f>
        <x:v>389</x:v>
      </x:c>
      <x:c r="D15" s="260"/>
      <x:c r="E15" s="261"/>
      <x:c r="F15" s="290">
        <x:f>SUM('1:29'!$F$14)</x:f>
        <x:v>273</x:v>
      </x:c>
      <x:c r="G15" s="291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5</x:v>
      </x:c>
      <x:c r="D16" s="258" t="s">
        <x:v>115</x:v>
      </x:c>
      <x:c r="E16" s="259"/>
      <x:c r="F16" s="266">
        <x:v>0</x:v>
      </x:c>
      <x:c r="G16" s="266"/>
      <x:c r="H16" s="54"/>
      <x:c r="I16" s="58">
        <x:v>82000</x:v>
      </x:c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SUM('1:29'!$C$16)</x:f>
        <x:v>117</x:v>
      </x:c>
      <x:c r="D17" s="260"/>
      <x:c r="E17" s="261"/>
      <x:c r="F17" s="257">
        <x:f>SUM('1:29'!$F$16)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45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SUM('1:29'!$C$18)</x:f>
        <x:v>360</x:v>
      </x:c>
      <x:c r="D19" s="260"/>
      <x:c r="E19" s="261"/>
      <x:c r="F19" s="257">
        <x:f>SUM('1:29'!$F$18)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59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SUM('1:29'!$F$20)</x:f>
        <x:v>1353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2569284</x:v>
      </x:c>
      <x:c r="J23" s="61" t="s">
        <x:v>117</x:v>
      </x:c>
      <x:c r="K23" s="62">
        <x:f>SUM(K4:K22)</x:f>
        <x:v>14300</x:v>
      </x:c>
      <x:c r="M23" s="88" t="s">
        <x:v>91</x:v>
      </x:c>
      <x:c r="N23" s="287">
        <x:f>C5+C6</x:f>
        <x:v>544400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0.49177605512489231</x:v>
      </x:c>
      <x:c r="J24" s="61" t="s">
        <x:v>8</x:v>
      </x:c>
      <x:c r="K24" s="63">
        <x:f>K23/A25</x:f>
        <x:v>0.0027371040290936934</x:v>
      </x:c>
    </x:row>
    <x:row r="25" spans="1:11" ht="34.149999999999999" customHeight="1">
      <x:c r="A25" s="283">
        <x:f>C2</x:f>
        <x:v>5224500</x:v>
      </x:c>
      <x:c r="B25" s="272"/>
      <x:c r="C25" s="272">
        <x:f>E25/I1</x:f>
        <x:v>4866765.5275862077</x:v>
      </x:c>
      <x:c r="D25" s="272"/>
      <x:c r="E25" s="272">
        <x:f>SUM('1:29'!$A$25)</x:f>
        <x:v>141136200.30000001</x:v>
      </x:c>
      <x:c r="F25" s="272"/>
      <x:c r="G25" s="272"/>
      <x:c r="H25" s="107" t="s">
        <x:v>31</x:v>
      </x:c>
      <x:c r="I25" s="108">
        <x:f>SUM('1:29'!$I$23)</x:f>
        <x:v>44892042</x:v>
      </x:c>
      <x:c r="J25" s="61" t="s">
        <x:v>31</x:v>
      </x:c>
      <x:c r="K25" s="62">
        <x:f>SUM('1:29'!$K$23)</x:f>
        <x:v>3936120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0.31807602801107859</x:v>
      </x:c>
      <x:c r="J26" s="64" t="s">
        <x:v>126</x:v>
      </x:c>
      <x:c r="K26" s="65">
        <x:f>K25/$E$25</x:f>
        <x:v>0.027888805222425983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13000*5.25</x:f>
        <x:v>68250</x:v>
      </x:c>
      <x:c r="G27" s="271"/>
      <x:c r="H27" s="111" t="s">
        <x:v>116</x:v>
      </x:c>
      <x:c r="I27" s="112">
        <x:f>SUM(C27:D34,F27:G32)</x:f>
        <x:v>595072.58064516133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13000*10.5</x:f>
        <x:v>136500</x:v>
      </x:c>
      <x:c r="G28" s="275"/>
      <x:c r="H28" s="111" t="s">
        <x:v>8</x:v>
      </x:c>
      <x:c r="I28" s="113">
        <x:f>I27/$A$25</x:f>
        <x:v>0.11390038867741628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SUM('1:29'!$I$27)</x:f>
        <x:v>20160854.838709679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33.879656859423491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1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30</x:v>
      </x:c>
      <x:c r="G1" s="68" t="s">
        <x:v>60</x:v>
      </x:c>
      <x:c r="H1" s="52" t="s">
        <x:v>121</x:v>
      </x:c>
      <x:c r="I1" s="52">
        <x:f>F1-K1</x:f>
        <x:v>30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5226300</x:v>
      </x:c>
      <x:c r="D2" s="312"/>
      <x:c r="E2" s="314" t="s">
        <x:v>38</x:v>
      </x:c>
      <x:c r="F2" s="315"/>
      <x:c r="G2" s="304">
        <x:v>85600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4651900</x:v>
      </x:c>
      <x:c r="D4" s="271"/>
      <x:c r="E4" s="313" t="s">
        <x:v>144</x:v>
      </x:c>
      <x:c r="F4" s="313"/>
      <x:c r="G4" s="133">
        <x:f>INT(C4*0.0275)</x:f>
        <x:v>127927</x:v>
      </x:c>
      <x:c r="H4" s="54" t="s">
        <x:v>20</x:v>
      </x:c>
      <x:c r="I4" s="124">
        <x:v>378312</x:v>
      </x:c>
      <x:c r="J4" s="80" t="s">
        <x:v>34</x:v>
      </x:c>
      <x:c r="K4" s="58">
        <x:v>308000</x:v>
      </x:c>
    </x:row>
    <x:row r="5" spans="1:11" ht="30.949999999999999" customHeight="1">
      <x:c r="A5" s="306" t="s">
        <x:v>59</x:v>
      </x:c>
      <x:c r="B5" s="307"/>
      <x:c r="C5" s="271">
        <x:v>574400</x:v>
      </x:c>
      <x:c r="D5" s="271"/>
      <x:c r="E5" s="262" t="s">
        <x:v>68</x:v>
      </x:c>
      <x:c r="F5" s="262"/>
      <x:c r="G5" s="133">
        <x:f>INT(C5*0.01)</x:f>
        <x:v>5744</x:v>
      </x:c>
      <x:c r="H5" s="54" t="s">
        <x:v>6</x:v>
      </x:c>
      <x:c r="I5" s="124">
        <x:v>423760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570000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445590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90000</x:v>
      </x:c>
      <x:c r="D8" s="271"/>
      <x:c r="E8" s="258" t="s">
        <x:v>108</x:v>
      </x:c>
      <x:c r="F8" s="259"/>
      <x:c r="G8" s="292">
        <x:f>C5+G2-G6-C22</x:f>
        <x:v>90000</x:v>
      </x:c>
      <x:c r="H8" s="54" t="s">
        <x:v>43</x:v>
      </x:c>
      <x:c r="I8" s="124"/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/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/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16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SUM('1:30'!$C$12)</x:f>
        <x:v>299</x:v>
      </x:c>
      <x:c r="D13" s="260"/>
      <x:c r="E13" s="261"/>
      <x:c r="F13" s="290">
        <x:f>SUM('1:30'!$F$12)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0</x:v>
      </x:c>
      <x:c r="D14" s="258" t="s">
        <x:v>93</x:v>
      </x:c>
      <x:c r="E14" s="259"/>
      <x:c r="F14" s="285">
        <x:v>25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SUM('1:30'!$C$14)</x:f>
        <x:v>389</x:v>
      </x:c>
      <x:c r="D15" s="260"/>
      <x:c r="E15" s="261"/>
      <x:c r="F15" s="290">
        <x:f>SUM('1:30'!$F$14)</x:f>
        <x:v>298</x:v>
      </x:c>
      <x:c r="G15" s="291"/>
      <x:c r="H15" s="54" t="s">
        <x:v>104</x:v>
      </x:c>
      <x:c r="I15" s="58">
        <x:v>115550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8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SUM('1:30'!$C$16)</x:f>
        <x:v>125</x:v>
      </x:c>
      <x:c r="D17" s="260"/>
      <x:c r="E17" s="261"/>
      <x:c r="F17" s="257">
        <x:f>SUM('1:30'!$F$16)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32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SUM('1:30'!$C$18)</x:f>
        <x:v>392</x:v>
      </x:c>
      <x:c r="D19" s="260"/>
      <x:c r="E19" s="261"/>
      <x:c r="F19" s="257">
        <x:f>SUM('1:30'!$F$18)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68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SUM('1:30'!$F$20)</x:f>
        <x:v>1421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1363212</x:v>
      </x:c>
      <x:c r="J23" s="61" t="s">
        <x:v>117</x:v>
      </x:c>
      <x:c r="K23" s="62">
        <x:f>SUM(K4:K22)</x:f>
        <x:v>308000</x:v>
      </x:c>
      <x:c r="M23" s="88" t="s">
        <x:v>91</x:v>
      </x:c>
      <x:c r="N23" s="287">
        <x:f>C5+C6</x:f>
        <x:v>574400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0.26083692095746513</x:v>
      </x:c>
      <x:c r="J24" s="61" t="s">
        <x:v>8</x:v>
      </x:c>
      <x:c r="K24" s="63">
        <x:f>K23/A25</x:f>
        <x:v>0.058932705738285213</x:v>
      </x:c>
    </x:row>
    <x:row r="25" spans="1:11" ht="34.149999999999999" customHeight="1">
      <x:c r="A25" s="283">
        <x:f>C2</x:f>
        <x:v>5226300</x:v>
      </x:c>
      <x:c r="B25" s="272"/>
      <x:c r="C25" s="272">
        <x:f>E25/I1</x:f>
        <x:v>4878750.0100000007</x:v>
      </x:c>
      <x:c r="D25" s="272"/>
      <x:c r="E25" s="272">
        <x:f>SUM('1:30'!$A$25)</x:f>
        <x:v>146362500.30000001</x:v>
      </x:c>
      <x:c r="F25" s="272"/>
      <x:c r="G25" s="272"/>
      <x:c r="H25" s="107" t="s">
        <x:v>31</x:v>
      </x:c>
      <x:c r="I25" s="108">
        <x:f>SUM('1:30'!$I$23)</x:f>
        <x:v>46255254</x:v>
      </x:c>
      <x:c r="J25" s="61" t="s">
        <x:v>31</x:v>
      </x:c>
      <x:c r="K25" s="62">
        <x:f>SUM('1:30'!$K$23)</x:f>
        <x:v>4244120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>
        <x:f>I25/$E$25</x:f>
        <x:v>0.31603213873219133</x:v>
      </x:c>
      <x:c r="J26" s="64" t="s">
        <x:v>126</x:v>
      </x:c>
      <x:c r="K26" s="65">
        <x:f>K25/$E$25</x:f>
        <x:v>0.028997318242724772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662822.58064516133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>
        <x:f>13000*10.5</x:f>
        <x:v>136500</x:v>
      </x:c>
      <x:c r="G28" s="275"/>
      <x:c r="H28" s="111" t="s">
        <x:v>8</x:v>
      </x:c>
      <x:c r="I28" s="113">
        <x:f>I27/$A$25</x:f>
        <x:v>0.12682444188913022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SUM('1:30'!$I$27)</x:f>
        <x:v>20823677.419354841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31.416668694488383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>
        <x:v>71000</x:v>
      </x:c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opLeftCell="A2" zoomScale="85" zoomScaleNormal="85" zoomScaleSheetLayoutView="75" workbookViewId="0">
      <x:selection activeCell="K31" activeCellId="0" sqref="K31:K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146</x:v>
      </x:c>
      <x:c r="F1" s="68">
        <x:v>31</x:v>
      </x:c>
      <x:c r="G1" s="68" t="s">
        <x:v>26</x:v>
      </x:c>
      <x:c r="H1" s="52" t="s">
        <x:v>121</x:v>
      </x:c>
      <x:c r="I1" s="52">
        <x:f>F1-K1</x:f>
        <x:v>31</x:v>
      </x:c>
      <x:c r="J1" s="52" t="s">
        <x:v>96</x:v>
      </x:c>
      <x:c r="K1" s="52"/>
    </x:row>
    <x:row r="2" spans="1:11" ht="20.100000000000001" customHeight="1">
      <x:c r="A2" s="308" t="s">
        <x:v>9</x:v>
      </x:c>
      <x:c r="B2" s="309"/>
      <x:c r="C2" s="312">
        <x:f>SUM(C4:D7)</x:f>
        <x:v>5760000</x:v>
      </x:c>
      <x:c r="D2" s="312"/>
      <x:c r="E2" s="314" t="s">
        <x:v>38</x:v>
      </x:c>
      <x:c r="F2" s="315"/>
      <x:c r="G2" s="304">
        <x:v>90000</x:v>
      </x:c>
      <x:c r="H2" s="302" t="s">
        <x:v>6</x:v>
      </x:c>
      <x:c r="I2" s="303"/>
      <x:c r="J2" s="300" t="s">
        <x:v>72</x:v>
      </x:c>
      <x:c r="K2" s="301"/>
    </x:row>
    <x:row r="3" spans="1:11" ht="20.100000000000001" customHeight="1">
      <x:c r="A3" s="310"/>
      <x:c r="B3" s="311"/>
      <x:c r="C3" s="272"/>
      <x:c r="D3" s="272"/>
      <x:c r="E3" s="260"/>
      <x:c r="F3" s="261"/>
      <x:c r="G3" s="305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6" t="s">
        <x:v>22</x:v>
      </x:c>
      <x:c r="B4" s="307"/>
      <x:c r="C4" s="271">
        <x:v>4730200</x:v>
      </x:c>
      <x:c r="D4" s="271"/>
      <x:c r="E4" s="313" t="s">
        <x:v>144</x:v>
      </x:c>
      <x:c r="F4" s="313"/>
      <x:c r="G4" s="133">
        <x:f>INT(C4*0.0275)</x:f>
        <x:v>130080</x:v>
      </x:c>
      <x:c r="H4" s="54" t="s">
        <x:v>20</x:v>
      </x:c>
      <x:c r="I4" s="124">
        <x:f>343992+1276698+452000+678640+391476+10</x:f>
        <x:v>3142816</x:v>
      </x:c>
      <x:c r="J4" s="80" t="s">
        <x:v>34</x:v>
      </x:c>
      <x:c r="K4" s="58"/>
    </x:row>
    <x:row r="5" spans="1:11" ht="30.949999999999999" customHeight="1">
      <x:c r="A5" s="306" t="s">
        <x:v>59</x:v>
      </x:c>
      <x:c r="B5" s="307"/>
      <x:c r="C5" s="271">
        <x:v>1029800</x:v>
      </x:c>
      <x:c r="D5" s="271"/>
      <x:c r="E5" s="262" t="s">
        <x:v>68</x:v>
      </x:c>
      <x:c r="F5" s="262"/>
      <x:c r="G5" s="133">
        <x:f>INT(C5*0.01)</x:f>
        <x:v>10298</x:v>
      </x:c>
      <x:c r="H5" s="54" t="s">
        <x:v>6</x:v>
      </x:c>
      <x:c r="I5" s="124">
        <x:f>29656+60500+29640+50000+16720</x:f>
        <x:v>186516</x:v>
      </x:c>
      <x:c r="J5" s="81"/>
      <x:c r="K5" s="58"/>
    </x:row>
    <x:row r="6" spans="1:11" ht="21.949999999999999" customHeight="1">
      <x:c r="A6" s="296" t="s">
        <x:v>82</x:v>
      </x:c>
      <x:c r="B6" s="297"/>
      <x:c r="C6" s="276"/>
      <x:c r="D6" s="277"/>
      <x:c r="E6" s="258" t="s">
        <x:v>129</x:v>
      </x:c>
      <x:c r="F6" s="259"/>
      <x:c r="G6" s="316">
        <x:v>1065000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8"/>
      <x:c r="B7" s="299"/>
      <x:c r="C7" s="278"/>
      <x:c r="D7" s="279"/>
      <x:c r="E7" s="260"/>
      <x:c r="F7" s="261"/>
      <x:c r="G7" s="305"/>
      <x:c r="H7" s="54" t="s">
        <x:v>23</x:v>
      </x:c>
      <x:c r="I7" s="124">
        <x:v>252600</x:v>
      </x:c>
      <x:c r="J7" s="81" t="s">
        <x:v>114</x:v>
      </x:c>
      <x:c r="K7" s="58"/>
    </x:row>
    <x:row r="8" spans="1:11" ht="21.949999999999999" customHeight="1">
      <x:c r="A8" s="265" t="s">
        <x:v>132</x:v>
      </x:c>
      <x:c r="B8" s="262"/>
      <x:c r="C8" s="271">
        <x:v>55500</x:v>
      </x:c>
      <x:c r="D8" s="271"/>
      <x:c r="E8" s="258" t="s">
        <x:v>108</x:v>
      </x:c>
      <x:c r="F8" s="259"/>
      <x:c r="G8" s="292">
        <x:f>C5+G2-G6-C22</x:f>
        <x:v>54800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5"/>
      <x:c r="B9" s="262"/>
      <x:c r="C9" s="271"/>
      <x:c r="D9" s="271"/>
      <x:c r="E9" s="260"/>
      <x:c r="F9" s="261"/>
      <x:c r="G9" s="293"/>
      <x:c r="H9" s="54"/>
      <x:c r="I9" s="124"/>
      <x:c r="J9" s="54" t="s">
        <x:v>16</x:v>
      </x:c>
      <x:c r="K9" s="58"/>
    </x:row>
    <x:row r="10" spans="1:11" ht="30.949999999999999" customHeight="1">
      <x:c r="A10" s="265" t="s">
        <x:v>141</x:v>
      </x:c>
      <x:c r="B10" s="262"/>
      <x:c r="C10" s="271">
        <x:v>60000</x:v>
      </x:c>
      <x:c r="D10" s="271"/>
      <x:c r="E10" s="262" t="s">
        <x:v>85</x:v>
      </x:c>
      <x:c r="F10" s="262"/>
      <x:c r="G10" s="55"/>
      <x:c r="H10" s="54"/>
      <x:c r="I10" s="124"/>
      <x:c r="J10" s="54" t="s">
        <x:v>51</x:v>
      </x:c>
      <x:c r="K10" s="58"/>
    </x:row>
    <x:row r="11" spans="1:11" ht="33" customHeight="1">
      <x:c r="A11" s="265" t="s">
        <x:v>101</x:v>
      </x:c>
      <x:c r="B11" s="262"/>
      <x:c r="C11" s="284" t="s">
        <x:v>164</x:v>
      </x:c>
      <x:c r="D11" s="284"/>
      <x:c r="E11" s="284"/>
      <x:c r="F11" s="284"/>
      <x:c r="G11" s="28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63" t="s">
        <x:v>40</x:v>
      </x:c>
      <x:c r="C12" s="79">
        <x:v>21</x:v>
      </x:c>
      <x:c r="D12" s="258" t="s">
        <x:v>131</x:v>
      </x:c>
      <x:c r="E12" s="259"/>
      <x:c r="F12" s="285">
        <x:v>0</x:v>
      </x:c>
      <x:c r="G12" s="286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64"/>
      <x:c r="C13" s="134">
        <x:f>SUM('1:31'!$C$12)</x:f>
        <x:v>320</x:v>
      </x:c>
      <x:c r="D13" s="260"/>
      <x:c r="E13" s="261"/>
      <x:c r="F13" s="290">
        <x:f>SUM('1:31'!$F$12)</x:f>
        <x:v>82</x:v>
      </x:c>
      <x:c r="G13" s="291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63" t="s">
        <x:v>62</x:v>
      </x:c>
      <x:c r="C14" s="79">
        <x:v>0</x:v>
      </x:c>
      <x:c r="D14" s="258" t="s">
        <x:v>93</x:v>
      </x:c>
      <x:c r="E14" s="259"/>
      <x:c r="F14" s="285">
        <x:v>17</x:v>
      </x:c>
      <x:c r="G14" s="286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64"/>
      <x:c r="C15" s="134">
        <x:f>SUM('1:31'!$C$14)</x:f>
        <x:v>389</x:v>
      </x:c>
      <x:c r="D15" s="260"/>
      <x:c r="E15" s="261"/>
      <x:c r="F15" s="290">
        <x:f>SUM('1:31'!$F$14)</x:f>
        <x:v>315</x:v>
      </x:c>
      <x:c r="G15" s="291"/>
      <x:c r="H15" s="54" t="s">
        <x:v>104</x:v>
      </x:c>
      <x:c r="I15" s="58">
        <x:v>269400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63" t="s">
        <x:v>49</x:v>
      </x:c>
      <x:c r="C16" s="79">
        <x:v>11</x:v>
      </x:c>
      <x:c r="D16" s="258" t="s">
        <x:v>115</x:v>
      </x:c>
      <x:c r="E16" s="259"/>
      <x:c r="F16" s="266">
        <x:v>0</x:v>
      </x:c>
      <x:c r="G16" s="266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64"/>
      <x:c r="C17" s="134">
        <x:f>SUM('1:31'!$C$16)</x:f>
        <x:v>136</x:v>
      </x:c>
      <x:c r="D17" s="260"/>
      <x:c r="E17" s="261"/>
      <x:c r="F17" s="257">
        <x:f>SUM('1:31'!$F$16)</x:f>
        <x:v>284</x:v>
      </x:c>
      <x:c r="G17" s="257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63" t="s">
        <x:v>89</x:v>
      </x:c>
      <x:c r="C18" s="79">
        <x:v>42</x:v>
      </x:c>
      <x:c r="D18" s="258" t="s">
        <x:v>128</x:v>
      </x:c>
      <x:c r="E18" s="259"/>
      <x:c r="F18" s="294">
        <x:v>0</x:v>
      </x:c>
      <x:c r="G18" s="29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64"/>
      <x:c r="C19" s="134">
        <x:f>SUM('1:31'!$C$18)</x:f>
        <x:v>434</x:v>
      </x:c>
      <x:c r="D19" s="260"/>
      <x:c r="E19" s="261"/>
      <x:c r="F19" s="257">
        <x:f>SUM('1:31'!$F$18)</x:f>
        <x:v>69</x:v>
      </x:c>
      <x:c r="G19" s="25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111</x:v>
      </x:c>
      <x:c r="E20" s="262"/>
      <x:c r="F20" s="266">
        <x:v>77</x:v>
      </x:c>
      <x:c r="G20" s="266"/>
      <x:c r="H20" s="58"/>
      <x:c r="J20" s="54"/>
      <x:c r="K20" s="58"/>
      <x:c r="L20" s="60"/>
      <x:c r="M20" s="11"/>
    </x:row>
    <x:row r="21" spans="4:13" ht="21.949999999999999" customHeight="1">
      <x:c r="D21" s="262" t="s">
        <x:v>112</x:v>
      </x:c>
      <x:c r="E21" s="262"/>
      <x:c r="F21" s="257">
        <x:f>SUM('1:31'!$F$20)</x:f>
        <x:v>1498</x:v>
      </x:c>
      <x:c r="G21" s="257"/>
      <x:c r="H21" s="58"/>
      <x:c r="J21" s="54"/>
      <x:c r="K21" s="58"/>
      <x:c r="L21" s="60"/>
      <x:c r="M21" s="11"/>
    </x:row>
    <x:row r="22" spans="1:13" ht="32.100000000000001" customHeight="1">
      <x:c r="A22" s="265" t="s">
        <x:v>81</x:v>
      </x:c>
      <x:c r="B22" s="262"/>
      <x:c r="C22" s="289"/>
      <x:c r="D22" s="289"/>
      <x:c r="E22" s="289"/>
      <x:c r="F22" s="289"/>
      <x:c r="G22" s="289"/>
      <x:c r="H22" s="54"/>
      <x:c r="J22" s="54"/>
      <x:c r="K22" s="58"/>
      <x:c r="L22" s="60"/>
      <x:c r="M22" s="11"/>
    </x:row>
    <x:row r="23" spans="1:15" ht="34.149999999999999" customHeight="1">
      <x:c r="A23" s="265" t="s">
        <x:v>122</x:v>
      </x:c>
      <x:c r="B23" s="262"/>
      <x:c r="C23" s="320"/>
      <x:c r="D23" s="321"/>
      <x:c r="E23" s="321"/>
      <x:c r="F23" s="321"/>
      <x:c r="G23" s="321"/>
      <x:c r="H23" s="107" t="s">
        <x:v>92</x:v>
      </x:c>
      <x:c r="I23" s="108">
        <x:f>SUM(I4:I22)</x:f>
        <x:v>3916332</x:v>
      </x:c>
      <x:c r="J23" s="61" t="s">
        <x:v>117</x:v>
      </x:c>
      <x:c r="K23" s="62">
        <x:f>SUM(K4:K22)</x:f>
        <x:v>0</x:v>
      </x:c>
      <x:c r="M23" s="88" t="s">
        <x:v>91</x:v>
      </x:c>
      <x:c r="N23" s="287">
        <x:f>C5+C6</x:f>
        <x:v>1029800</x:v>
      </x:c>
      <x:c r="O23" s="288"/>
    </x:row>
    <x:row r="24" spans="1:11" ht="34.149999999999999" customHeight="1">
      <x:c r="A24" s="265" t="s">
        <x:v>8</x:v>
      </x:c>
      <x:c r="B24" s="262"/>
      <x:c r="C24" s="262" t="s">
        <x:v>84</x:v>
      </x:c>
      <x:c r="D24" s="262"/>
      <x:c r="E24" s="262" t="s">
        <x:v>99</x:v>
      </x:c>
      <x:c r="F24" s="262"/>
      <x:c r="G24" s="262"/>
      <x:c r="H24" s="107" t="s">
        <x:v>8</x:v>
      </x:c>
      <x:c r="I24" s="109">
        <x:f>I23/A25</x:f>
        <x:v>0.67991875000000002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83">
        <x:f>C2</x:f>
        <x:v>5760000</x:v>
      </x:c>
      <x:c r="B25" s="272"/>
      <x:c r="C25" s="272" t="e">
        <x:f>E25/I1</x:f>
        <x:v>#REF!</x:v>
      </x:c>
      <x:c r="D25" s="272"/>
      <x:c r="E25" s="272" t="e">
        <x:f>SUM(#REF!)</x:f>
        <x:v>#REF!</x:v>
      </x:c>
      <x:c r="F25" s="272"/>
      <x:c r="G25" s="272"/>
      <x:c r="H25" s="107" t="s">
        <x:v>31</x:v>
      </x:c>
      <x:c r="I25" s="108">
        <x:f>SUM('1:31'!$I$23)</x:f>
        <x:v>50171586</x:v>
      </x:c>
      <x:c r="J25" s="61" t="s">
        <x:v>31</x:v>
      </x:c>
      <x:c r="K25" s="62">
        <x:f>SUM('1:31'!$K$23)</x:f>
        <x:v>4244120</x:v>
      </x:c>
    </x:row>
    <x:row r="26" spans="1:11" ht="34.149999999999999" customHeight="1">
      <x:c r="A26" s="265" t="s">
        <x:v>140</x:v>
      </x:c>
      <x:c r="B26" s="262"/>
      <x:c r="C26" s="262"/>
      <x:c r="D26" s="262"/>
      <x:c r="E26" s="271"/>
      <x:c r="F26" s="271"/>
      <x:c r="G26" s="271"/>
      <x:c r="H26" s="107" t="s">
        <x:v>126</x:v>
      </x:c>
      <x:c r="I26" s="110" t="e">
        <x:f>I25/$E$25</x:f>
        <x:v>#REF!</x:v>
      </x:c>
      <x:c r="J26" s="64" t="s">
        <x:v>126</x:v>
      </x:c>
      <x:c r="K26" s="65" t="e">
        <x:f>K25/$E$25</x:f>
        <x:v>#REF!</x:v>
      </x:c>
    </x:row>
    <x:row r="27" spans="1:13" ht="30.949999999999999" customHeight="1">
      <x:c r="A27" s="317" t="s">
        <x:v>139</x:v>
      </x:c>
      <x:c r="B27" s="54" t="s">
        <x:v>42</x:v>
      </x:c>
      <x:c r="C27" s="272">
        <x:f>3300000/31</x:f>
        <x:v>106451.6129032258</x:v>
      </x:c>
      <x:c r="D27" s="272"/>
      <x:c r="E27" s="55" t="s">
        <x:v>148</x:v>
      </x:c>
      <x:c r="F27" s="271">
        <x:f>13000*5</x:f>
        <x:v>65000</x:v>
      </x:c>
      <x:c r="G27" s="271"/>
      <x:c r="H27" s="111" t="s">
        <x:v>116</x:v>
      </x:c>
      <x:c r="I27" s="112">
        <x:f>SUM(C27:D34,F27:G32)</x:f>
        <x:v>455322.58064516133</x:v>
      </x:c>
      <x:c r="M27" s="66"/>
    </x:row>
    <x:row r="28" spans="1:13" ht="30.949999999999999" customHeight="1">
      <x:c r="A28" s="318"/>
      <x:c r="B28" s="54" t="s">
        <x:v>39</x:v>
      </x:c>
      <x:c r="C28" s="273">
        <x:f>4000000/31</x:f>
        <x:v>129032.25806451614</x:v>
      </x:c>
      <x:c r="D28" s="274"/>
      <x:c r="E28" s="148" t="s">
        <x:v>21</x:v>
      </x:c>
      <x:c r="F28" s="275"/>
      <x:c r="G28" s="275"/>
      <x:c r="H28" s="111" t="s">
        <x:v>8</x:v>
      </x:c>
      <x:c r="I28" s="113">
        <x:f>I27/$A$25</x:f>
        <x:v>0.07904905913978495</x:v>
      </x:c>
      <x:c r="M28" s="66"/>
    </x:row>
    <x:row r="29" spans="1:13" ht="30.949999999999999" customHeight="1">
      <x:c r="A29" s="318"/>
      <x:c r="B29" s="54" t="s">
        <x:v>45</x:v>
      </x:c>
      <x:c r="C29" s="272">
        <x:f>3300000/31</x:f>
        <x:v>106451.6129032258</x:v>
      </x:c>
      <x:c r="D29" s="272"/>
      <x:c r="E29" s="55" t="s">
        <x:v>55</x:v>
      </x:c>
      <x:c r="F29" s="271"/>
      <x:c r="G29" s="271"/>
      <x:c r="H29" s="111" t="s">
        <x:v>31</x:v>
      </x:c>
      <x:c r="I29" s="112">
        <x:f>SUM('1:31'!$I$27)</x:f>
        <x:v>21279000.000000004</x:v>
      </x:c>
      <x:c r="M29" s="66"/>
    </x:row>
    <x:row r="30" spans="1:13" ht="30.949999999999999" customHeight="1">
      <x:c r="A30" s="318"/>
      <x:c r="B30" s="55" t="s">
        <x:v>150</x:v>
      </x:c>
      <x:c r="C30" s="272">
        <x:f>1500000/31</x:f>
        <x:v>48387.096774193546</x:v>
      </x:c>
      <x:c r="D30" s="272"/>
      <x:c r="E30" s="55" t="s">
        <x:v>55</x:v>
      </x:c>
      <x:c r="F30" s="269"/>
      <x:c r="G30" s="270"/>
      <x:c r="H30" s="111" t="s">
        <x:v>126</x:v>
      </x:c>
      <x:c r="I30" s="113">
        <x:f>I29/$I$27</x:f>
        <x:v>46.733900106269928</x:v>
      </x:c>
      <x:c r="M30" s="66"/>
    </x:row>
    <x:row r="31" spans="1:7" customHeight="1">
      <x:c r="A31" s="318"/>
      <x:c r="B31" s="147"/>
      <x:c r="C31" s="267"/>
      <x:c r="D31" s="268"/>
      <x:c r="E31" s="55" t="s">
        <x:v>4</x:v>
      </x:c>
      <x:c r="F31" s="269"/>
      <x:c r="G31" s="270"/>
    </x:row>
    <x:row r="32" spans="1:7" customHeight="1">
      <x:c r="A32" s="318"/>
      <x:c r="B32" s="147"/>
      <x:c r="C32" s="267"/>
      <x:c r="D32" s="268"/>
      <x:c r="E32" s="55" t="s">
        <x:v>136</x:v>
      </x:c>
      <x:c r="F32" s="269"/>
      <x:c r="G32" s="270"/>
    </x:row>
    <x:row r="33" spans="1:4" customHeight="1">
      <x:c r="A33" s="318"/>
      <x:c r="B33" s="54"/>
      <x:c r="C33" s="267"/>
      <x:c r="D33" s="268"/>
    </x:row>
    <x:row r="34" spans="1:4" customHeight="1">
      <x:c r="A34" s="319"/>
      <x:c r="B34" s="54"/>
      <x:c r="C34" s="269"/>
      <x:c r="D34" s="270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3:D33"/>
    <x:mergeCell ref="C34:D34"/>
    <x:mergeCell ref="C30:D30"/>
    <x:mergeCell ref="F30:G30"/>
    <x:mergeCell ref="C31:D31"/>
    <x:mergeCell ref="F31:G31"/>
    <x:mergeCell ref="C32:D32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195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26</cp:revision>
  <cp:lastPrinted>2020-08-02T09:11:11.000</cp:lastPrinted>
  <dcterms:created xsi:type="dcterms:W3CDTF">2017-10-12T05:43:00.000</dcterms:created>
  <dcterms:modified xsi:type="dcterms:W3CDTF">2026-04-27T17:19:16.677</dcterms:modified>
  <cp:version>1000.0100.01</cp:version>
</cp:coreProperties>
</file>