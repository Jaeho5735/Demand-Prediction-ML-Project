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0.xml" ContentType="application/vnd.openxmlformats-officedocument.drawingml.chart+xml"/>
  <Override PartName="/xl/drawings/drawing0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현재_통합_문서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Demand_prediction_MLproject\xlxs\"/>
    </mc:Choice>
  </mc:AlternateContent>
  <x:bookViews>
    <x:workbookView xWindow="0" yWindow="0" windowWidth="13965" windowHeight="11715" firstSheet="24" activeTab="2"/>
  </x:bookViews>
  <x:sheets>
    <x:sheet name="월합산" sheetId="1" state="hidden" r:id="rId4"/>
    <x:sheet name="결산" sheetId="2" r:id="rId5"/>
    <x:sheet name="1" sheetId="3" r:id="rId6"/>
    <x:sheet name="2" sheetId="4" r:id="rId7"/>
    <x:sheet name="3" sheetId="5" r:id="rId8"/>
    <x:sheet name="4" sheetId="6" r:id="rId9"/>
    <x:sheet name="5" sheetId="7" r:id="rId10"/>
    <x:sheet name="6" sheetId="8" r:id="rId11"/>
    <x:sheet name="7" sheetId="9" r:id="rId12"/>
    <x:sheet name="8" sheetId="10" r:id="rId13"/>
    <x:sheet name="9" sheetId="11" r:id="rId14"/>
    <x:sheet name="10" sheetId="12" r:id="rId15"/>
    <x:sheet name="11" sheetId="13" r:id="rId16"/>
    <x:sheet name="12" sheetId="14" r:id="rId17"/>
    <x:sheet name="13" sheetId="15" r:id="rId18"/>
    <x:sheet name="14" sheetId="16" r:id="rId19"/>
    <x:sheet name="15" sheetId="17" r:id="rId20"/>
    <x:sheet name="16" sheetId="18" r:id="rId21"/>
    <x:sheet name="17" sheetId="19" r:id="rId22"/>
    <x:sheet name="18" sheetId="20" r:id="rId23"/>
    <x:sheet name="19" sheetId="21" r:id="rId24"/>
    <x:sheet name="20" sheetId="22" r:id="rId25"/>
    <x:sheet name="21" sheetId="23" r:id="rId26"/>
    <x:sheet name="22" sheetId="24" r:id="rId27"/>
    <x:sheet name="23" sheetId="25" r:id="rId28"/>
    <x:sheet name="24" sheetId="26" r:id="rId29"/>
    <x:sheet name="25" sheetId="27" r:id="rId30"/>
    <x:sheet name="26" sheetId="28" r:id="rId31"/>
    <x:sheet name="27" sheetId="29" r:id="rId32"/>
    <x:sheet name="28" sheetId="30" r:id="rId33"/>
    <x:sheet name="29" sheetId="31" r:id="rId34"/>
    <x:sheet name="30" sheetId="32" r:id="rId35"/>
    <x:sheet name="31" sheetId="33" r:id="rId36"/>
    <x:sheet name="Chart1" sheetId="34" state="hidden" r:id="rId37"/>
  </x:sheets>
  <x:definedNames>
    <x:definedName name="_xlnm.Print_Area" localSheetId="18">'17'!$A$1:$O$34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<x:sst xmlns:r="http://schemas.openxmlformats.org/officeDocument/2006/relationships" xmlns:c="http://schemas.openxmlformats.org/drawingml/2006/chart" xmlns:x="http://schemas.openxmlformats.org/spreadsheetml/2006/main" count="2924" uniqueCount="162">
  <x:si>
    <x:t>천</x:t>
  </x:si>
  <x:si>
    <x:t>항목</x:t>
  </x:si>
  <x:si>
    <x:t>입금</x:t>
  </x:si>
  <x:si>
    <x:t>마케팅</x:t>
  </x:si>
  <x:si>
    <x:t>매출액</x:t>
  </x:si>
  <x:si>
    <x:t>금액</x:t>
  </x:si>
  <x:si>
    <x:t>수도</x:t>
  </x:si>
  <x:si>
    <x:t>목</x:t>
  </x:si>
  <x:si>
    <x:t>목살</x:t>
  </x:si>
  <x:si>
    <x:t>토</x:t>
  </x:si>
  <x:si>
    <x:t>파출</x:t>
  </x:si>
  <x:si>
    <x:t>주류</x:t>
  </x:si>
  <x:si>
    <x:t>알바C</x:t>
  </x:si>
  <x:si>
    <x:t>시제</x:t>
  </x:si>
  <x:si>
    <x:t>쌀</x:t>
  </x:si>
  <x:si>
    <x:t>합계</x:t>
  </x:si>
  <x:si>
    <x:t>만</x:t>
  </x:si>
  <x:si>
    <x:t>직원A</x:t>
  </x:si>
  <x:si>
    <x:t>막걸리</x:t>
  </x:si>
  <x:si>
    <x:t>고기</x:t>
  </x:si>
  <x:si>
    <x:t>시재</x:t>
  </x:si>
  <x:si>
    <x:t>개수</x:t>
  </x:si>
  <x:si>
    <x:t>오백</x:t>
  </x:si>
  <x:si>
    <x:t>발매트</x:t>
  </x:si>
  <x:si>
    <x:t>숯</x:t>
  </x:si>
  <x:si>
    <x:t>화</x:t>
  </x:si>
  <x:si>
    <x:t>월</x:t>
  </x:si>
  <x:si>
    <x:t>고정비</x:t>
  </x:si>
  <x:si>
    <x:t>직원F</x:t>
  </x:si>
  <x:si>
    <x:t>껍데기</x:t>
  </x:si>
  <x:si>
    <x:t>금</x:t>
  </x:si>
  <x:si>
    <x:t>짱</x:t>
  </x:si>
  <x:si>
    <x:t>유진</x:t>
  </x:si>
  <x:si>
    <x:t>수</x:t>
  </x:si>
  <x:si>
    <x:t>1월</x:t>
  </x:si>
  <x:si>
    <x:t>ㅑ</x:t>
  </x:si>
  <x:si>
    <x:t>업체</x:t>
  </x:si>
  <x:si>
    <x:t>알바B</x:t>
  </x:si>
  <x:si>
    <x:t>직원D</x:t>
  </x:si>
  <x:si>
    <x:t>ㄴ</x:t>
  </x:si>
  <x:si>
    <x:t>선결제</x:t>
  </x:si>
  <x:si>
    <x:t>카드</x:t>
  </x:si>
  <x:si>
    <x:t>배달</x:t>
  </x:si>
  <x:si>
    <x:t>백이하</x:t>
  </x:si>
  <x:si>
    <x:t>세무사</x:t>
  </x:si>
  <x:si>
    <x:t>포스</x:t>
  </x:si>
  <x:si>
    <x:t>총비용</x:t>
  </x:si>
  <x:si>
    <x:t>F</x:t>
  </x:si>
  <x:si>
    <x:t>전기세</x:t>
  </x:si>
  <x:si>
    <x:t>`</x:t>
  </x:si>
  <x:si>
    <x:t>매출</x:t>
  </x:si>
  <x:si>
    <x:t>육회</x:t>
  </x:si>
  <x:si>
    <x:t>현금</x:t>
  </x:si>
  <x:si>
    <x:t>인터넷</x:t>
  </x:si>
  <x:si>
    <x:t>식자재</x:t>
  </x:si>
  <x:si>
    <x:t>목표일매출</x:t>
  </x:si>
  <x:si>
    <x:t>매출누계</x:t>
  </x:si>
  <x:si>
    <x:t>현금매출</x:t>
  </x:si>
  <x:si>
    <x:t>부탄가스</x:t>
  </x:si>
  <x:si>
    <x:t>출금내역</x:t>
  </x:si>
  <x:si>
    <x:t>배달료누계</x:t>
  </x:si>
  <x:si>
    <x:t>깍두기,계란</x:t>
  </x:si>
  <x:si>
    <x:t>누적총매출</x:t>
  </x:si>
  <x:si>
    <x:t>종량재봉투</x:t>
  </x:si>
  <x:si>
    <x:t>식자재2</x:t>
  </x:si>
  <x:si>
    <x:t>할인금액</x:t>
  </x:si>
  <x:si>
    <x:t>손익분기점</x:t>
  </x:si>
  <x:si>
    <x:t>누적매출</x:t>
  </x:si>
  <x:si>
    <x:t>전   월</x:t>
  </x:si>
  <x:si>
    <x:t>인건비합계</x:t>
  </x:si>
  <x:si>
    <x:t>기타경비합계</x:t>
  </x:si>
  <x:si>
    <x:t>쿠쿠(블루문)</x:t>
  </x:si>
  <x:si>
    <x:t>고정비용</x:t>
  </x:si>
  <x:si>
    <x:t>돼지양념갈비</x:t>
  </x:si>
  <x:si>
    <x:t>페이결제</x:t>
  </x:si>
  <x:si>
    <x:t>입금내역</x:t>
  </x:si>
  <x:si>
    <x:t>소     계</x:t>
  </x:si>
  <x:si>
    <x:t>항목별 소계</x:t>
  </x:si>
  <x:si>
    <x:t>4대보험료</x:t>
  </x:si>
  <x:si>
    <x:t>홀 파출</x:t>
  </x:si>
  <x:si>
    <x:t>슈퍼 멤버스</x:t>
  </x:si>
  <x:si>
    <x:t>돼지세트</x:t>
  </x:si>
  <x:si>
    <x:t>매출 비율</x:t>
  </x:si>
  <x:si>
    <x:t>양념소갈비</x:t>
  </x:si>
  <x:si>
    <x:t>뼈삼겹살</x:t>
  </x:si>
  <x:si>
    <x:t>돼지껍데기</x:t>
  </x:si>
  <x:si>
    <x:t>일평균매출</x:t>
  </x:si>
  <x:si>
    <x:t>변동비율</x:t>
  </x:si>
  <x:si>
    <x:t>세후이익</x:t>
  </x:si>
  <x:si>
    <x:t>휴무일수</x:t>
  </x:si>
  <x:si>
    <x:t>1월 테이블수</x:t>
  </x:si>
  <x:si>
    <x:t>e-식권</x:t>
  </x:si>
  <x:si>
    <x:t>코카콜라음료</x:t>
  </x:si>
  <x:si>
    <x:t>페이매출</x:t>
  </x:si>
  <x:si>
    <x:t>합    계</x:t>
  </x:si>
  <x:si>
    <x:t>식자재합계</x:t>
  </x:si>
  <x:si>
    <x:t>실영업일수</x:t>
  </x:si>
  <x:si>
    <x:t>다이소 구매</x:t>
  </x:si>
  <x:si>
    <x:t>금고 실잔액</x:t>
  </x:si>
  <x:si>
    <x:t>음식물스티커</x:t>
  </x:si>
  <x:si>
    <x:t>세금부가세</x:t>
  </x:si>
  <x:si>
    <x:t>카드할인</x:t>
  </x:si>
  <x:si>
    <x:t>현금합계</x:t>
  </x:si>
  <x:si>
    <x:t>세전이익</x:t>
  </x:si>
  <x:si>
    <x:t>코카콜라</x:t>
  </x:si>
  <x:si>
    <x:t>인터넷 주문</x:t>
  </x:si>
  <x:si>
    <x:t>종량제봉투</x:t>
  </x:si>
  <x:si>
    <x:t>소갈비살</x:t>
  </x:si>
  <x:si>
    <x:t>테이블수</x:t>
  </x:si>
  <x:si>
    <x:t>영업일수</x:t>
  </x:si>
  <x:si>
    <x:t>중간입금</x:t>
  </x:si>
  <x:si>
    <x:t>변동비용</x:t>
  </x:si>
  <x:si>
    <x:t>카드매출</x:t>
  </x:si>
  <x:si>
    <x:t>인
건
비</x:t>
  </x:si>
  <x:si>
    <x:t>마감잔금</x:t>
  </x:si>
  <x:si>
    <x:t>할인내역</x:t>
  </x:si>
  <x:si>
    <x:t>금고잔액</x:t>
  </x:si>
  <x:si>
    <x:t>통장입금</x:t>
  </x:si>
  <x:si>
    <x:t>항목 비율</x:t>
  </x:si>
  <x:si>
    <x:t>화재보험</x:t>
  </x:si>
  <x:si>
    <x:t>현금할인</x:t>
  </x:si>
  <x:si>
    <x:t>중간출금</x:t>
  </x:si>
  <x:si>
    <x:t>2026년</x:t>
  </x:si>
  <x:si>
    <x:t>슈퍼멤버스</x:t>
  </x:si>
  <x:si>
    <x:t>매출대비 비율</x:t>
  </x:si>
  <x:si>
    <x:t>불판세척</x:t>
  </x:si>
  <x:si>
    <x:t>종합소득세</x:t>
  </x:si>
  <x:si>
    <x:t>목표월매출</x:t>
  </x:si>
  <x:si>
    <x:t>누적테이블</x:t>
  </x:si>
  <x:si>
    <x:t>퇴직금(10%)</x:t>
  </x:si>
  <x:si>
    <x:t>손익분기점 매출액</x:t>
  </x:si>
  <x:si>
    <x:t>월   합  산</x:t>
  </x:si>
  <x:si>
    <x:t>현금수수료 (1%)</x:t>
  </x:si>
  <x:si>
    <x:t>비품 및 
기타경비</x:t>
  </x:si>
  <x:si>
    <x:t>비       고</x:t>
  </x:si>
  <x:si>
    <x:t>take
out</x:t>
  </x:si>
  <x:si>
    <x:t>현금수수료(1%)</x:t>
  </x:si>
  <x:si>
    <x:t>손익분기점 매출액 X</x:t>
  </x:si>
  <x:si>
    <x:t>선결제 + 슈퍼멤버스</x:t>
  </x:si>
  <x:si>
    <x:t>마  감  잔  금</x:t>
  </x:si>
  <x:si>
    <x:t>선결제,계좌이체</x:t>
  </x:si>
  <x:si>
    <x:t>슈퍼멤버스 + 선결제</x:t>
  </x:si>
  <x:si>
    <x:t>e-식권, 슈퍼멤버스</x:t>
  </x:si>
  <x:si>
    <x:t>비품 및 기타경비</x:t>
  </x:si>
  <x:si>
    <x:t>변동비</x:t>
  </x:si>
  <x:si>
    <x:t>일</x:t>
  </x:si>
  <x:si>
    <x:t>V/S</x:t>
  </x:si>
  <x:si>
    <x:t>알바X</x:t>
  </x:si>
  <x:si>
    <x:t>급여</x:t>
  </x:si>
  <x:si>
    <x:t>잔금</x:t>
  </x:si>
  <x:si>
    <x:t>총매출</x:t>
  </x:si>
  <x:si>
    <x:t>참기름</x:t>
  </x:si>
  <x:si>
    <x:t>일매출</x:t>
  </x:si>
  <x:si>
    <x:t>가스비</x:t>
  </x:si>
  <x:si>
    <x:t>뚝배기</x:t>
  </x:si>
  <x:si>
    <x:t>월세</x:t>
  </x:si>
  <x:si>
    <x:t>누계</x:t>
  </x:si>
  <x:si>
    <x:t>V</x:t>
  </x:si>
  <x:si>
    <x:t>S</x:t>
  </x:si>
  <x:si>
    <x:t>X=F/(1-(V/S))</x:t>
  </x:si>
  <x:si>
    <x:t>카드수수료(2.75%)</x:t>
  </x:si>
  <x:si>
    <x:t>직원C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</x:si>
</x:sst>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5">
    <x:numFmt numFmtId="164" formatCode="0.0%"/>
    <x:numFmt numFmtId="165" formatCode="#,##0_ "/>
    <x:numFmt numFmtId="166" formatCode="#,##0.00_ "/>
    <x:numFmt numFmtId="167" formatCode="_-* #,##0_-;\-* #,##0_-;_-* &quot;-&quot;???_-;_-@_-"/>
    <x:numFmt numFmtId="168" formatCode="&quot;₩&quot;#,##0_);[Red]\(&quot;₩&quot;#,##0\)"/>
  </x:numFmts>
  <x:fonts count="2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배달의민족 도현"/>
      <x:sz val="10"/>
      <x:color rgb="ff000000"/>
    </x:font>
    <x:font>
      <x:name val="맑은 고딕"/>
      <x:sz val="11"/>
      <x:color rgb="ff000000"/>
      <x:b val="1"/>
    </x:font>
    <x:font>
      <x:name val="맑은 고딕"/>
      <x:sz val="14"/>
      <x:color rgb="ff000000"/>
      <x:b val="1"/>
    </x:font>
    <x:font>
      <x:name val="맑은 고딕"/>
      <x:sz val="14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c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c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d0d0d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d0d0d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배달의민족 도현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배달의민족 도현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배달의민족 도현"/>
          <x:sz val="24"/>
          <x:color rgb="ff000000"/>
          <hs:size val="100"/>
          <hs:ratio val="100"/>
          <hs:spacing val="0"/>
          <hs:offset val="0"/>
        </x:font>
      </mc:Choice>
      <mc:Fallback>
        <x:font>
          <x:name val="배달의민족 도현"/>
          <x:sz val="24"/>
          <x:color rgb="ff000000"/>
        </x:font>
      </mc:Fallback>
    </mc:AlternateContent>
  </x:fonts>
  <x:fills count="9">
    <x:fill>
      <x:patternFill patternType="none"/>
    </x:fill>
    <x:fill>
      <x:patternFill patternType="gray125"/>
    </x:fill>
    <x:fill>
      <x:patternFill patternType="solid">
        <x:fgColor rgb="ffe6b8b7"/>
        <x:bgColor indexed="64"/>
      </x:patternFill>
    </x:fill>
    <x:fill>
      <x:patternFill patternType="solid">
        <x:fgColor rgb="ff8cb3e4"/>
        <x:bgColor indexed="64"/>
      </x:patternFill>
    </x:fill>
    <x:fill>
      <x:patternFill patternType="solid">
        <x:fgColor rgb="fffadb8e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b7dee8"/>
        <x:bgColor indexed="64"/>
      </x:patternFill>
    </x:fill>
    <x:fill>
      <x:patternFill patternType="solid">
        <x:fgColor rgb="ff92cddd"/>
        <x:bgColor indexed="64"/>
      </x:patternFill>
    </x:fill>
  </x:fills>
  <x:borders count="75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medium">
        <x:color auto="1"/>
      </x:right>
      <x:top style="hair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hair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>
        <x:color auto="1"/>
      </x:right>
      <x:top style="hair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</x:borders>
  <x:cellStyleXfs count="4">
    <x:xf numFmtId="0" fontId="0" fillId="0" borderId="0">
      <x:alignment horizontal="general" vertical="center"/>
    </x:xf>
    <x:xf numFmtId="9" fontId="0" fillId="0" borderId="0" applyFont="1" applyFill="1" applyBorder="1" applyAlignment="1" applyProtection="1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41" fontId="0" fillId="0" borderId="0">
      <x:alignment horizontal="general" vertical="center"/>
    </x:xf>
  </x:cellStyleXfs>
  <x:cellXfs count="365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" xfId="2" applyNumberFormat="1" applyFont="1" applyBorder="1" applyAlignment="1">
          <x:alignment horizontal="center" vertical="center"/>
        </x:xf>
      </mc:Fallback>
    </mc:AlternateContent>
    <x:xf numFmtId="0" fontId="7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x:xf numFmtId="41" fontId="0" fillId="0" borderId="1" xfId="2" applyNumberFormat="1" applyBorder="1">
      <x:alignment horizontal="general" vertical="center"/>
    </x:xf>
    <x:xf numFmtId="164" fontId="0" fillId="0" borderId="8" xfId="1" applyNumberFormat="1" applyBorder="1">
      <x:alignment horizontal="general" vertical="center"/>
    </x:xf>
    <x:xf numFmtId="0" fontId="0" fillId="0" borderId="1" xfId="0" applyNumberFormat="1" applyBorder="1">
      <x:alignment horizontal="general" vertical="center"/>
    </x:xf>
    <x:xf numFmtId="165" fontId="0" fillId="0" borderId="1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0" fillId="0" borderId="9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9" xfId="1" applyNumberFormat="1" applyBorder="1" applyAlignment="1">
          <x:alignment horizontal="center" vertical="center"/>
        </x:xf>
      </mc:Fallback>
    </mc:AlternateContent>
    <x:xf numFmtId="164" fontId="8" fillId="0" borderId="9" xfId="1" applyNumberFormat="1" applyFont="1" applyBorder="1">
      <x:alignment horizontal="general" vertical="center"/>
    </x:xf>
    <x:xf numFmtId="164" fontId="9" fillId="0" borderId="10" xfId="1" applyNumberFormat="1" applyFont="1" applyBorder="1">
      <x:alignment horizontal="general" vertical="center"/>
    </x:xf>
    <x:xf numFmtId="0" fontId="1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3" xfId="0" applyNumberFormat="1" applyFont="1" applyBorder="1" applyAlignment="1">
          <x:alignment horizontal="center" vertical="center"/>
        </x:xf>
      </mc:Fallback>
    </mc:AlternateContent>
    <x:xf numFmtId="41" fontId="12" fillId="0" borderId="14" xfId="2" applyNumberFormat="1" applyFont="1" applyBorder="1">
      <x:alignment horizontal="general" vertical="center"/>
    </x:xf>
    <x:xf numFmtId="41" fontId="12" fillId="0" borderId="15" xfId="2" applyNumberFormat="1" applyFont="1" applyBorder="1">
      <x:alignment horizontal="general" vertical="center"/>
    </x:xf>
    <x:xf numFmtId="41" fontId="10" fillId="0" borderId="16" xfId="2" applyNumberFormat="1" applyFont="1" applyBorder="1">
      <x:alignment horizontal="general" vertical="center"/>
    </x:xf>
    <x:xf numFmtId="165" fontId="13" fillId="0" borderId="17" xfId="0" applyNumberFormat="1" applyFont="1" applyBorder="1">
      <x:alignment horizontal="general" vertical="center"/>
    </x:xf>
    <x:xf numFmtId="164" fontId="13" fillId="0" borderId="18" xfId="1" applyNumberFormat="1" applyFont="1" applyBorder="1">
      <x:alignment horizontal="general" vertical="center"/>
    </x:xf>
    <x:xf numFmtId="164" fontId="13" fillId="0" borderId="19" xfId="1" applyNumberFormat="1" applyFont="1" applyBorder="1">
      <x:alignment horizontal="general" vertical="center"/>
    </x:xf>
    <x:xf numFmtId="41" fontId="12" fillId="0" borderId="7" xfId="2" applyNumberFormat="1" applyFont="1" applyBorder="1">
      <x:alignment horizontal="general" vertical="center"/>
    </x:xf>
    <x:xf numFmtId="41" fontId="12" fillId="0" borderId="1" xfId="2" applyNumberFormat="1" applyFont="1" applyBorder="1">
      <x:alignment horizontal="general" vertical="center"/>
    </x:xf>
    <x:xf numFmtId="165" fontId="13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2" fillId="0" borderId="8" xfId="2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8" xfId="2" applyNumberFormat="1" applyFont="1" applyBorder="1" applyAlignment="1">
          <x:alignment horizontal="right" vertical="center"/>
        </x:xf>
      </mc:Fallback>
    </mc:AlternateContent>
    <x:xf numFmtId="165" fontId="13" fillId="0" borderId="2" xfId="0" applyNumberFormat="1" applyFont="1" applyBorder="1">
      <x:alignment horizontal="general" vertical="center"/>
    </x:xf>
    <x:xf numFmtId="164" fontId="13" fillId="0" borderId="20" xfId="1" applyNumberFormat="1" applyFont="1" applyBorder="1">
      <x:alignment horizontal="general" vertical="center"/>
    </x:xf>
    <x:xf numFmtId="41" fontId="12" fillId="0" borderId="8" xfId="2" applyNumberFormat="1" applyFont="1" applyBorder="1">
      <x:alignment horizontal="general" vertical="center"/>
    </x:xf>
    <x:xf numFmtId="164" fontId="13" fillId="0" borderId="21" xfId="1" applyNumberFormat="1" applyFont="1" applyBorder="1">
      <x:alignment horizontal="general" vertical="center"/>
    </x:xf>
    <x:xf numFmtId="164" fontId="13" fillId="0" borderId="8" xfId="1" applyNumberFormat="1" applyFont="1" applyBorder="1">
      <x:alignment horizontal="general" vertical="center"/>
    </x:xf>
    <x:xf numFmtId="10" fontId="12" fillId="0" borderId="8" xfId="2" applyNumberFormat="1" applyFont="1" applyBorder="1">
      <x:alignment horizontal="general" vertical="center"/>
    </x:xf>
    <x:xf numFmtId="41" fontId="14" fillId="0" borderId="22" xfId="2" applyNumberFormat="1" applyFont="1" applyBorder="1">
      <x:alignment horizontal="general" vertical="center"/>
    </x:xf>
    <x:xf numFmtId="41" fontId="14" fillId="0" borderId="2" xfId="2" applyNumberFormat="1" applyFont="1" applyBorder="1">
      <x:alignment horizontal="general" vertical="center"/>
    </x:xf>
    <x:xf numFmtId="41" fontId="14" fillId="0" borderId="20" xfId="2" applyNumberFormat="1" applyFont="1" applyBorder="1">
      <x:alignment horizontal="general" vertical="center"/>
    </x:xf>
    <x:xf numFmtId="165" fontId="13" fillId="0" borderId="23" xfId="0" applyNumberFormat="1" applyFont="1" applyBorder="1">
      <x:alignment horizontal="general" vertical="center"/>
    </x:xf>
    <x:xf numFmtId="164" fontId="13" fillId="0" borderId="24" xfId="1" applyNumberFormat="1" applyFont="1" applyBorder="1">
      <x:alignment horizontal="general" vertical="center"/>
    </x:xf>
    <x:xf numFmtId="165" fontId="13" fillId="0" borderId="25" xfId="0" applyNumberFormat="1" applyFont="1" applyBorder="1">
      <x:alignment horizontal="general" vertical="center"/>
    </x:xf>
    <x:xf numFmtId="164" fontId="13" fillId="0" borderId="25" xfId="1" applyNumberFormat="1" applyFont="1" applyBorder="1">
      <x:alignment horizontal="general" vertical="center"/>
    </x:xf>
    <x:xf numFmtId="164" fontId="13" fillId="0" borderId="2" xfId="1" applyNumberFormat="1" applyFont="1" applyBorder="1">
      <x:alignment horizontal="general" vertical="center"/>
    </x:xf>
    <x:xf numFmtId="0" fontId="15" fillId="0" borderId="26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NumberFormat="1" applyFont="1" applyAlignment="1">
          <x:alignment horizontal="center" vertical="center"/>
        </x:xf>
      </mc:Fallback>
    </mc:AlternateContent>
    <x:xf numFmtId="0" fontId="15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" xfId="0" applyNumberFormat="1" applyFont="1" applyBorder="1" applyAlignment="1">
          <x:alignment horizontal="center" vertical="center"/>
        </x:xf>
      </mc:Fallback>
    </mc:AlternateContent>
    <x:xf numFmtId="41" fontId="15" fillId="0" borderId="8" xfId="2" applyNumberFormat="1" applyFont="1" applyBorder="1">
      <x:alignment horizontal="general" vertical="center"/>
    </x:xf>
    <x:xf numFmtId="0" fontId="15" fillId="0" borderId="1" xfId="0" applyNumberFormat="1" applyFont="1" applyBorder="1" applyAlignment="1">
      <x:alignment horizontal="left" vertical="center"/>
    </x:xf>
    <x:xf numFmtId="41" fontId="7" fillId="0" borderId="0" xfId="3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" xfId="0" applyNumberFormat="1" applyFont="1" applyFill="1" applyBorder="1" applyAlignment="1">
          <x:alignment horizontal="center" vertical="center"/>
        </x:xf>
      </mc:Fallback>
    </mc:AlternateContent>
    <x:xf numFmtId="41" fontId="15" fillId="2" borderId="8" xfId="2" applyNumberFormat="1" applyFont="1" applyFill="1" applyBorder="1">
      <x:alignment horizontal="general" vertical="center"/>
    </x:xf>
    <x:xf numFmtId="9" fontId="15" fillId="2" borderId="8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15" fillId="2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5" fillId="2" borderId="20" xfId="0" applyNumberFormat="1" applyFont="1" applyFill="1" applyBorder="1" applyAlignment="1">
          <x:alignment horizontal="right" vertical="center"/>
        </x:xf>
      </mc:Fallback>
    </mc:AlternateContent>
    <x:xf numFmtId="41" fontId="15" fillId="0" borderId="0" xfId="2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6" xfId="0" applyNumberFormat="1" applyFont="1" applyBorder="1" applyAlignment="1">
          <x:alignment horizontal="center" vertical="center"/>
        </x:xf>
      </mc:Fallback>
    </mc:AlternateContent>
    <x:xf numFmtId="0" fontId="0" fillId="0" borderId="0" xfId="0" applyNumberFormat="1" applyAlignment="1">
      <x:alignment horizontal="general" vertical="top" wrapText="1"/>
    </x:xf>
    <x:xf numFmtId="164" fontId="0" fillId="0" borderId="27" xfId="1" applyNumberFormat="1" applyBorder="1">
      <x:alignment horizontal="general" vertical="center"/>
    </x:xf>
    <x:xf numFmtId="164" fontId="0" fillId="0" borderId="23" xfId="1" applyNumberFormat="1" applyBorder="1">
      <x:alignment horizontal="general" vertical="center"/>
    </x:xf>
    <x:xf numFmtId="164" fontId="0" fillId="0" borderId="2" xfId="1" applyNumberFormat="1" applyBorder="1">
      <x:alignment horizontal="general" vertical="center"/>
    </x:xf>
    <x:xf numFmtId="164" fontId="13" fillId="0" borderId="28" xfId="1" applyNumberFormat="1" applyFont="1" applyBorder="1">
      <x:alignment horizontal="general" vertical="center"/>
    </x:xf>
    <x:xf numFmtId="0" fontId="10" fillId="0" borderId="8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top" wrapText="1"/>
        </x:xf>
      </mc:Fallback>
    </mc:AlternateContent>
    <x:xf numFmtId="164" fontId="13" fillId="0" borderId="23" xfId="1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0" applyNumberFormat="1" applyFont="1" applyBorder="1" applyAlignment="1">
          <x:alignment horizontal="center" vertical="center"/>
        </x:xf>
      </mc:Fallback>
    </mc:AlternateContent>
    <x:xf numFmtId="41" fontId="0" fillId="0" borderId="0" xfId="0" applyNumberFormat="1" applyAlignment="1">
      <x:alignment horizontal="general" vertical="top" wrapText="1"/>
    </x:xf>
    <x:xf numFmtId="165" fontId="0" fillId="0" borderId="27" xfId="0" applyNumberFormat="1" applyBorder="1">
      <x:alignment horizontal="general" vertical="center"/>
    </x:xf>
    <x:xf numFmtId="165" fontId="0" fillId="0" borderId="25" xfId="0" applyNumberFormat="1" applyBorder="1">
      <x:alignment horizontal="general" vertical="center"/>
    </x:xf>
    <x:xf numFmtId="164" fontId="0" fillId="0" borderId="21" xfId="1" applyNumberFormat="1" applyBorder="1">
      <x:alignment horizontal="general" vertical="center"/>
    </x:xf>
    <x:xf numFmtId="165" fontId="0" fillId="0" borderId="2" xfId="0" applyNumberFormat="1" applyBorder="1">
      <x:alignment horizontal="general" vertical="center"/>
    </x:xf>
    <x:xf numFmtId="164" fontId="0" fillId="0" borderId="20" xfId="1" applyNumberFormat="1" applyBorder="1">
      <x:alignment horizontal="general" vertical="center"/>
    </x:xf>
    <x:xf numFmtId="0" fontId="15" fillId="0" borderId="30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0" applyNumberFormat="1" applyFont="1" applyBorder="1" applyAlignment="1">
          <x:alignment horizontal="center" vertical="center"/>
        </x:xf>
      </mc:Fallback>
    </mc:AlternateContent>
    <x:xf numFmtId="164" fontId="0" fillId="0" borderId="9" xfId="1" applyNumberFormat="1" applyBorder="1">
      <x:alignment horizontal="general" vertical="center"/>
    </x:xf>
    <x:xf numFmtId="41" fontId="0" fillId="0" borderId="2" xfId="2" applyNumberFormat="1" applyBorder="1">
      <x:alignment horizontal="general" vertical="center"/>
    </x:xf>
    <x:xf numFmtId="41" fontId="0" fillId="0" borderId="0" xfId="2" applyNumberFormat="1">
      <x:alignment horizontal="general" vertical="center"/>
    </x:xf>
    <x:xf numFmtId="165" fontId="0" fillId="0" borderId="0" xfId="0" applyNumberFormat="1">
      <x:alignment horizontal="general" vertical="center"/>
    </x:xf>
    <x:xf numFmtId="165" fontId="10" fillId="0" borderId="0" xfId="0" applyNumberFormat="1" applyFont="1">
      <x:alignment horizontal="general" vertical="center"/>
    </x:xf>
    <x:xf numFmtId="0" fontId="15" fillId="0" borderId="0" xfId="0" applyNumberFormat="1" applyFont="1" applyAlignment="1">
      <x:alignment horizontal="left" vertical="center"/>
    </x:xf>
    <x:xf numFmtId="0" fontId="0" fillId="0" borderId="17" xfId="0" applyNumberFormat="1" applyBorder="1">
      <x:alignment horizontal="general" vertical="center"/>
    </x:xf>
    <x:xf numFmtId="0" fontId="15" fillId="0" borderId="3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9" xfId="0" applyNumberFormat="1" applyFont="1" applyBorder="1" applyAlignment="1">
          <x:alignment horizontal="center" vertical="center"/>
        </x:xf>
      </mc:Fallback>
    </mc:AlternateContent>
    <x:xf numFmtId="166" fontId="9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Alignment="1">
          <x:alignment horizontal="center" vertical="center"/>
        </x:xf>
      </mc:Fallback>
    </mc:AlternateContent>
    <x:xf numFmtId="0" fontId="18" fillId="0" borderId="27" xfId="0" applyNumberFormat="1" applyFont="1" applyBorder="1">
      <x:alignment horizontal="general" vertical="center"/>
    </x:xf>
    <x:xf numFmtId="41" fontId="0" fillId="0" borderId="0" xfId="0" applyNumberFormat="1">
      <x:alignment horizontal="general" vertical="center"/>
    </x:xf>
    <x:xf numFmtId="167" fontId="0" fillId="0" borderId="0" xfId="0" applyNumberFormat="1">
      <x:alignment horizontal="general" vertical="center"/>
    </x:xf>
    <x:xf numFmtId="41" fontId="0" fillId="0" borderId="17" xfId="2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1" xfId="0" applyNumberFormat="1" applyFont="1" applyFill="1" applyBorder="1" applyAlignment="1">
          <x:alignment horizontal="center" vertical="center"/>
        </x:xf>
      </mc:Fallback>
    </mc:AlternateContent>
    <x:xf numFmtId="41" fontId="15" fillId="3" borderId="8" xfId="2" applyNumberFormat="1" applyFont="1" applyFill="1" applyBorder="1">
      <x:alignment horizontal="general" vertical="center"/>
    </x:xf>
    <x:xf numFmtId="9" fontId="15" fillId="3" borderId="8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9" fontId="15" fillId="3" borderId="8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5" fillId="3" borderId="8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29" xfId="0" applyNumberFormat="1" applyFont="1" applyFill="1" applyBorder="1" applyAlignment="1">
          <x:alignment horizontal="center" vertical="center"/>
        </x:xf>
      </mc:Fallback>
    </mc:AlternateContent>
    <x:xf numFmtId="41" fontId="15" fillId="4" borderId="8" xfId="0" applyNumberFormat="1" applyFont="1" applyFill="1" applyBorder="1">
      <x:alignment horizontal="general" vertical="center"/>
    </x:xf>
    <x:xf numFmtId="9" fontId="15" fillId="4" borderId="8" xfId="0" applyNumberFormat="1" applyFont="1" applyFill="1" applyBorder="1">
      <x:alignment horizontal="general" vertical="center"/>
    </x:xf>
    <x:xf numFmtId="168" fontId="15" fillId="4" borderId="8" xfId="0" applyNumberFormat="1" applyFont="1" applyFill="1" applyBorder="1">
      <x:alignment horizontal="general" vertical="center"/>
    </x:xf>
    <x:xf numFmtId="165" fontId="13" fillId="0" borderId="27" xfId="0" applyNumberFormat="1" applyFont="1" applyBorder="1">
      <x:alignment horizontal="general" vertical="center"/>
    </x:xf>
    <x:xf numFmtId="164" fontId="13" fillId="0" borderId="32" xfId="1" applyNumberFormat="1" applyFont="1" applyBorder="1">
      <x:alignment horizontal="general" vertical="center"/>
    </x:xf>
    <x:xf numFmtId="164" fontId="13" fillId="0" borderId="33" xfId="1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9" fillId="0" borderId="3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9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9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0" xfId="2" applyNumberFormat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0" xfId="2" applyNumberFormat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1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1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8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8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0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0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1" xfId="2" applyNumberFormat="1" applyFont="1" applyFill="1" applyBorder="1" applyAlignment="1">
          <x:alignment horizontal="center" vertical="center"/>
        </x:xf>
      </mc:Fallback>
    </mc:AlternateContent>
    <x:xf numFmtId="41" fontId="15" fillId="5" borderId="8" xfId="2" applyNumberFormat="1" applyFont="1" applyFill="1" applyBorder="1">
      <x:alignment horizontal="general" vertical="center"/>
    </x:xf>
    <x:xf numFmtId="41" fontId="15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15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5" fillId="0" borderId="8" xfId="0" applyNumberFormat="1" applyFont="1" applyBorder="1" applyAlignment="1">
          <x:alignment horizontal="center" vertical="center"/>
        </x:xf>
      </mc:Fallback>
    </mc:AlternateContent>
    <x:xf numFmtId="0" fontId="0" fillId="0" borderId="1" xfId="0" applyNumberFormat="1" applyFont="1" applyBorder="1">
      <x:alignment horizontal="general" vertical="center"/>
    </x:xf>
    <x:xf numFmtId="0" fontId="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2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2" xfId="0" applyNumberFormat="1" applyFont="1" applyBorder="1" applyAlignment="1">
          <x:alignment horizontal="center" vertical="top" wrapText="1"/>
        </x:xf>
      </mc:Fallback>
    </mc:AlternateContent>
    <x:xf numFmtId="165" fontId="0" fillId="6" borderId="2" xfId="0" applyNumberFormat="1" applyFill="1" applyBorder="1">
      <x:alignment horizontal="general" vertical="center"/>
    </x:xf>
    <x:xf numFmtId="41" fontId="0" fillId="6" borderId="2" xfId="2" applyNumberForma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Fon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6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6" xfId="0" applyNumberFormat="1" applyFont="1" applyBorder="1" applyAlignment="1">
          <x:alignment horizontal="center" vertical="top" wrapText="1"/>
        </x:xf>
      </mc:Fallback>
    </mc:AlternateContent>
    <x:xf numFmtId="9" fontId="0" fillId="0" borderId="8" xfId="1" applyNumberFormat="1" applyBorder="1">
      <x:alignment horizontal="general" vertical="center"/>
    </x:xf>
    <x:xf numFmtId="9" fontId="0" fillId="0" borderId="27" xfId="1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6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6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1" xfId="2" applyNumberFormat="1" applyFont="1" applyFill="1" applyBorder="1" applyAlignment="1">
          <x:alignment horizontal="center" vertical="center"/>
        </x:xf>
      </mc:Fallback>
    </mc:AlternateContent>
    <x:xf numFmtId="41" fontId="15" fillId="0" borderId="38" xfId="2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2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1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1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3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3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4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4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2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2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9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4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4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9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9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8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8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5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5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46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46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47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47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4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49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33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33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28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28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4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4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13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3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40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40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6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" xfId="2" applyNumberFormat="1" applyFont="1" applyBorder="1" applyAlignment="1">
          <x:alignment horizontal="center" vertical="center"/>
        </x:xf>
      </mc:Fallback>
    </mc:AlternateContent>
    <x:xf numFmtId="0" fontId="6" fillId="0" borderId="32" xfId="0" applyNumberFormat="1" applyFont="1" applyBorder="1" applyAlignment="1">
      <x:alignment horizontal="left" vertical="top"/>
    </x:xf>
    <x:xf numFmtId="0" fontId="6" fillId="0" borderId="58" xfId="0" applyNumberFormat="1" applyFont="1" applyBorder="1" applyAlignment="1">
      <x:alignment horizontal="left" vertical="top"/>
    </x:xf>
    <x:xf numFmtId="0" fontId="6" fillId="0" borderId="59" xfId="0" applyNumberFormat="1" applyFont="1" applyBorder="1" applyAlignment="1">
      <x:alignment horizontal="left" vertical="top"/>
    </x:xf>
    <x:xf numFmtId="0" fontId="6" fillId="0" borderId="24" xfId="0" applyNumberFormat="1" applyFont="1" applyBorder="1" applyAlignment="1">
      <x:alignment horizontal="left" vertical="top"/>
    </x:xf>
    <x:xf numFmtId="0" fontId="6" fillId="0" borderId="0" xfId="0" applyNumberFormat="1" applyFont="1" applyAlignment="1">
      <x:alignment horizontal="left" vertical="top"/>
    </x:xf>
    <x:xf numFmtId="0" fontId="6" fillId="0" borderId="60" xfId="0" applyNumberFormat="1" applyFont="1" applyBorder="1" applyAlignment="1">
      <x:alignment horizontal="left" vertical="top"/>
    </x:xf>
    <x:xf numFmtId="0" fontId="6" fillId="0" borderId="18" xfId="0" applyNumberFormat="1" applyFont="1" applyBorder="1" applyAlignment="1">
      <x:alignment horizontal="left" vertical="top"/>
    </x:xf>
    <x:xf numFmtId="0" fontId="6" fillId="0" borderId="61" xfId="0" applyNumberFormat="1" applyFont="1" applyBorder="1" applyAlignment="1">
      <x:alignment horizontal="left" vertical="top"/>
    </x:xf>
    <x:xf numFmtId="0" fontId="6" fillId="0" borderId="62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6" fillId="0" borderId="4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3" xfId="2" applyNumberFormat="1" applyFont="1" applyBorder="1" applyAlignment="1">
          <x:alignment horizontal="center" vertical="center"/>
        </x:xf>
      </mc:Fallback>
    </mc:AlternateContent>
    <x:xf numFmtId="0" fontId="6" fillId="0" borderId="1" xfId="0" applyNumberFormat="1" applyFont="1" applyBorder="1" applyAlignment="1">
      <x:alignment horizontal="left" vertical="top"/>
    </x:xf>
    <x:xf numFmtId="0" fontId="6" fillId="0" borderId="64" xfId="0" applyNumberFormat="1" applyFont="1" applyBorder="1" applyAlignment="1">
      <x:alignment horizontal="left" vertical="center"/>
    </x:xf>
    <x:xf numFmtId="0" fontId="6" fillId="0" borderId="65" xfId="0" applyNumberFormat="1" applyFont="1" applyBorder="1" applyAlignment="1">
      <x:alignment horizontal="left" vertical="center"/>
    </x:xf>
    <x:xf numFmtId="0" fontId="20" fillId="0" borderId="66" xfId="0" applyNumberFormat="1" applyFont="1" applyBorder="1" applyAlignment="1">
      <x:alignment horizontal="left" vertical="center"/>
    </x:xf>
    <x:xf numFmtId="0" fontId="20" fillId="0" borderId="67" xfId="0" applyNumberFormat="1" applyFont="1" applyBorder="1" applyAlignment="1">
      <x:alignment horizontal="left" vertical="center"/>
    </x:xf>
    <x:xf numFmtId="41" fontId="6" fillId="0" borderId="38" xfId="2" applyNumberFormat="1" applyFont="1" applyBorder="1" applyAlignment="1">
      <x:alignment horizontal="left" vertical="top"/>
    </x:xf>
    <x:xf numFmtId="41" fontId="6" fillId="0" borderId="68" xfId="2" applyNumberFormat="1" applyFont="1" applyBorder="1" applyAlignment="1">
      <x:alignment horizontal="left" vertical="top"/>
    </x:xf>
    <x:xf numFmtId="41" fontId="6" fillId="0" borderId="29" xfId="2" applyNumberFormat="1" applyFont="1" applyBorder="1" applyAlignment="1">
      <x:alignment horizontal="left" vertical="top"/>
    </x:xf>
    <x:xf numFmtId="41" fontId="6" fillId="0" borderId="69" xfId="2" applyNumberFormat="1" applyFont="1" applyBorder="1" applyAlignment="1">
      <x:alignment horizontal="left" vertical="top"/>
    </x:xf>
    <x:xf numFmtId="0" fontId="6" fillId="0" borderId="38" xfId="0" applyNumberFormat="1" applyFont="1" applyBorder="1" applyAlignment="1">
      <x:alignment horizontal="left" vertical="top"/>
    </x:xf>
    <x:xf numFmtId="0" fontId="6" fillId="0" borderId="68" xfId="0" applyNumberFormat="1" applyFont="1" applyBorder="1" applyAlignment="1">
      <x:alignment horizontal="left" vertical="top"/>
    </x:xf>
    <x:xf numFmtId="0" fontId="6" fillId="0" borderId="29" xfId="0" applyNumberFormat="1" applyFont="1" applyBorder="1" applyAlignment="1">
      <x:alignment horizontal="left" vertical="top"/>
    </x:xf>
    <x:xf numFmtId="0" fontId="6" fillId="0" borderId="69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6" fillId="0" borderId="6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7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7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7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7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7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6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6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7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3" xfId="0" applyNumberFormat="1" applyFont="1" applyFill="1" applyBorder="1" applyAlignment="1">
          <x:alignment horizontal="center" vertical="center"/>
        </x:xf>
      </mc:Fallback>
    </mc:AlternateContent>
    <x:xf numFmtId="0" fontId="7" fillId="2" borderId="74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3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25" xfId="0" applyNumberFormat="1" applyFont="1" applyFill="1" applyBorder="1" applyAlignment="1">
          <x:alignment horizontal="center" vertical="center"/>
        </x:xf>
      </mc:Fallback>
    </mc:AlternateContent>
    <x:xf numFmtId="0" fontId="7" fillId="3" borderId="21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5" fillId="0" borderId="4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4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3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3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2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2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2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0" xfId="0" applyNumberFormat="1" applyFont="1" applyBorder="1" applyAlignment="1">
          <x:alignment horizontal="center" vertical="center"/>
        </x:xf>
      </mc:Fallback>
    </mc:AlternateContent>
    <x:xf numFmtId="41" fontId="15" fillId="0" borderId="1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3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3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2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2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7" xfId="0" applyNumberFormat="1" applyFont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1" fontId="15" fillId="0" borderId="3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6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6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4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4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3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3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2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2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3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3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3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1" xfId="2" applyNumberFormat="1" applyFont="1" applyFill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 applyAlignment="1">
      <x:alignment horizontal="left" vertical="top" wrapText="1"/>
    </x:xf>
    <x:xf numFmtId="0" fontId="15" fillId="0" borderId="1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15" fillId="4" borderId="7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6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6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8" xfId="0" applyNumberFormat="1" applyFont="1" applyBorder="1" applyAlignment="1">
          <x:alignment horizontal="center" vertical="center"/>
        </x:xf>
      </mc:Fallback>
    </mc:AlternateContent>
    <x:xf numFmtId="0" fontId="15" fillId="0" borderId="38" xfId="0" applyNumberFormat="1" applyFont="1" applyBorder="1" applyAlignment="1">
      <x:alignment horizontal="left" vertical="top" wrapText="1"/>
    </x:xf>
    <x:xf numFmtId="0" fontId="15" fillId="0" borderId="68" xfId="0" applyNumberFormat="1" applyFont="1" applyBorder="1" applyAlignment="1">
      <x:alignment horizontal="left" vertical="top" wrapText="1"/>
    </x:xf>
    <x:xf numFmtId="0" fontId="15" fillId="0" borderId="29" xfId="0" applyNumberFormat="1" applyFont="1" applyBorder="1" applyAlignment="1">
      <x:alignment horizontal="left" vertical="top" wrapText="1"/>
    </x:xf>
    <mc:AlternateContent xmlns:mc="http://schemas.openxmlformats.org/markup-compatibility/2006">
      <mc:Choice xmlns:hs="http://schemas.haansoft.com/office/spreadsheet/8.0" Requires="hs">
        <x:xf numFmtId="0" fontId="15" fillId="2" borderId="7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5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5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4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4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56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56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54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54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4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4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3" borderId="5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5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3" borderId="7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7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8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8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0" applyNumberFormat="1" applyFont="1" applyBorder="1" applyAlignment="1">
          <x:alignment horizontal="center" vertical="center" shrinkToFit="1"/>
        </x:xf>
      </mc:Fallback>
    </mc:AlternateContent>
    <x:xf numFmtId="0" fontId="15" fillId="0" borderId="38" xfId="0" applyNumberFormat="1" applyFont="1" applyBorder="1" applyAlignment="1">
      <x:alignment horizontal="left" vertical="center" wrapText="1"/>
    </x:xf>
    <x:xf numFmtId="0" fontId="15" fillId="0" borderId="68" xfId="0" applyNumberFormat="1" applyFont="1" applyBorder="1" applyAlignment="1">
      <x:alignment horizontal="left" vertical="center" wrapText="1"/>
    </x:xf>
    <x:xf numFmtId="0" fontId="15" fillId="0" borderId="29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0" borderId="7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4" xfId="0" applyNumberFormat="1" applyFont="1" applyBorder="1" applyAlignment="1">
          <x:alignment horizontal="center" vertical="center"/>
        </x:xf>
      </mc:Fallback>
    </mc:AlternateContent>
    <x:xf numFmtId="41" fontId="16" fillId="0" borderId="38" xfId="2" applyNumberFormat="1" applyFont="1" applyBorder="1" applyAlignment="1">
      <x:alignment horizontal="left" vertical="center"/>
    </x:xf>
    <x:xf numFmtId="41" fontId="16" fillId="0" borderId="68" xfId="2" applyNumberFormat="1" applyFont="1" applyBorder="1" applyAlignment="1">
      <x:alignment horizontal="left" vertical="center"/>
    </x:xf>
    <x:xf numFmtId="41" fontId="16" fillId="0" borderId="29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15" fillId="0" borderId="6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6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42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42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right" vertical="center"/>
        </x:xf>
      </mc:Fallback>
    </mc:AlternateContent>
    <x:xf numFmtId="3" fontId="15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1" fontId="15" fillId="6" borderId="1" xfId="2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1" xfId="2" applyNumberFormat="1" applyFont="1" applyFill="1" applyBorder="1" applyAlignment="1">
          <x:alignment horizontal="right" vertical="center"/>
        </x:xf>
      </mc:Fallback>
    </mc:AlternateContent>
    <x:xf numFmtId="41" fontId="15" fillId="0" borderId="38" xfId="2" applyNumberFormat="1" applyFont="1" applyBorder="1" applyAlignment="1">
      <x:alignment horizontal="left" vertical="center"/>
    </x:xf>
    <x:xf numFmtId="41" fontId="15" fillId="0" borderId="68" xfId="2" applyNumberFormat="1" applyFont="1" applyBorder="1" applyAlignment="1">
      <x:alignment horizontal="left" vertical="center"/>
    </x:xf>
    <x:xf numFmtId="41" fontId="15" fillId="0" borderId="29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15" fillId="4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4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3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3" fontId="15" fillId="5" borderId="1" xfId="2" applyNumberFormat="1" applyFont="1" applyFill="1" applyBorder="1" applyAlignment="1">
          <x:alignment horizontal="center" vertical="center"/>
        </x:xf>
      </mc:Fallback>
    </mc:AlternateContent>
  </x:cellXfs>
  <x:cellStyles count="4">
    <x:cellStyle name="표준" xfId="0" builtinId="0"/>
    <x:cellStyle name="백분율" xfId="1" builtinId="5"/>
    <x:cellStyle name="쉼표 [0]" xfId="2" builtinId="6"/>
    <x:cellStyle name="쉼표 [0] 3" xfId="3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16" Type="http://schemas.openxmlformats.org/officeDocument/2006/relationships/worksheet" Target="worksheets/sheet13.xml"  /><Relationship Id="rId17" Type="http://schemas.openxmlformats.org/officeDocument/2006/relationships/worksheet" Target="worksheets/sheet14.xml"  /><Relationship Id="rId18" Type="http://schemas.openxmlformats.org/officeDocument/2006/relationships/worksheet" Target="worksheets/sheet15.xml"  /><Relationship Id="rId19" Type="http://schemas.openxmlformats.org/officeDocument/2006/relationships/worksheet" Target="worksheets/sheet16.xml"  /><Relationship Id="rId2" Type="http://schemas.openxmlformats.org/officeDocument/2006/relationships/styles" Target="styles.xml"  /><Relationship Id="rId20" Type="http://schemas.openxmlformats.org/officeDocument/2006/relationships/worksheet" Target="worksheets/sheet17.xml"  /><Relationship Id="rId21" Type="http://schemas.openxmlformats.org/officeDocument/2006/relationships/worksheet" Target="worksheets/sheet18.xml"  /><Relationship Id="rId22" Type="http://schemas.openxmlformats.org/officeDocument/2006/relationships/worksheet" Target="worksheets/sheet19.xml"  /><Relationship Id="rId23" Type="http://schemas.openxmlformats.org/officeDocument/2006/relationships/worksheet" Target="worksheets/sheet20.xml"  /><Relationship Id="rId24" Type="http://schemas.openxmlformats.org/officeDocument/2006/relationships/worksheet" Target="worksheets/sheet21.xml"  /><Relationship Id="rId25" Type="http://schemas.openxmlformats.org/officeDocument/2006/relationships/worksheet" Target="worksheets/sheet22.xml"  /><Relationship Id="rId26" Type="http://schemas.openxmlformats.org/officeDocument/2006/relationships/worksheet" Target="worksheets/sheet23.xml"  /><Relationship Id="rId27" Type="http://schemas.openxmlformats.org/officeDocument/2006/relationships/worksheet" Target="worksheets/sheet24.xml"  /><Relationship Id="rId28" Type="http://schemas.openxmlformats.org/officeDocument/2006/relationships/worksheet" Target="worksheets/sheet25.xml"  /><Relationship Id="rId29" Type="http://schemas.openxmlformats.org/officeDocument/2006/relationships/worksheet" Target="worksheets/sheet26.xml"  /><Relationship Id="rId3" Type="http://schemas.openxmlformats.org/officeDocument/2006/relationships/sharedStrings" Target="sharedStrings.xml"  /><Relationship Id="rId30" Type="http://schemas.openxmlformats.org/officeDocument/2006/relationships/worksheet" Target="worksheets/sheet27.xml"  /><Relationship Id="rId31" Type="http://schemas.openxmlformats.org/officeDocument/2006/relationships/worksheet" Target="worksheets/sheet28.xml"  /><Relationship Id="rId32" Type="http://schemas.openxmlformats.org/officeDocument/2006/relationships/worksheet" Target="worksheets/sheet29.xml"  /><Relationship Id="rId33" Type="http://schemas.openxmlformats.org/officeDocument/2006/relationships/worksheet" Target="worksheets/sheet30.xml"  /><Relationship Id="rId34" Type="http://schemas.openxmlformats.org/officeDocument/2006/relationships/worksheet" Target="worksheets/sheet31.xml"  /><Relationship Id="rId35" Type="http://schemas.openxmlformats.org/officeDocument/2006/relationships/worksheet" Target="worksheets/sheet32.xml"  /><Relationship Id="rId36" Type="http://schemas.openxmlformats.org/officeDocument/2006/relationships/worksheet" Target="worksheets/sheet33.xml"  /><Relationship Id="rId37" Type="http://schemas.openxmlformats.org/officeDocument/2006/relationships/worksheet" Target="worksheets/sheet34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charts/chart0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roundedCorners val="0"/>
  <c:chart>
    <c:title>
      <c:layout/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'10'!$C$1:$C$11</c:f>
              <c:strCache>
                <c:ptCount val="1"/>
                <c:pt idx="0">
                  <c:v>2026년4,283,1003,629,000654,10044,400161,700슈퍼멤버스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19"/>
                <c:lvl>
                  <c:pt idx="0">
                    <c:v>목살</c:v>
                  </c:pt>
                  <c:pt idx="2">
                    <c:v>뼈삼겹살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직원C</c:v>
                  </c:pt>
                  <c:pt idx="17">
                    <c:v>직원D</c:v>
                  </c:pt>
                  <c:pt idx="18">
                    <c:v>직원F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4283100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'10'!$C$12:$C$34</c:f>
              <c:numCache>
                <c:formatCode>General</c:formatCode>
                <c:ptCount val="23"/>
                <c:pt idx="0">
                  <c:v>19</c:v>
                </c:pt>
                <c:pt idx="1">
                  <c:v>187</c:v>
                </c:pt>
                <c:pt idx="2">
                  <c:v>32</c:v>
                </c:pt>
                <c:pt idx="3">
                  <c:v>252</c:v>
                </c:pt>
                <c:pt idx="4">
                  <c:v>7</c:v>
                </c:pt>
                <c:pt idx="5">
                  <c:v>56</c:v>
                </c:pt>
                <c:pt idx="6">
                  <c:v>33</c:v>
                </c:pt>
                <c:pt idx="7">
                  <c:v>304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>0</c:v>
                </c:pt>
                <c:pt idx="13">
                  <c:v>4374170</c:v>
                </c:pt>
                <c:pt idx="14">
                  <c:v/>
                </c:pt>
                <c:pt idx="15">
                  <c:v>106451.612903226</c:v>
                </c:pt>
                <c:pt idx="16">
                  <c:v>106451.612903226</c:v>
                </c:pt>
                <c:pt idx="17">
                  <c:v>106451.612903226</c:v>
                </c:pt>
                <c:pt idx="18">
                  <c:v>48387.0967741935</c:v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1"/>
          <c:order val="1"/>
          <c:tx>
            <c:strRef>
              <c:f>'10'!$D$1:$D$11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19"/>
                <c:lvl>
                  <c:pt idx="0">
                    <c:v>목살</c:v>
                  </c:pt>
                  <c:pt idx="2">
                    <c:v>뼈삼겹살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직원C</c:v>
                  </c:pt>
                  <c:pt idx="17">
                    <c:v>직원D</c:v>
                  </c:pt>
                  <c:pt idx="18">
                    <c:v>직원F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4283100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'10'!$D$12:$D$34</c:f>
              <c:numCache>
                <c:formatCode>General</c:formatCode>
                <c:ptCount val="23"/>
                <c:pt idx="0">
                  <c:v>0</c:v>
                </c:pt>
                <c:pt idx="1">
                  <c:v/>
                </c:pt>
                <c:pt idx="2">
                  <c:v>0</c:v>
                </c:pt>
                <c:pt idx="3">
                  <c:v/>
                </c:pt>
                <c:pt idx="4">
                  <c:v>0</c:v>
                </c:pt>
                <c:pt idx="5">
                  <c:v/>
                </c:pt>
                <c:pt idx="6">
                  <c:v>0</c:v>
                </c:pt>
                <c:pt idx="7">
                  <c:v/>
                </c:pt>
                <c:pt idx="8">
                  <c:v>0</c:v>
                </c:pt>
                <c:pt idx="9">
                  <c:v>0</c:v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2"/>
          <c:order val="2"/>
          <c:tx>
            <c:strRef>
              <c:f>'10'!$E$1:$E$11</c:f>
              <c:strCache>
                <c:ptCount val="1"/>
                <c:pt idx="0">
                  <c:v>1시재카드수수료(2.75%)현금수수료(1%)통장입금마감잔금카드할인</c:v>
                </c:pt>
              </c:strCache>
            </c:strRef>
          </c:tx>
          <c:spPr>
            <a:solidFill>
              <a:schemeClr val="accent3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19"/>
                <c:lvl>
                  <c:pt idx="0">
                    <c:v>목살</c:v>
                  </c:pt>
                  <c:pt idx="2">
                    <c:v>뼈삼겹살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직원C</c:v>
                  </c:pt>
                  <c:pt idx="17">
                    <c:v>직원D</c:v>
                  </c:pt>
                  <c:pt idx="18">
                    <c:v>직원F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4283100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'10'!$E$12:$E$34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>0</c:v>
                </c:pt>
                <c:pt idx="13">
                  <c:v>43741700</c:v>
                </c:pt>
                <c:pt idx="14">
                  <c:v/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/>
                </c:pt>
                <c:pt idx="19">
                  <c:v>0</c:v>
                </c:pt>
                <c:pt idx="20">
                  <c:v>0</c:v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3"/>
          <c:order val="3"/>
          <c:tx>
            <c:strRef>
              <c:f>'10'!$F$1:$F$11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19"/>
                <c:lvl>
                  <c:pt idx="0">
                    <c:v>목살</c:v>
                  </c:pt>
                  <c:pt idx="2">
                    <c:v>뼈삼겹살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직원C</c:v>
                  </c:pt>
                  <c:pt idx="17">
                    <c:v>직원D</c:v>
                  </c:pt>
                  <c:pt idx="18">
                    <c:v>직원F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4283100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'10'!$F$12:$F$34</c:f>
              <c:numCache>
                <c:formatCode>General</c:formatCode>
                <c:ptCount val="23"/>
                <c:pt idx="0">
                  <c:v>24</c:v>
                </c:pt>
                <c:pt idx="1">
                  <c:v>235</c:v>
                </c:pt>
                <c:pt idx="2">
                  <c:v>9</c:v>
                </c:pt>
                <c:pt idx="3">
                  <c:v>131</c:v>
                </c:pt>
                <c:pt idx="4">
                  <c:v>15</c:v>
                </c:pt>
                <c:pt idx="5">
                  <c:v>38</c:v>
                </c:pt>
                <c:pt idx="6">
                  <c:v>3</c:v>
                </c:pt>
                <c:pt idx="7">
                  <c:v>38</c:v>
                </c:pt>
                <c:pt idx="8">
                  <c:v>57</c:v>
                </c:pt>
                <c:pt idx="9">
                  <c:v>584</c:v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>123500</c:v>
                </c:pt>
                <c:pt idx="17">
                  <c:v>136500</c:v>
                </c:pt>
                <c:pt idx="18">
                  <c:v/>
                </c:pt>
                <c:pt idx="19">
                  <c:v/>
                </c:pt>
                <c:pt idx="20">
                  <c:v>77000</c:v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4"/>
          <c:order val="4"/>
          <c:tx>
            <c:strRef>
              <c:f>'10'!$G$1:$G$11</c:f>
              <c:strCache>
                <c:ptCount val="1"/>
                <c:pt idx="0">
                  <c:v>토113,00099,7976,541720,00047,100</c:v>
                </c:pt>
              </c:strCache>
            </c:strRef>
          </c:tx>
          <c:spPr>
            <a:solidFill>
              <a:schemeClr val="accent5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19"/>
                <c:lvl>
                  <c:pt idx="0">
                    <c:v>목살</c:v>
                  </c:pt>
                  <c:pt idx="2">
                    <c:v>뼈삼겹살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직원C</c:v>
                  </c:pt>
                  <c:pt idx="17">
                    <c:v>직원D</c:v>
                  </c:pt>
                  <c:pt idx="18">
                    <c:v>직원F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4283100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'10'!$G$12:$G$34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5"/>
          <c:order val="5"/>
          <c:tx>
            <c:strRef>
              <c:f>'10'!$H$1:$H$11</c:f>
              <c:strCache>
                <c:ptCount val="1"/>
                <c:pt idx="0">
                  <c:v>실영업일수식자재업체고기식자재주류쌀참기름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19"/>
                <c:lvl>
                  <c:pt idx="0">
                    <c:v>목살</c:v>
                  </c:pt>
                  <c:pt idx="2">
                    <c:v>뼈삼겹살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직원C</c:v>
                  </c:pt>
                  <c:pt idx="17">
                    <c:v>직원D</c:v>
                  </c:pt>
                  <c:pt idx="18">
                    <c:v>직원F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4283100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'10'!$H$12:$H$34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/>
                </c:pt>
                <c:pt idx="5">
                  <c:v>0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6"/>
          <c:order val="6"/>
          <c:tx>
            <c:strRef>
              <c:f>'10'!$I$1:$I$11</c:f>
              <c:strCache>
                <c:ptCount val="1"/>
                <c:pt idx="0">
                  <c:v>10금액1,903,408390,388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19"/>
                <c:lvl>
                  <c:pt idx="0">
                    <c:v>목살</c:v>
                  </c:pt>
                  <c:pt idx="2">
                    <c:v>뼈삼겹살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직원C</c:v>
                  </c:pt>
                  <c:pt idx="17">
                    <c:v>직원D</c:v>
                  </c:pt>
                  <c:pt idx="18">
                    <c:v>직원F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4283100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'10'!$I$13:$I$34</c:f>
              <c:numCache>
                <c:formatCode>General</c:formatCode>
                <c:ptCount val="22"/>
                <c:pt idx="0">
                  <c:v/>
                </c:pt>
                <c:pt idx="1">
                  <c:v/>
                </c:pt>
                <c:pt idx="2">
                  <c:v>154700</c:v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>2448496</c:v>
                </c:pt>
                <c:pt idx="11">
                  <c:v>0.571664448647008</c:v>
                </c:pt>
                <c:pt idx="12">
                  <c:v>15021970</c:v>
                </c:pt>
                <c:pt idx="13">
                  <c:v>0.343424466813133</c:v>
                </c:pt>
                <c:pt idx="14">
                  <c:v>704741.935483871</c:v>
                </c:pt>
                <c:pt idx="15">
                  <c:v>0.164540154440445</c:v>
                </c:pt>
                <c:pt idx="16">
                  <c:v>79639622</c:v>
                </c:pt>
                <c:pt idx="17">
                  <c:v>113.005368334325</c:v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</c:numCache>
            </c:numRef>
          </c:val>
        </c:ser>
        <c:ser>
          <c:idx val="7"/>
          <c:order val="7"/>
          <c:tx>
            <c:strRef>
              <c:f>'10'!$J$1:$J$11</c:f>
              <c:strCache>
                <c:ptCount val="1"/>
                <c:pt idx="0">
                  <c:v>휴무일수비품 및 기타경비업체숯음식물스티커종량제봉투뚝배기발매트불판세척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19"/>
                <c:lvl>
                  <c:pt idx="0">
                    <c:v>목살</c:v>
                  </c:pt>
                  <c:pt idx="2">
                    <c:v>뼈삼겹살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직원C</c:v>
                  </c:pt>
                  <c:pt idx="17">
                    <c:v>직원D</c:v>
                  </c:pt>
                  <c:pt idx="18">
                    <c:v>직원F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4283100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'10'!$J$12:$J$34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8"/>
          <c:order val="8"/>
          <c:tx>
            <c:strRef>
              <c:f>'10'!$K$1:$K$11</c:f>
              <c:strCache>
                <c:ptCount val="1"/>
                <c:pt idx="0">
                  <c:v>금액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19"/>
                <c:lvl>
                  <c:pt idx="0">
                    <c:v>목살</c:v>
                  </c:pt>
                  <c:pt idx="2">
                    <c:v>뼈삼겹살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직원C</c:v>
                  </c:pt>
                  <c:pt idx="17">
                    <c:v>직원D</c:v>
                  </c:pt>
                  <c:pt idx="18">
                    <c:v>직원F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4283100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'10'!$K$12:$K$34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dLbls>
          <c:delete val="0"/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219"/>
        <c:overlap val="-27"/>
        <c:axId val="367527704"/>
        <c:axId val="367533104"/>
      </c:barChart>
      <c:catAx>
        <c:axId val="367527704"/>
        <c:scaling>
          <c:orientation val="minMax"/>
        </c:scaling>
        <c:axPos val="b"/>
        <c:crossAx val="367533104"/>
        <c:delete val="0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/>
          </a:p>
        </c:txPr>
        <c:crosses val="autoZero"/>
        <c:auto val="1"/>
        <c:lblAlgn val="ctr"/>
        <c:lblOffset val="100"/>
        <c:tickMarkSkip val="1"/>
        <c:noMultiLvlLbl val="0"/>
      </c:catAx>
      <c:valAx>
        <c:axId val="367533104"/>
        <c:scaling>
          <c:orientation val="minMax"/>
        </c:scaling>
        <c:axPos val="l"/>
        <c:crossAx val="367527704"/>
        <c:delete val="0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/>
          </a:p>
        </c:txPr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/>
        </a:p>
      </c:txPr>
    </c:legend>
    <c:plotVisOnly val="0"/>
    <c:dispBlanksAs val="gap"/>
  </c:chart>
  <c:txPr>
    <a:bodyPr rot="0" vert="horz" wrap="none" lIns="0" tIns="0" rIns="0" bIns="0" anchor="ctr" anchorCtr="1"/>
    <a:p>
      <a:pPr algn="l">
        <a:defRPr b="0" i="0" u="none"/>
      </a:pPr>
      <a:endParaRPr/>
    </a:p>
  </c:txPr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0.xml.rels><?xml version="1.0" encoding="UTF-8" standalone="yes" ?><Relationships xmlns="http://schemas.openxmlformats.org/package/2006/relationships"><Relationship Id="rId1" Type="http://schemas.openxmlformats.org/officeDocument/2006/relationships/chart" Target="../charts/chart0.xml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absolute">
    <xdr:from>
      <xdr:col>0</xdr:col>
      <xdr:colOff>0</xdr:colOff>
      <xdr:row>0</xdr:row>
      <xdr:rowOff>0</xdr:rowOff>
    </xdr:from>
    <xdr:to>
      <xdr:col>12</xdr:col>
      <xdr:colOff>447675</xdr:colOff>
      <xdr:row>30</xdr:row>
      <xdr:rowOff>19050</xdr:rowOff>
    </xdr:to>
    <xdr:graphicFrame fPublished="0">
      <xdr:nvGraphicFramePr>
        <xdr:cNvPr id="2" name="차트 1"/>
        <xdr:cNvGraphicFramePr/>
      </xdr:nvGraphicFramePr>
      <xdr:xfrm>
        <a:off x="0" y="0"/>
        <a:ext cx="8760113" cy="6508750"/>
      </xdr:xfrm>
      <a:graphic>
        <a:graphicData uri="http://schemas.openxmlformats.org/drawingml/2006/chart">
          <c:chart r:id="rId1"/>
        </a:graphicData>
      </a:graphic>
    </xdr:graphicFrame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4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21"/>
  <x:sheetViews>
    <x:sheetView topLeftCell="A1" zoomScaleNormal="100" zoomScaleSheetLayoutView="75" workbookViewId="0">
      <x:selection activeCell="N10" activeCellId="0" sqref="N10:N10"/>
    </x:sheetView>
  </x:sheetViews>
  <x:sheetFormatPr defaultColWidth="8.625" defaultRowHeight="30" customHeight="1"/>
  <x:cols>
    <x:col min="1" max="1" width="8.625" style="2" customWidth="1"/>
    <x:col min="2" max="2" width="4.625" style="2" customWidth="1"/>
    <x:col min="3" max="3" width="10.625" style="2" customWidth="1"/>
    <x:col min="4" max="4" width="3.625" style="2" customWidth="1"/>
    <x:col min="5" max="5" width="8.625" style="2" customWidth="1"/>
    <x:col min="6" max="6" width="4.625" style="2" customWidth="1"/>
    <x:col min="7" max="7" width="12.625" style="2" customWidth="1"/>
    <x:col min="8" max="8" width="8.625" style="2" customWidth="1"/>
    <x:col min="9" max="10" width="4.625" style="2" customWidth="1"/>
    <x:col min="11" max="11" width="12.625" style="2" customWidth="1"/>
    <x:col min="12" max="16384" width="8.625" style="2"/>
  </x:cols>
  <x:sheetData>
    <x:row r="1" spans="1:11" customHeight="1">
      <x:c r="A1" s="248" t="s">
        <x:v>131</x:v>
      </x:c>
      <x:c r="B1" s="248"/>
      <x:c r="C1" s="248"/>
      <x:c r="D1" s="248"/>
      <x:c r="E1" s="248"/>
      <x:c r="F1" s="248"/>
      <x:c r="G1" s="248"/>
      <x:c r="H1" s="248"/>
      <x:c r="I1" s="248"/>
      <x:c r="J1" s="248"/>
      <x:c r="K1" s="248"/>
    </x:row>
    <x:row r="2" spans="1:11" ht="30.949999999999999" customHeight="1">
      <x:c r="A2" s="202" t="s">
        <x:v>50</x:v>
      </x:c>
      <x:c r="B2" s="203"/>
      <x:c r="C2" s="204">
        <x:f>C3+G3+C5</x:f>
        <x:v>0</x:v>
      </x:c>
      <x:c r="D2" s="205"/>
      <x:c r="E2" s="206" t="s">
        <x:v>13</x:v>
      </x:c>
      <x:c r="F2" s="207"/>
      <x:c r="G2" s="6"/>
      <x:c r="H2" s="208" t="s">
        <x:v>134</x:v>
      </x:c>
      <x:c r="I2" s="209"/>
      <x:c r="J2" s="209"/>
      <x:c r="K2" s="210"/>
    </x:row>
    <x:row r="3" spans="1:11" ht="30.949999999999999" customHeight="1">
      <x:c r="A3" s="211" t="s">
        <x:v>112</x:v>
      </x:c>
      <x:c r="B3" s="212"/>
      <x:c r="C3" s="213">
        <x:f>SUM('1'!C3)</x:f>
        <x:v>0</x:v>
      </x:c>
      <x:c r="D3" s="213"/>
      <x:c r="E3" s="212" t="s">
        <x:v>57</x:v>
      </x:c>
      <x:c r="F3" s="212"/>
      <x:c r="G3" s="7">
        <x:f>SUM('1'!G3)</x:f>
        <x:v>0</x:v>
      </x:c>
      <x:c r="H3" s="214"/>
      <x:c r="I3" s="215"/>
      <x:c r="J3" s="215"/>
      <x:c r="K3" s="216"/>
    </x:row>
    <x:row r="4" spans="1:11" ht="30.949999999999999" customHeight="1">
      <x:c r="A4" s="223" t="s">
        <x:v>116</x:v>
      </x:c>
      <x:c r="B4" s="224"/>
      <x:c r="C4" s="225">
        <x:f>C21</x:f>
        <x:v>0</x:v>
      </x:c>
      <x:c r="D4" s="225"/>
      <x:c r="E4" s="226" t="s">
        <x:v>2</x:v>
      </x:c>
      <x:c r="F4" s="224"/>
      <x:c r="G4" s="8">
        <x:f>C17</x:f>
        <x:v>0</x:v>
      </x:c>
      <x:c r="H4" s="217"/>
      <x:c r="I4" s="218"/>
      <x:c r="J4" s="218"/>
      <x:c r="K4" s="219"/>
    </x:row>
    <x:row r="5" spans="1:11" ht="30.949999999999999" customHeight="1">
      <x:c r="A5" s="211" t="s">
        <x:v>65</x:v>
      </x:c>
      <x:c r="B5" s="212"/>
      <x:c r="C5" s="227">
        <x:f>C6+G6</x:f>
        <x:v>0</x:v>
      </x:c>
      <x:c r="D5" s="228"/>
      <x:c r="E5" s="226" t="s">
        <x:v>149</x:v>
      </x:c>
      <x:c r="F5" s="224"/>
      <x:c r="G5" s="8">
        <x:f>C4-G4</x:f>
        <x:v>0</x:v>
      </x:c>
      <x:c r="H5" s="217"/>
      <x:c r="I5" s="218"/>
      <x:c r="J5" s="218"/>
      <x:c r="K5" s="219"/>
    </x:row>
    <x:row r="6" spans="1:11" ht="30.949999999999999" customHeight="1">
      <x:c r="A6" s="211" t="s">
        <x:v>120</x:v>
      </x:c>
      <x:c r="B6" s="212"/>
      <x:c r="C6" s="213">
        <x:f>SUM('1'!C7)</x:f>
        <x:v>0</x:v>
      </x:c>
      <x:c r="D6" s="213"/>
      <x:c r="E6" s="212" t="s">
        <x:v>101</x:v>
      </x:c>
      <x:c r="F6" s="212"/>
      <x:c r="G6" s="7">
        <x:f>SUM('1'!G7)</x:f>
        <x:v>0</x:v>
      </x:c>
      <x:c r="H6" s="217"/>
      <x:c r="I6" s="218"/>
      <x:c r="J6" s="218"/>
      <x:c r="K6" s="219"/>
    </x:row>
    <x:row r="7" spans="1:11" ht="30.949999999999999" customHeight="1">
      <x:c r="A7" s="211" t="s">
        <x:v>115</x:v>
      </x:c>
      <x:c r="B7" s="212"/>
      <x:c r="C7" s="229"/>
      <x:c r="D7" s="229"/>
      <x:c r="E7" s="229"/>
      <x:c r="F7" s="229"/>
      <x:c r="G7" s="229"/>
      <x:c r="H7" s="220"/>
      <x:c r="I7" s="221"/>
      <x:c r="J7" s="221"/>
      <x:c r="K7" s="222"/>
    </x:row>
    <x:row r="8" spans="1:11" ht="30.949999999999999" customHeight="1">
      <x:c r="A8" s="211"/>
      <x:c r="B8" s="212"/>
      <x:c r="C8" s="229"/>
      <x:c r="D8" s="229"/>
      <x:c r="E8" s="229"/>
      <x:c r="F8" s="229"/>
      <x:c r="G8" s="229"/>
      <x:c r="H8" s="5" t="s">
        <x:v>135</x:v>
      </x:c>
      <x:c r="I8" s="230" t="s">
        <x:v>56</x:v>
      </x:c>
      <x:c r="J8" s="231"/>
      <x:c r="K8" s="9">
        <x:f>SUM('1'!K9)</x:f>
        <x:v>0</x:v>
      </x:c>
    </x:row>
    <x:row r="9" spans="1:11" ht="30.949999999999999" customHeight="1">
      <x:c r="A9" s="211"/>
      <x:c r="B9" s="212"/>
      <x:c r="C9" s="229"/>
      <x:c r="D9" s="229"/>
      <x:c r="E9" s="229"/>
      <x:c r="F9" s="229"/>
      <x:c r="G9" s="229"/>
      <x:c r="H9" s="212" t="s">
        <x:v>42</x:v>
      </x:c>
      <x:c r="I9" s="230" t="s">
        <x:v>56</x:v>
      </x:c>
      <x:c r="J9" s="231"/>
      <x:c r="K9" s="9">
        <x:f>SUM('1'!K10)</x:f>
        <x:v>0</x:v>
      </x:c>
    </x:row>
    <x:row r="10" spans="1:11" ht="30.949999999999999" customHeight="1">
      <x:c r="A10" s="211"/>
      <x:c r="B10" s="212"/>
      <x:c r="C10" s="229"/>
      <x:c r="D10" s="229"/>
      <x:c r="E10" s="229"/>
      <x:c r="F10" s="229"/>
      <x:c r="G10" s="229"/>
      <x:c r="H10" s="212"/>
      <x:c r="I10" s="232" t="s">
        <x:v>60</x:v>
      </x:c>
      <x:c r="J10" s="233"/>
      <x:c r="K10" s="10">
        <x:f>SUM('1'!K11)</x:f>
        <x:v>0</x:v>
      </x:c>
    </x:row>
    <x:row r="11" spans="1:11" ht="32.100000000000001" customHeight="1">
      <x:c r="A11" s="223" t="s">
        <x:v>121</x:v>
      </x:c>
      <x:c r="B11" s="224"/>
      <x:c r="C11" s="234"/>
      <x:c r="D11" s="235"/>
      <x:c r="E11" s="235"/>
      <x:c r="F11" s="235"/>
      <x:c r="G11" s="236"/>
      <x:c r="H11" s="3" t="s">
        <x:v>110</x:v>
      </x:c>
      <x:c r="I11" s="234"/>
      <x:c r="J11" s="235"/>
      <x:c r="K11" s="237"/>
    </x:row>
    <x:row r="12" spans="1:11" ht="69.950000000000003" customHeight="1">
      <x:c r="A12" s="223" t="s">
        <x:v>59</x:v>
      </x:c>
      <x:c r="B12" s="224"/>
      <x:c r="C12" s="238"/>
      <x:c r="D12" s="239"/>
      <x:c r="E12" s="239"/>
      <x:c r="F12" s="239"/>
      <x:c r="G12" s="240"/>
      <x:c r="H12" s="3" t="s">
        <x:v>75</x:v>
      </x:c>
      <x:c r="I12" s="238"/>
      <x:c r="J12" s="239"/>
      <x:c r="K12" s="241"/>
    </x:row>
    <x:row r="13" spans="1:11" ht="30.949999999999999" customHeight="1">
      <x:c r="A13" s="211" t="s">
        <x:v>109</x:v>
      </x:c>
      <x:c r="B13" s="212"/>
      <x:c r="C13" s="226" t="s">
        <x:v>86</x:v>
      </x:c>
      <x:c r="D13" s="224"/>
      <x:c r="E13" s="226" t="s">
        <x:v>62</x:v>
      </x:c>
      <x:c r="F13" s="242"/>
      <x:c r="G13" s="224"/>
      <x:c r="H13" s="212" t="s">
        <x:v>55</x:v>
      </x:c>
      <x:c r="I13" s="212"/>
      <x:c r="J13" s="212" t="s">
        <x:v>127</x:v>
      </x:c>
      <x:c r="K13" s="243"/>
    </x:row>
    <x:row r="14" spans="1:11" ht="30.949999999999999" customHeight="1">
      <x:c r="A14" s="244">
        <x:f>C2</x:f>
        <x:v>0</x:v>
      </x:c>
      <x:c r="B14" s="245"/>
      <x:c r="C14" s="246" t="e">
        <x:f>ROUNDDOWN((E14/A14),-4)</x:f>
        <x:v>#DIV/0!</x:v>
      </x:c>
      <x:c r="D14" s="245"/>
      <x:c r="E14" s="246">
        <x:f>C2</x:f>
        <x:v>0</x:v>
      </x:c>
      <x:c r="F14" s="247"/>
      <x:c r="G14" s="245"/>
      <x:c r="H14" s="238"/>
      <x:c r="I14" s="240"/>
      <x:c r="J14" s="238"/>
      <x:c r="K14" s="241"/>
    </x:row>
    <x:row r="15" spans="1:11" ht="30.949999999999999" customHeight="1">
      <x:c r="A15" s="211" t="s">
        <x:v>68</x:v>
      </x:c>
      <x:c r="B15" s="212"/>
      <x:c r="C15" s="226"/>
      <x:c r="D15" s="224"/>
      <x:c r="E15" s="226"/>
      <x:c r="F15" s="242"/>
      <x:c r="G15" s="224"/>
      <x:c r="H15" s="238"/>
      <x:c r="I15" s="240"/>
      <x:c r="J15" s="238"/>
      <x:c r="K15" s="241"/>
    </x:row>
    <x:row r="16" spans="1:11" ht="30.949999999999999" customHeight="1">
      <x:c r="A16" s="223" t="s">
        <x:v>139</x:v>
      </x:c>
      <x:c r="B16" s="242"/>
      <x:c r="C16" s="242"/>
      <x:c r="D16" s="242"/>
      <x:c r="E16" s="242"/>
      <x:c r="F16" s="224"/>
      <x:c r="G16" s="212" t="s">
        <x:v>139</x:v>
      </x:c>
      <x:c r="H16" s="212"/>
      <x:c r="I16" s="212"/>
      <x:c r="J16" s="212"/>
      <x:c r="K16" s="243"/>
    </x:row>
    <x:row r="17" spans="1:11" ht="30.949999999999999" customHeight="1">
      <x:c r="A17" s="211" t="s">
        <x:v>16</x:v>
      </x:c>
      <x:c r="B17" s="212"/>
      <x:c r="C17" s="213"/>
      <x:c r="D17" s="213"/>
      <x:c r="E17" s="213"/>
      <x:c r="F17" s="213"/>
      <x:c r="G17" s="3" t="s">
        <x:v>16</x:v>
      </x:c>
      <x:c r="H17" s="213"/>
      <x:c r="I17" s="213"/>
      <x:c r="J17" s="213"/>
      <x:c r="K17" s="249"/>
    </x:row>
    <x:row r="18" spans="1:11" ht="30.949999999999999" customHeight="1">
      <x:c r="A18" s="211" t="s">
        <x:v>0</x:v>
      </x:c>
      <x:c r="B18" s="212"/>
      <x:c r="C18" s="213"/>
      <x:c r="D18" s="213"/>
      <x:c r="E18" s="213"/>
      <x:c r="F18" s="213"/>
      <x:c r="G18" s="3" t="s">
        <x:v>0</x:v>
      </x:c>
      <x:c r="H18" s="213"/>
      <x:c r="I18" s="213"/>
      <x:c r="J18" s="213"/>
      <x:c r="K18" s="249"/>
    </x:row>
    <x:row r="19" spans="1:11" ht="30.949999999999999" customHeight="1">
      <x:c r="A19" s="211" t="s">
        <x:v>22</x:v>
      </x:c>
      <x:c r="B19" s="212"/>
      <x:c r="C19" s="213"/>
      <x:c r="D19" s="213"/>
      <x:c r="E19" s="213"/>
      <x:c r="F19" s="213"/>
      <x:c r="G19" s="3" t="s">
        <x:v>22</x:v>
      </x:c>
      <x:c r="H19" s="213"/>
      <x:c r="I19" s="213"/>
      <x:c r="J19" s="213"/>
      <x:c r="K19" s="249"/>
    </x:row>
    <x:row r="20" spans="1:11" ht="30.949999999999999" customHeight="1">
      <x:c r="A20" s="211" t="s">
        <x:v>43</x:v>
      </x:c>
      <x:c r="B20" s="212"/>
      <x:c r="C20" s="213"/>
      <x:c r="D20" s="213"/>
      <x:c r="E20" s="213"/>
      <x:c r="F20" s="213"/>
      <x:c r="G20" s="3" t="s">
        <x:v>43</x:v>
      </x:c>
      <x:c r="H20" s="213"/>
      <x:c r="I20" s="213"/>
      <x:c r="J20" s="213"/>
      <x:c r="K20" s="249"/>
    </x:row>
    <x:row r="21" spans="1:11" ht="30.949999999999999" customHeight="1">
      <x:c r="A21" s="250" t="s">
        <x:v>15</x:v>
      </x:c>
      <x:c r="B21" s="251"/>
      <x:c r="C21" s="252">
        <x:f>SUM(C17:E20)</x:f>
        <x:v>0</x:v>
      </x:c>
      <x:c r="D21" s="253"/>
      <x:c r="E21" s="253"/>
      <x:c r="F21" s="254"/>
      <x:c r="G21" s="4" t="s">
        <x:v>15</x:v>
      </x:c>
      <x:c r="H21" s="255">
        <x:f>SUM(H17:K20)</x:f>
        <x:v>0</x:v>
      </x:c>
      <x:c r="I21" s="255"/>
      <x:c r="J21" s="255"/>
      <x:c r="K21" s="256"/>
    </x:row>
  </x:sheetData>
  <x:mergeCells count="62">
    <x:mergeCell ref="A2:B2"/>
    <x:mergeCell ref="C2:D2"/>
    <x:mergeCell ref="E2:F2"/>
    <x:mergeCell ref="H2:K2"/>
    <x:mergeCell ref="A3:B3"/>
    <x:mergeCell ref="C3:D3"/>
    <x:mergeCell ref="E3:F3"/>
    <x:mergeCell ref="H3:K7"/>
    <x:mergeCell ref="A4:B4"/>
    <x:mergeCell ref="C4:D4"/>
    <x:mergeCell ref="E4:F4"/>
    <x:mergeCell ref="A5:B5"/>
    <x:mergeCell ref="C5:D5"/>
    <x:mergeCell ref="E5:F5"/>
    <x:mergeCell ref="A6:B6"/>
    <x:mergeCell ref="C6:D6"/>
    <x:mergeCell ref="E6:F6"/>
    <x:mergeCell ref="A7:B10"/>
    <x:mergeCell ref="C7:G10"/>
    <x:mergeCell ref="I8:J8"/>
    <x:mergeCell ref="H9:H10"/>
    <x:mergeCell ref="I9:J9"/>
    <x:mergeCell ref="I10:J10"/>
    <x:mergeCell ref="A11:B11"/>
    <x:mergeCell ref="C11:G11"/>
    <x:mergeCell ref="I11:K11"/>
    <x:mergeCell ref="A12:B12"/>
    <x:mergeCell ref="C12:G12"/>
    <x:mergeCell ref="I12:K12"/>
    <x:mergeCell ref="E13:G13"/>
    <x:mergeCell ref="H13:I13"/>
    <x:mergeCell ref="J13:K13"/>
    <x:mergeCell ref="A14:B14"/>
    <x:mergeCell ref="C14:D14"/>
    <x:mergeCell ref="E14:G14"/>
    <x:mergeCell ref="H14:I14"/>
    <x:mergeCell ref="J14:K14"/>
    <x:mergeCell ref="A1:K1"/>
    <x:mergeCell ref="A19:B19"/>
    <x:mergeCell ref="C19:F19"/>
    <x:mergeCell ref="H19:K19"/>
    <x:mergeCell ref="A20:B20"/>
    <x:mergeCell ref="C20:F20"/>
    <x:mergeCell ref="H20:K20"/>
    <x:mergeCell ref="A17:B17"/>
    <x:mergeCell ref="C17:F17"/>
    <x:mergeCell ref="H17:K17"/>
    <x:mergeCell ref="A18:B18"/>
    <x:mergeCell ref="C18:F18"/>
    <x:mergeCell ref="A16:F16"/>
    <x:mergeCell ref="G16:K16"/>
    <x:mergeCell ref="A13:B13"/>
    <x:mergeCell ref="C13:D13"/>
    <x:mergeCell ref="H18:K18"/>
    <x:mergeCell ref="J15:K15"/>
    <x:mergeCell ref="A21:B21"/>
    <x:mergeCell ref="C21:F21"/>
    <x:mergeCell ref="H21:K21"/>
    <x:mergeCell ref="A15:B15"/>
    <x:mergeCell ref="C15:D15"/>
    <x:mergeCell ref="E15:G15"/>
    <x:mergeCell ref="H15:I15"/>
  </x:mergeCells>
  <x:pageMargins left="0.52958333492279053" right="0.47972223162651062" top="0.97000002861022949" bottom="0.49000000953674316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pageSetUpPr autoPageBreaks="1" fitToPage="1"/>
  </x:sheetPr>
  <x:dimension ref="A1:U58"/>
  <x:sheetViews>
    <x:sheetView topLeftCell="A1" zoomScaleNormal="100" zoomScaleSheetLayoutView="75" workbookViewId="0">
      <x:selection activeCell="N16" activeCellId="0" sqref="N16:N16"/>
    </x:sheetView>
  </x:sheetViews>
  <x:sheetFormatPr defaultColWidth="9" defaultRowHeight="16.5" customHeight="1"/>
  <x:cols>
    <x:col min="1" max="1" width="13.75" style="1" customWidth="1"/>
    <x:col min="2" max="2" width="13.875" style="1" customWidth="1"/>
    <x:col min="3" max="3" width="13.375" style="1" customWidth="1"/>
    <x:col min="4" max="4" width="20.625" style="1" customWidth="1"/>
    <x:col min="5" max="5" width="16" style="1" customWidth="1"/>
    <x:col min="6" max="6" width="11.375" style="1" customWidth="1"/>
    <x:col min="7" max="7" width="20.625" style="1" customWidth="1"/>
    <x:col min="8" max="8" width="15.25" style="1" customWidth="1"/>
    <x:col min="9" max="9" width="14.875" style="1" customWidth="1"/>
    <x:col min="10" max="10" width="14" style="1" customWidth="1"/>
    <x:col min="11" max="11" width="14.25" style="1" customWidth="1"/>
    <x:col min="12" max="12" width="0.875" style="1" customWidth="1"/>
    <x:col min="13" max="13" width="14.5" style="1" customWidth="1"/>
    <x:col min="14" max="14" width="13" style="1" customWidth="1"/>
    <x:col min="16" max="16" width="12.125" style="1" bestFit="1" customWidth="1"/>
    <x:col min="20" max="20" width="13" style="1" bestFit="1" customWidth="1"/>
    <x:col min="21" max="21" width="10.875" style="1" bestFit="1" customWidth="1"/>
  </x:cols>
  <x:sheetData>
    <x:row r="1" spans="5:5" customHeight="1">
      <x:c r="E1" s="139" t="s">
        <x:v>34</x:v>
      </x:c>
    </x:row>
    <x:row r="2" spans="1:2" ht="16.399999999999999">
      <x:c r="A2" s="11"/>
      <x:c r="B2" s="11"/>
    </x:row>
    <x:row r="3" ht="16.399999999999999"/>
    <x:row r="4" spans="1:16" customHeight="1">
      <x:c r="A4" s="179" t="s">
        <x:v>72</x:v>
      </x:c>
      <x:c r="B4" s="180"/>
      <x:c r="C4" s="180"/>
      <x:c r="D4" s="180"/>
      <x:c r="E4" s="181"/>
      <x:c r="F4" s="179" t="s">
        <x:v>111</x:v>
      </x:c>
      <x:c r="G4" s="180"/>
      <x:c r="H4" s="180"/>
      <x:c r="I4" s="180"/>
      <x:c r="J4" s="180"/>
      <x:c r="K4" s="181"/>
      <x:c r="M4" s="69"/>
      <x:c r="N4" s="69"/>
      <x:c r="O4" s="69"/>
      <x:c r="P4" s="69"/>
    </x:row>
    <x:row r="5" spans="1:16" s="15" customFormat="1" ht="17.149999999999999">
      <x:c r="A5" s="182" t="s">
        <x:v>1</x:v>
      </x:c>
      <x:c r="B5" s="183"/>
      <x:c r="C5" s="13"/>
      <x:c r="D5" s="13" t="s">
        <x:v>77</x:v>
      </x:c>
      <x:c r="E5" s="14" t="s">
        <x:v>124</x:v>
      </x:c>
      <x:c r="F5" s="12" t="s">
        <x:v>1</x:v>
      </x:c>
      <x:c r="G5" s="13" t="s">
        <x:v>36</x:v>
      </x:c>
      <x:c r="H5" s="13" t="s">
        <x:v>5</x:v>
      </x:c>
      <x:c r="I5" s="14"/>
      <x:c r="J5" s="13" t="s">
        <x:v>77</x:v>
      </x:c>
      <x:c r="K5" s="14"/>
      <x:c r="M5" s="76" t="s">
        <x:v>117</x:v>
      </x:c>
      <x:c r="N5" s="126">
        <x:f>SUM('1:31'!G6)</x:f>
        <x:v>22252200</x:v>
      </x:c>
      <x:c r="O5" s="69"/>
      <x:c r="P5" s="69"/>
    </x:row>
    <x:row r="6" spans="1:16" ht="16.399999999999999">
      <x:c r="A6" s="158" t="s">
        <x:v>155</x:v>
      </x:c>
      <x:c r="B6" s="159"/>
      <x:c r="C6" s="16">
        <x:v>6985000</x:v>
      </x:c>
      <x:c r="D6" s="16">
        <x:f>C6</x:f>
        <x:v>6985000</x:v>
      </x:c>
      <x:c r="E6" s="145">
        <x:f>D6/$B$45</x:f>
        <x:v>0.053074563493058516</x:v>
      </x:c>
      <x:c r="F6" s="174" t="s">
        <x:v>54</x:v>
      </x:c>
      <x:c r="G6" s="67" t="s">
        <x:v>19</x:v>
      </x:c>
      <x:c r="H6" s="16">
        <x:f>SUM('1:31'!I4)</x:f>
        <x:v>33802454</x:v>
      </x:c>
      <x:c r="I6" s="70">
        <x:f>H6/$B$45</x:f>
        <x:v>0.25684330580446524</x:v>
      </x:c>
      <x:c r="J6" s="177">
        <x:f>SUM(H6:H18)</x:f>
        <x:v>46897702</x:v>
      </x:c>
      <x:c r="K6" s="184">
        <x:f>J6/$B$45</x:f>
        <x:v>0.35634574981782924</x:v>
      </x:c>
      <x:c r="M6" s="75"/>
      <x:c r="N6" s="127"/>
      <x:c r="O6" s="69"/>
      <x:c r="P6" s="69"/>
    </x:row>
    <x:row r="7" spans="1:16" ht="16.75">
      <x:c r="A7" s="158" t="s">
        <x:v>3</x:v>
      </x:c>
      <x:c r="B7" s="159"/>
      <x:c r="C7" s="16">
        <x:v>2600000</x:v>
      </x:c>
      <x:c r="D7" s="16">
        <x:f>C7</x:f>
        <x:v>2600000</x:v>
      </x:c>
      <x:c r="E7" s="17">
        <x:f t="shared" ref="E7:E17" si="0">D7/$B$45</x:f>
        <x:v>0.01975574303249136</x:v>
      </x:c>
      <x:c r="F7" s="175"/>
      <x:c r="G7" s="67" t="s">
        <x:v>54</x:v>
      </x:c>
      <x:c r="H7" s="16">
        <x:f>SUM('1:31'!I5)</x:f>
        <x:v>5021064</x:v>
      </x:c>
      <x:c r="I7" s="70">
        <x:f>H7/$B$45</x:f>
        <x:v>0.038151865436035846</x:v>
      </x:c>
      <x:c r="J7" s="164"/>
      <x:c r="K7" s="173"/>
      <x:c r="M7" s="144" t="s">
        <x:v>84</x:v>
      </x:c>
      <x:c r="N7" s="128">
        <x:f>SUM('31'!C15)</x:f>
        <x:v>733</x:v>
      </x:c>
      <x:c r="O7" s="69"/>
      <x:c r="P7" s="69"/>
    </x:row>
    <x:row r="8" spans="1:16" ht="16.399999999999999">
      <x:c r="A8" s="158" t="s">
        <x:v>45</x:v>
      </x:c>
      <x:c r="B8" s="159"/>
      <x:c r="C8" s="16">
        <x:v>154000</x:v>
      </x:c>
      <x:c r="D8" s="16">
        <x:f t="shared" ref="D8:D17" si="1">C8</x:f>
        <x:v>154000</x:v>
      </x:c>
      <x:c r="E8" s="17">
        <x:f>D8/$B$45</x:f>
        <x:v>0.0011701478565398727</x:v>
      </x:c>
      <x:c r="F8" s="175"/>
      <x:c r="G8" s="67" t="s">
        <x:v>11</x:v>
      </x:c>
      <x:c r="H8" s="16">
        <x:f>SUM('1:31'!I7)</x:f>
        <x:v>3871150</x:v>
      </x:c>
      <x:c r="I8" s="146">
        <x:f>H8/$B$45</x:f>
        <x:v>0.02941440178470343</x:v>
      </x:c>
      <x:c r="J8" s="164"/>
      <x:c r="K8" s="173"/>
      <x:c r="M8" s="77" t="s">
        <x:v>8</x:v>
      </x:c>
      <x:c r="N8" s="129">
        <x:f>SUM('31'!C13)</x:f>
        <x:v>450</x:v>
      </x:c>
      <x:c r="O8" s="69"/>
      <x:c r="P8" s="69"/>
    </x:row>
    <x:row r="9" spans="1:16" ht="16.399999999999999">
      <x:c r="A9" s="160" t="s">
        <x:v>6</x:v>
      </x:c>
      <x:c r="B9" s="159"/>
      <x:c r="C9" s="16">
        <x:v>670000</x:v>
      </x:c>
      <x:c r="D9" s="16">
        <x:f t="shared" si="1"/>
        <x:v>670000</x:v>
      </x:c>
      <x:c r="E9" s="17">
        <x:f t="shared" si="0"/>
        <x:v>0.0050909030122189272</x:v>
      </x:c>
      <x:c r="F9" s="175"/>
      <x:c r="G9" s="67" t="s">
        <x:v>14</x:v>
      </x:c>
      <x:c r="H9" s="16">
        <x:f>SUM('1:31'!I8)</x:f>
        <x:v>780000</x:v>
      </x:c>
      <x:c r="I9" s="146">
        <x:f>H9/$B$45</x:f>
        <x:v>0.0059267229097474073</x:v>
      </x:c>
      <x:c r="J9" s="164"/>
      <x:c r="K9" s="173"/>
      <x:c r="M9" s="77" t="s">
        <x:v>51</x:v>
      </x:c>
      <x:c r="N9" s="129">
        <x:f>SUM('31'!C17)</x:f>
        <x:v>177</x:v>
      </x:c>
      <x:c r="O9" s="69"/>
      <x:c r="P9" s="69"/>
    </x:row>
    <x:row r="10" spans="1:16" ht="16.399999999999999">
      <x:c r="A10" s="158" t="s">
        <x:v>119</x:v>
      </x:c>
      <x:c r="B10" s="159"/>
      <x:c r="C10" s="16">
        <x:v>66000</x:v>
      </x:c>
      <x:c r="D10" s="16">
        <x:f t="shared" si="1"/>
        <x:v>66000</x:v>
      </x:c>
      <x:c r="E10" s="17">
        <x:f t="shared" si="0"/>
        <x:v>0.00050149193851708833</x:v>
      </x:c>
      <x:c r="F10" s="175"/>
      <x:c r="G10" s="67" t="s">
        <x:v>151</x:v>
      </x:c>
      <x:c r="H10" s="16">
        <x:f>SUM('1:31'!I11)</x:f>
        <x:v>200000</x:v>
      </x:c>
      <x:c r="I10" s="70">
        <x:f>H10/$B$45</x:f>
        <x:v>0.0015196725409608737</x:v>
      </x:c>
      <x:c r="J10" s="164"/>
      <x:c r="K10" s="173"/>
      <x:c r="M10" s="77" t="s">
        <x:v>83</x:v>
      </x:c>
      <x:c r="N10" s="129">
        <x:f>SUM('31'!F13)</x:f>
        <x:v>636</x:v>
      </x:c>
      <x:c r="O10" s="69"/>
      <x:c r="P10" s="69"/>
    </x:row>
    <x:row r="11" spans="1:16" ht="16.399999999999999">
      <x:c r="A11" s="158" t="s">
        <x:v>44</x:v>
      </x:c>
      <x:c r="B11" s="159"/>
      <x:c r="C11" s="16">
        <x:v>330000</x:v>
      </x:c>
      <x:c r="D11" s="16">
        <x:f t="shared" si="1"/>
        <x:v>330000</x:v>
      </x:c>
      <x:c r="E11" s="17">
        <x:f t="shared" si="0"/>
        <x:v>0.0025074596925854418</x:v>
      </x:c>
      <x:c r="F11" s="175"/>
      <x:c r="G11" s="67" t="s">
        <x:v>58</x:v>
      </x:c>
      <x:c r="H11" s="16">
        <x:f>SUM('1:31'!I12)</x:f>
        <x:v>53400</x:v>
      </x:c>
      <x:c r="I11" s="70">
        <x:f>H11/$B$45</x:f>
        <x:v>0.00040575256843655331</x:v>
      </x:c>
      <x:c r="J11" s="164"/>
      <x:c r="K11" s="173"/>
      <x:c r="M11" s="77" t="s">
        <x:v>73</x:v>
      </x:c>
      <x:c r="N11" s="129">
        <x:f>SUM('31'!F15)</x:f>
        <x:v>430</x:v>
      </x:c>
      <x:c r="O11" s="69"/>
      <x:c r="P11" s="69"/>
    </x:row>
    <x:row r="12" spans="1:16" ht="16.399999999999999">
      <x:c r="A12" s="158" t="s">
        <x:v>53</x:v>
      </x:c>
      <x:c r="B12" s="159"/>
      <x:c r="C12" s="16">
        <x:v>48000</x:v>
      </x:c>
      <x:c r="D12" s="16">
        <x:f t="shared" si="1"/>
        <x:v>48000</x:v>
      </x:c>
      <x:c r="E12" s="17">
        <x:f t="shared" si="0"/>
        <x:v>0.0003647214098306097</x:v>
      </x:c>
      <x:c r="F12" s="175"/>
      <x:c r="G12" s="67" t="s">
        <x:v>104</x:v>
      </x:c>
      <x:c r="H12" s="16">
        <x:f>SUM('1:31'!I13)</x:f>
        <x:v>0</x:v>
      </x:c>
      <x:c r="I12" s="70">
        <x:f>H12/$B$45</x:f>
        <x:v>0</x:v>
      </x:c>
      <x:c r="J12" s="164"/>
      <x:c r="K12" s="173"/>
      <x:c r="M12" s="77" t="s">
        <x:v>81</x:v>
      </x:c>
      <x:c r="N12" s="129">
        <x:f>SUM('31'!F17)</x:f>
        <x:v>377</x:v>
      </x:c>
      <x:c r="O12" s="69"/>
      <x:c r="P12" s="69"/>
    </x:row>
    <x:row r="13" spans="1:16" ht="16.399999999999999">
      <x:c r="A13" s="160" t="s">
        <x:v>71</x:v>
      </x:c>
      <x:c r="B13" s="159"/>
      <x:c r="C13" s="16">
        <x:v>66000</x:v>
      </x:c>
      <x:c r="D13" s="16">
        <x:f t="shared" si="1"/>
        <x:v>66000</x:v>
      </x:c>
      <x:c r="E13" s="17">
        <x:f t="shared" si="0"/>
        <x:v>0.00050149193851708833</x:v>
      </x:c>
      <x:c r="F13" s="175"/>
      <x:c r="G13" s="67" t="s">
        <x:v>61</x:v>
      </x:c>
      <x:c r="H13" s="16">
        <x:f>SUM('1:31'!I14)</x:f>
        <x:v>0</x:v>
      </x:c>
      <x:c r="I13" s="70">
        <x:f>H13/$B$45</x:f>
        <x:v>0</x:v>
      </x:c>
      <x:c r="J13" s="164"/>
      <x:c r="K13" s="173"/>
      <x:c r="M13" s="143" t="s">
        <x:v>107</x:v>
      </x:c>
      <x:c r="N13" s="129">
        <x:f>SUM('31'!C19)</x:f>
        <x:v>895</x:v>
      </x:c>
      <x:c r="O13" s="69"/>
      <x:c r="P13" s="69"/>
    </x:row>
    <x:row r="14" spans="1:16" ht="16.399999999999999">
      <x:c r="A14" s="158"/>
      <x:c r="B14" s="159"/>
      <x:c r="C14" s="16"/>
      <x:c r="D14" s="16">
        <x:f t="shared" si="1"/>
        <x:v>0</x:v>
      </x:c>
      <x:c r="E14" s="17">
        <x:f t="shared" si="0"/>
        <x:v>0</x:v>
      </x:c>
      <x:c r="F14" s="175"/>
      <x:c r="G14" s="67" t="s">
        <x:v>18</x:v>
      </x:c>
      <x:c r="H14" s="16">
        <x:f>SUM('1:31'!I17)</x:f>
        <x:v>8000</x:v>
      </x:c>
      <x:c r="I14" s="70">
        <x:f>H14/$B$45</x:f>
        <x:v>6.0786901638434952E-5</x:v>
      </x:c>
      <x:c r="J14" s="164"/>
      <x:c r="K14" s="173"/>
      <x:c r="M14" s="131" t="s">
        <x:v>85</x:v>
      </x:c>
      <x:c r="N14" s="129">
        <x:f>SUM('31'!F19)</x:f>
        <x:v>92</x:v>
      </x:c>
      <x:c r="O14" s="69"/>
      <x:c r="P14" s="69"/>
    </x:row>
    <x:row r="15" spans="1:16" ht="16.75">
      <x:c r="A15" s="158"/>
      <x:c r="B15" s="159"/>
      <x:c r="C15" s="16"/>
      <x:c r="D15" s="16">
        <x:f t="shared" si="1"/>
        <x:v>0</x:v>
      </x:c>
      <x:c r="E15" s="17">
        <x:f t="shared" si="0"/>
        <x:v>0</x:v>
      </x:c>
      <x:c r="F15" s="175"/>
      <x:c r="G15" s="150" t="s">
        <x:v>64</x:v>
      </x:c>
      <x:c r="H15" s="91">
        <x:f>SUM('1:31'!I15)</x:f>
        <x:v>3161634</x:v>
      </x:c>
      <x:c r="I15" s="72">
        <x:f>H15/$B$45</x:f>
        <x:v>0.024023241871841454</x:v>
      </x:c>
      <x:c r="J15" s="164"/>
      <x:c r="K15" s="173"/>
      <x:c r="M15" s="140" t="s">
        <x:v>90</x:v>
      </x:c>
      <x:c r="N15" s="130">
        <x:f>SUM('31'!F21)</x:f>
        <x:v>1684</x:v>
      </x:c>
      <x:c r="O15" s="69"/>
      <x:c r="P15" s="69"/>
    </x:row>
    <x:row r="16" spans="1:16" ht="16.399999999999999">
      <x:c r="A16" s="161" t="s">
        <x:v>48</x:v>
      </x:c>
      <x:c r="B16" s="162"/>
      <x:c r="C16" s="16"/>
      <x:c r="D16" s="16">
        <x:f t="shared" si="1"/>
        <x:v>0</x:v>
      </x:c>
      <x:c r="E16" s="17">
        <x:f t="shared" si="0"/>
        <x:v>0</x:v>
      </x:c>
      <x:c r="F16" s="175"/>
      <x:c r="J16" s="164"/>
      <x:c r="K16" s="173"/>
      <x:c r="M16" s="75"/>
      <x:c r="N16" s="127"/>
      <x:c r="O16" s="69"/>
      <x:c r="P16" s="69"/>
    </x:row>
    <x:row r="17" spans="1:16" ht="16.399999999999999">
      <x:c r="A17" s="161" t="s">
        <x:v>153</x:v>
      </x:c>
      <x:c r="B17" s="162"/>
      <x:c r="C17" s="16">
        <x:v>1461690</x:v>
      </x:c>
      <x:c r="D17" s="16">
        <x:f t="shared" si="1"/>
        <x:v>1461690</x:v>
      </x:c>
      <x:c r="E17" s="17">
        <x:f t="shared" si="0"/>
        <x:v>0.011106450781985498</x:v>
      </x:c>
      <x:c r="F17" s="175"/>
      <x:c r="J17" s="164"/>
      <x:c r="K17" s="173"/>
      <x:c r="M17" s="69"/>
      <x:c r="N17" s="69"/>
      <x:c r="O17" s="69"/>
      <x:c r="P17" s="69"/>
    </x:row>
    <x:row r="18" spans="1:14" ht="17.149999999999999">
      <x:c r="A18" s="190" t="s">
        <x:v>76</x:v>
      </x:c>
      <x:c r="B18" s="191"/>
      <x:c r="C18" s="192">
        <x:f>SUM(D6:D17)</x:f>
        <x:v>12380690</x:v>
      </x:c>
      <x:c r="D18" s="193"/>
      <x:c r="E18" s="90">
        <x:f>SUM(E6:E17)</x:f>
        <x:v>0.094072973155744408</x:v>
      </x:c>
      <x:c r="F18" s="176"/>
      <x:c r="J18" s="178"/>
      <x:c r="K18" s="185"/>
      <x:c r="M18" s="82"/>
      <x:c r="N18" s="69"/>
    </x:row>
    <x:row r="19" spans="1:14" ht="17.449999999999999" customHeight="1">
      <x:c r="A19" s="194" t="s">
        <x:v>148</x:v>
      </x:c>
      <x:c r="B19" s="96" t="s">
        <x:v>17</x:v>
      </x:c>
      <x:c r="C19" s="106">
        <x:v>3300000</x:v>
      </x:c>
      <x:c r="D19" s="164">
        <x:f>SUM(C19:C30)</x:f>
        <x:v>15005250</x:v>
      </x:c>
      <x:c r="E19" s="167">
        <x:f>D19/$B$45</x:f>
        <x:v>0.11401533197626576</x:v>
      </x:c>
      <x:c r="F19" s="200" t="s">
        <x:v>133</x:v>
      </x:c>
      <x:c r="G19" s="151" t="s">
        <x:v>24</x:v>
      </x:c>
      <x:c r="H19" s="16">
        <x:f>SUM('1:31'!K4)</x:f>
        <x:v>924000</x:v>
      </x:c>
      <x:c r="I19" s="71">
        <x:f t="shared" ref="I19:I22" si="2">H19/$B$45</x:f>
        <x:v>0.0070208871392392364</x:v>
      </x:c>
      <x:c r="J19" s="163">
        <x:f>SUM(H19:H32)</x:f>
        <x:v>2389591</x:v>
      </x:c>
      <x:c r="K19" s="172">
        <x:f>J19/$B$45</x:f>
        <x:v>0.018156979134136178</x:v>
      </x:c>
      <x:c r="M19" s="69"/>
      <x:c r="N19" s="69"/>
    </x:row>
    <x:row r="20" spans="1:16" ht="16.399999999999999">
      <x:c r="A20" s="194"/>
      <x:c r="B20" s="138"/>
      <x:c r="C20" s="16"/>
      <x:c r="D20" s="164"/>
      <x:c r="E20" s="168"/>
      <x:c r="F20" s="201"/>
      <x:c r="G20" s="152" t="s">
        <x:v>99</x:v>
      </x:c>
      <x:c r="H20" s="16">
        <x:f>SUM('1:31'!K6)</x:f>
        <x:v>0</x:v>
      </x:c>
      <x:c r="I20" s="70">
        <x:f t="shared" si="2"/>
        <x:v>0</x:v>
      </x:c>
      <x:c r="J20" s="164"/>
      <x:c r="K20" s="173"/>
      <x:c r="M20" s="69"/>
      <x:c r="N20" s="69"/>
      <x:c r="P20" s="92"/>
    </x:row>
    <x:row r="21" spans="1:16" ht="16.399999999999999">
      <x:c r="A21" s="194"/>
      <x:c r="D21" s="164"/>
      <x:c r="E21" s="168"/>
      <x:c r="F21" s="201"/>
      <x:c r="G21" s="152" t="s">
        <x:v>63</x:v>
      </x:c>
      <x:c r="H21" s="16">
        <x:f>SUM('1:31'!K7)</x:f>
        <x:v>25000</x:v>
      </x:c>
      <x:c r="I21" s="70">
        <x:f t="shared" si="2"/>
        <x:v>0.00018995906762010921</x:v>
      </x:c>
      <x:c r="J21" s="164"/>
      <x:c r="K21" s="173"/>
      <x:c r="M21" s="69"/>
      <x:c r="N21" s="69"/>
      <x:c r="P21" s="92"/>
    </x:row>
    <x:row r="22" spans="1:16" ht="16.399999999999999">
      <x:c r="A22" s="194"/>
      <x:c r="B22" s="138" t="s">
        <x:v>38</x:v>
      </x:c>
      <x:c r="C22" s="16">
        <x:v>3300000</x:v>
      </x:c>
      <x:c r="D22" s="164"/>
      <x:c r="E22" s="168"/>
      <x:c r="F22" s="201"/>
      <x:c r="G22" s="67" t="s">
        <x:v>154</x:v>
      </x:c>
      <x:c r="H22" s="16">
        <x:f>SUM('1:31'!K9)</x:f>
        <x:v>0</x:v>
      </x:c>
      <x:c r="I22" s="70">
        <x:f t="shared" si="2"/>
        <x:v>0</x:v>
      </x:c>
      <x:c r="J22" s="164"/>
      <x:c r="K22" s="173"/>
      <x:c r="M22" s="69"/>
      <x:c r="N22" s="69"/>
      <x:c r="P22" s="92"/>
    </x:row>
    <x:row r="23" spans="1:16" ht="16.399999999999999">
      <x:c r="A23" s="194"/>
      <x:c r="D23" s="164"/>
      <x:c r="E23" s="168"/>
      <x:c r="F23" s="201"/>
      <x:c r="G23" s="67" t="s">
        <x:v>23</x:v>
      </x:c>
      <x:c r="H23" s="16">
        <x:f>SUM('1:31'!K10)</x:f>
        <x:v>57200</x:v>
      </x:c>
      <x:c r="I23" s="70">
        <x:f>H23/$B$45</x:f>
        <x:v>0.00043462634671480988</x:v>
      </x:c>
      <x:c r="J23" s="164"/>
      <x:c r="K23" s="173"/>
      <x:c r="M23" s="69"/>
      <x:c r="N23" s="69"/>
      <x:c r="P23" s="92"/>
    </x:row>
    <x:row r="24" spans="1:16" ht="16.399999999999999">
      <x:c r="A24" s="194"/>
      <x:c r="B24" s="138" t="s">
        <x:v>28</x:v>
      </x:c>
      <x:c r="C24" s="16">
        <x:v>1500000</x:v>
      </x:c>
      <x:c r="D24" s="164"/>
      <x:c r="E24" s="168"/>
      <x:c r="F24" s="201"/>
      <x:c r="G24" s="67" t="s">
        <x:v>125</x:v>
      </x:c>
      <x:c r="H24" s="16">
        <x:f>SUM('1:31'!K11)</x:f>
        <x:v>0</x:v>
      </x:c>
      <x:c r="I24" s="70">
        <x:f>H24/$B$45</x:f>
        <x:v>0</x:v>
      </x:c>
      <x:c r="J24" s="164"/>
      <x:c r="K24" s="173"/>
      <x:c r="M24" s="69"/>
      <x:c r="N24" s="69"/>
      <x:c r="P24" s="15"/>
    </x:row>
    <x:row r="25" spans="1:14" ht="16.399999999999999">
      <x:c r="A25" s="194"/>
      <x:c r="D25" s="164"/>
      <x:c r="E25" s="168"/>
      <x:c r="F25" s="201"/>
      <x:c r="G25" s="67" t="s">
        <x:v>143</x:v>
      </x:c>
      <x:c r="H25" s="16">
        <x:f>SUM('1:31'!K15)</x:f>
        <x:v>15000</x:v>
      </x:c>
      <x:c r="I25" s="70">
        <x:f>H25/$B$45</x:f>
        <x:v>0.00011397544057206553</x:v>
      </x:c>
      <x:c r="J25" s="164"/>
      <x:c r="K25" s="173"/>
      <x:c r="M25" s="69"/>
      <x:c r="N25" s="69"/>
    </x:row>
    <x:row r="26" spans="1:21" ht="16.399999999999999">
      <x:c r="A26" s="194"/>
      <x:c r="B26" s="138" t="s">
        <x:v>37</x:v>
      </x:c>
      <x:c r="C26" s="16">
        <x:f>SUM('1:31'!F28)</x:f>
        <x:v>2707250</x:v>
      </x:c>
      <x:c r="D26" s="164"/>
      <x:c r="E26" s="168"/>
      <x:c r="F26" s="201"/>
      <x:c r="G26" s="67" t="s">
        <x:v>105</x:v>
      </x:c>
      <x:c r="H26" s="16">
        <x:f>SUM('1:31'!K16)</x:f>
        <x:v>1364391</x:v>
      </x:c>
      <x:c r="I26" s="70">
        <x:f>H26/$B$45</x:f>
        <x:v>0.010367137689170738</x:v>
      </x:c>
      <x:c r="J26" s="164"/>
      <x:c r="K26" s="173"/>
      <x:c r="M26" s="69"/>
      <x:c r="N26" s="69"/>
      <x:c r="P26" s="92"/>
      <x:c r="T26" s="105"/>
      <x:c r="U26" s="104"/>
    </x:row>
    <x:row r="27" spans="1:21" ht="16.399999999999999">
      <x:c r="A27" s="194"/>
      <x:c r="B27" s="138" t="s">
        <x:v>12</x:v>
      </x:c>
      <x:c r="C27" s="16">
        <x:f>SUM('1:31'!F27)</x:f>
        <x:v>1319500</x:v>
      </x:c>
      <x:c r="D27" s="164"/>
      <x:c r="E27" s="168"/>
      <x:c r="F27" s="201"/>
      <x:c r="G27" s="67" t="s">
        <x:v>97</x:v>
      </x:c>
      <x:c r="H27" s="16">
        <x:f>SUM('1:31'!K17)</x:f>
        <x:v>4000</x:v>
      </x:c>
      <x:c r="I27" s="70">
        <x:f>H27/$B$45</x:f>
        <x:v>3.0393450819217476E-5</x:v>
      </x:c>
      <x:c r="J27" s="164"/>
      <x:c r="K27" s="173"/>
      <x:c r="M27" s="69"/>
      <x:c r="N27" s="69"/>
      <x:c r="P27" s="92"/>
      <x:c r="T27" s="105"/>
      <x:c r="U27" s="104"/>
    </x:row>
    <x:row r="28" spans="1:21" ht="16.399999999999999">
      <x:c r="A28" s="194"/>
      <x:c r="B28" s="138" t="s">
        <x:v>147</x:v>
      </x:c>
      <x:c r="C28" s="16">
        <x:f>SUM('1:31'!F29)</x:f>
        <x:v>760500</x:v>
      </x:c>
      <x:c r="D28" s="164"/>
      <x:c r="E28" s="168"/>
      <x:c r="F28" s="201"/>
      <x:c r="G28" s="67"/>
      <x:c r="H28" s="16"/>
      <x:c r="I28" s="70"/>
      <x:c r="J28" s="164"/>
      <x:c r="K28" s="173"/>
      <x:c r="P28" s="92"/>
      <x:c r="T28" s="105"/>
      <x:c r="U28" s="104"/>
    </x:row>
    <x:row r="29" spans="1:21" ht="16.399999999999999">
      <x:c r="A29" s="194"/>
      <x:c r="B29" s="138" t="s">
        <x:v>79</x:v>
      </x:c>
      <x:c r="C29" s="16">
        <x:f>SUM('1:31'!F32)</x:f>
        <x:v>1562000</x:v>
      </x:c>
      <x:c r="D29" s="164"/>
      <x:c r="E29" s="168"/>
      <x:c r="F29" s="201"/>
      <x:c r="J29" s="164"/>
      <x:c r="K29" s="173"/>
      <x:c r="P29" s="92"/>
      <x:c r="T29" s="105"/>
      <x:c r="U29" s="104"/>
    </x:row>
    <x:row r="30" spans="1:21" ht="16.399999999999999">
      <x:c r="A30" s="194"/>
      <x:c r="B30" s="138" t="s">
        <x:v>10</x:v>
      </x:c>
      <x:c r="C30" s="16">
        <x:f>SUM('1:31'!F31)</x:f>
        <x:v>556000</x:v>
      </x:c>
      <x:c r="D30" s="164"/>
      <x:c r="E30" s="168"/>
      <x:c r="F30" s="201"/>
      <x:c r="J30" s="164"/>
      <x:c r="K30" s="173"/>
      <x:c r="P30" s="92"/>
      <x:c r="T30" s="105"/>
      <x:c r="U30" s="104"/>
    </x:row>
    <x:row r="31" spans="1:11" ht="16.399999999999999">
      <x:c r="A31" s="195"/>
      <x:c r="B31" s="138" t="s">
        <x:v>15</x:v>
      </x:c>
      <x:c r="C31" s="16">
        <x:f>SUM(C19:C30)</x:f>
        <x:v>15005250</x:v>
      </x:c>
      <x:c r="D31" s="169"/>
      <x:c r="E31" s="168"/>
      <x:c r="F31" s="201"/>
      <x:c r="J31" s="164"/>
      <x:c r="K31" s="173"/>
    </x:row>
    <x:row r="32" spans="1:11" ht="16.399999999999999">
      <x:c r="A32" s="170" t="s">
        <x:v>129</x:v>
      </x:c>
      <x:c r="B32" s="171"/>
      <x:c r="C32" s="19">
        <x:f>SUM(C19:C22)*0.1</x:f>
        <x:v>660000</x:v>
      </x:c>
      <x:c r="D32" s="16">
        <x:f>C32</x:f>
        <x:v>660000</x:v>
      </x:c>
      <x:c r="E32" s="173">
        <x:f>(D32:D33)/$B$45</x:f>
        <x:v>0.0050149193851708835</x:v>
      </x:c>
      <x:c r="F32" s="201"/>
      <x:c r="G32" s="103"/>
      <x:c r="H32" s="83"/>
      <x:c r="I32" s="70"/>
      <x:c r="J32" s="164"/>
      <x:c r="K32" s="173"/>
    </x:row>
    <x:row r="33" spans="1:11" ht="16.75">
      <x:c r="A33" s="188" t="s">
        <x:v>78</x:v>
      </x:c>
      <x:c r="B33" s="189"/>
      <x:c r="C33" s="141"/>
      <x:c r="D33" s="142">
        <x:f>C33</x:f>
        <x:v>0</x:v>
      </x:c>
      <x:c r="E33" s="185"/>
      <x:c r="F33" s="196" t="s">
        <x:v>132</x:v>
      </x:c>
      <x:c r="G33" s="197"/>
      <x:c r="H33" s="84">
        <x:f>SUM('1:31'!$G$5)</x:f>
        <x:v>216683</x:v>
      </x:c>
      <x:c r="I33" s="84"/>
      <x:c r="J33" s="84">
        <x:f>H33</x:f>
        <x:v>216683</x:v>
      </x:c>
      <x:c r="K33" s="85">
        <x:f>J33/$B$45</x:f>
        <x:v>0.0016464360259651251</x:v>
      </x:c>
    </x:row>
    <x:row r="34" spans="1:11" ht="21.399999999999999">
      <x:c r="A34" s="165" t="s">
        <x:v>76</x:v>
      </x:c>
      <x:c r="B34" s="166"/>
      <x:c r="C34" s="153">
        <x:f>SUM(C6:D17,C19:C24,C32:C33)</x:f>
        <x:v>33521380</x:v>
      </x:c>
      <x:c r="D34" s="154"/>
      <x:c r="E34" s="20">
        <x:f>SUM(E19:E33)</x:f>
        <x:v>0.11903025136143665</x:v>
      </x:c>
      <x:c r="F34" s="198" t="s">
        <x:v>160</x:v>
      </x:c>
      <x:c r="G34" s="199"/>
      <x:c r="H34" s="86">
        <x:f>SUM('1:31'!$G$4)</x:f>
        <x:v>2905298.25</x:v>
      </x:c>
      <x:c r="I34" s="86"/>
      <x:c r="J34" s="86">
        <x:f>H34</x:f>
        <x:v>2905298.25</x:v>
      </x:c>
      <x:c r="K34" s="87">
        <x:f>J34/$B$45</x:f>
        <x:v>0.022075509869133401</x:v>
      </x:c>
    </x:row>
    <x:row r="35" spans="1:11" ht="21.399999999999999">
      <x:c r="A35" s="156" t="s">
        <x:v>94</x:v>
      </x:c>
      <x:c r="B35" s="157"/>
      <x:c r="E35" s="21">
        <x:f>E18+E34</x:f>
        <x:v>0.21310322451718106</x:v>
      </x:c>
      <x:c r="F35" s="156"/>
      <x:c r="G35" s="157"/>
      <x:c r="H35" s="153">
        <x:f>SUM(J6:J34)</x:f>
        <x:v>52409274.25</x:v>
      </x:c>
      <x:c r="I35" s="154"/>
      <x:c r="J35" s="155"/>
      <x:c r="K35" s="22">
        <x:f>SUM(K6:K34)</x:f>
        <x:v>0.39822467484706398</x:v>
      </x:c>
    </x:row>
    <x:row r="36" spans="6:11" ht="20.649999999999999">
      <x:c r="F36" s="102"/>
      <x:c r="G36" s="102"/>
      <x:c r="H36" s="101"/>
      <x:c r="I36" s="101"/>
      <x:c r="J36" s="101"/>
      <x:c r="K36" s="100"/>
    </x:row>
    <x:row r="37" spans="1:4" ht="17.800000000000001">
      <x:c r="A37" s="23"/>
      <x:c r="B37" s="23"/>
      <x:c r="C37" s="23"/>
      <x:c r="D37" s="23"/>
    </x:row>
    <x:row r="38" spans="1:11" ht="18.199999999999999">
      <x:c r="A38" s="24" t="s">
        <x:v>1</x:v>
      </x:c>
      <x:c r="B38" s="25" t="s">
        <x:v>5</x:v>
      </x:c>
      <x:c r="C38" s="26" t="s">
        <x:v>118</x:v>
      </x:c>
      <x:c r="D38" s="99" t="s">
        <x:v>82</x:v>
      </x:c>
      <x:c r="F38" s="27" t="s">
        <x:v>66</x:v>
      </x:c>
      <x:c r="G38" s="28"/>
      <x:c r="H38" s="28"/>
      <x:c r="I38" s="28"/>
      <x:c r="J38" s="28"/>
      <x:c r="K38" s="29"/>
    </x:row>
    <x:row r="39" spans="1:11" ht="17.800000000000001">
      <x:c r="A39" s="118" t="s">
        <x:v>72</x:v>
      </x:c>
      <x:c r="B39" s="30">
        <x:f>$C$34</x:f>
        <x:v>33521380</x:v>
      </x:c>
      <x:c r="C39" s="31">
        <x:f>B39/$B$41</x:f>
        <x:v>0.39009804234092632</x:v>
      </x:c>
      <x:c r="D39" s="32">
        <x:f>B39/$B$45</x:f>
        <x:v>0.25470760360557509</x:v>
      </x:c>
      <x:c r="F39" s="33" t="s">
        <x:v>137</x:v>
      </x:c>
      <x:c r="G39" s="34"/>
      <x:c r="H39" s="34"/>
      <x:c r="I39" s="34"/>
      <x:c r="J39" s="34"/>
      <x:c r="K39" s="74"/>
    </x:row>
    <x:row r="40" spans="1:11" ht="17.800000000000001">
      <x:c r="A40" s="119" t="s">
        <x:v>111</x:v>
      </x:c>
      <x:c r="B40" s="35">
        <x:f>$H$35</x:f>
        <x:v>52409274.25</x:v>
      </x:c>
      <x:c r="C40" s="31">
        <x:f>B40/$B$41</x:f>
        <x:v>0.60990195765907373</x:v>
      </x:c>
      <x:c r="D40" s="32">
        <x:f>B40/$B$45</x:f>
        <x:v>0.39822467484706398</x:v>
      </x:c>
      <x:c r="F40" s="186" t="s">
        <x:v>27</x:v>
      </x:c>
      <x:c r="G40" s="187"/>
      <x:c r="H40" s="34" t="s">
        <x:v>47</x:v>
      </x:c>
      <x:c r="I40" s="34"/>
      <x:c r="J40" s="34"/>
      <x:c r="K40" s="36">
        <x:f>$C$34</x:f>
        <x:v>33521380</x:v>
      </x:c>
    </x:row>
    <x:row r="41" spans="1:11" ht="17.800000000000001">
      <x:c r="A41" s="120" t="s">
        <x:v>46</x:v>
      </x:c>
      <x:c r="B41" s="115">
        <x:f>SUM(B39:B40)</x:f>
        <x:v>85930654.25</x:v>
      </x:c>
      <x:c r="C41" s="116">
        <x:f>SUM(C39:C40)</x:f>
        <x:v>1</x:v>
      </x:c>
      <x:c r="D41" s="117">
        <x:f>SUM(D39:D40)</x:f>
        <x:v>0.65293227845263901</x:v>
      </x:c>
      <x:c r="F41" s="186" t="s">
        <x:v>144</x:v>
      </x:c>
      <x:c r="G41" s="187"/>
      <x:c r="H41" s="34" t="s">
        <x:v>157</x:v>
      </x:c>
      <x:c r="I41" s="34"/>
      <x:c r="J41" s="34"/>
      <x:c r="K41" s="39">
        <x:f>$H$35</x:f>
        <x:v>52409274.25</x:v>
      </x:c>
    </x:row>
    <x:row r="42" spans="1:11" customHeight="1">
      <x:c r="A42" s="121" t="s">
        <x:v>112</x:v>
      </x:c>
      <x:c r="B42" s="48">
        <x:f>SUM('1:31'!C4)</x:f>
        <x:v>109417300</x:v>
      </x:c>
      <x:c r="C42" s="49"/>
      <x:c r="D42" s="40">
        <x:f>B42/$B$45</x:f>
        <x:v>0.83139233158039105</x:v>
      </x:c>
      <x:c r="F42" s="186" t="s">
        <x:v>4</x:v>
      </x:c>
      <x:c r="G42" s="187"/>
      <x:c r="H42" s="34" t="s">
        <x:v>158</x:v>
      </x:c>
      <x:c r="I42" s="34"/>
      <x:c r="J42" s="34"/>
      <x:c r="K42" s="39">
        <x:f>$B$45</x:f>
        <x:v>131607300</x:v>
      </x:c>
    </x:row>
    <x:row r="43" spans="1:11" customHeight="1">
      <x:c r="A43" s="119" t="s">
        <x:v>57</x:v>
      </x:c>
      <x:c r="B43" s="35">
        <x:f>SUM('1:31'!C5)</x:f>
        <x:v>22190000</x:v>
      </x:c>
      <x:c r="C43" s="35"/>
      <x:c r="D43" s="41">
        <x:f>B43/$B$45</x:f>
        <x:v>0.16860766841960895</x:v>
      </x:c>
      <x:c r="F43" s="186" t="s">
        <x:v>87</x:v>
      </x:c>
      <x:c r="G43" s="187"/>
      <x:c r="H43" s="34" t="s">
        <x:v>146</x:v>
      </x:c>
      <x:c r="I43" s="34"/>
      <x:c r="J43" s="34"/>
      <x:c r="K43" s="42">
        <x:f>(K41)/K42</x:f>
        <x:v>0.39822467484706398</x:v>
      </x:c>
    </x:row>
    <x:row r="44" spans="1:11" customHeight="1">
      <x:c r="A44" s="119" t="s">
        <x:v>93</x:v>
      </x:c>
      <x:c r="B44" s="35">
        <x:f>SUM('1:31'!C6)</x:f>
        <x:v>0</x:v>
      </x:c>
      <x:c r="C44" s="18"/>
      <x:c r="D44" s="41">
        <x:f>B44/$B$45</x:f>
        <x:v>0</x:v>
      </x:c>
      <x:c r="F44" s="43" t="s">
        <x:v>130</x:v>
      </x:c>
      <x:c r="G44" s="44"/>
      <x:c r="H44" s="44" t="s">
        <x:v>159</x:v>
      </x:c>
      <x:c r="I44" s="44"/>
      <x:c r="J44" s="44"/>
      <x:c r="K44" s="45">
        <x:f>K40/(1-K43)</x:f>
        <x:v>55704145.050282389</x:v>
      </x:c>
    </x:row>
    <x:row r="45" spans="1:4" customHeight="1">
      <x:c r="A45" s="122" t="s">
        <x:v>150</x:v>
      </x:c>
      <x:c r="B45" s="37">
        <x:f>SUM(B42:B44)</x:f>
        <x:v>131607300</x:v>
      </x:c>
      <x:c r="C45" s="50"/>
      <x:c r="D45" s="38"/>
    </x:row>
    <x:row r="46" spans="1:4" customHeight="1">
      <x:c r="A46" s="123" t="s">
        <x:v>103</x:v>
      </x:c>
      <x:c r="B46" s="46">
        <x:f>B45-B41</x:f>
        <x:v>45676645.75</x:v>
      </x:c>
      <x:c r="C46" s="47"/>
      <x:c r="D46" s="73">
        <x:f>B46/B45</x:f>
        <x:v>0.34706772154736099</x:v>
      </x:c>
    </x:row>
    <x:row r="47" spans="1:13" ht="20.100000000000001" customHeight="1">
      <x:c r="A47" s="121" t="s">
        <x:v>100</x:v>
      </x:c>
      <x:c r="B47" s="48">
        <x:f>INT(B45*0.05)</x:f>
        <x:v>6580365</x:v>
      </x:c>
      <x:c r="C47" s="49"/>
      <x:c r="D47" s="40">
        <x:f>B47/B45</x:f>
        <x:v>0.05</x:v>
      </x:c>
      <x:c r="E47" s="23"/>
      <x:c r="F47" s="23"/>
      <x:c r="G47" s="23"/>
      <x:c r="H47" s="23"/>
      <x:c r="I47" s="23"/>
      <x:c r="J47" s="23"/>
      <x:c r="K47" s="23"/>
      <x:c r="M47" s="23"/>
    </x:row>
    <x:row r="48" spans="1:13" customHeight="1">
      <x:c r="A48" s="123" t="s">
        <x:v>126</x:v>
      </x:c>
      <x:c r="B48" s="30">
        <x:f>INT(B45*0.02)</x:f>
        <x:v>2632146</x:v>
      </x:c>
      <x:c r="C48" s="78"/>
      <x:c r="D48" s="32">
        <x:f>B48/B45</x:f>
        <x:v>0.020000000000000001</x:v>
      </x:c>
      <x:c r="E48" s="23"/>
      <x:c r="F48" s="23"/>
      <x:c r="G48" s="23"/>
      <x:c r="H48" s="23"/>
      <x:c r="I48" s="23"/>
      <x:c r="J48" s="23"/>
      <x:c r="K48" s="23"/>
      <x:c r="M48" s="23"/>
    </x:row>
    <x:row r="49" spans="1:6" s="23" customFormat="1" customHeight="1">
      <x:c r="A49" s="122" t="s">
        <x:v>88</x:v>
      </x:c>
      <x:c r="B49" s="37">
        <x:f>B46-B47-B48</x:f>
        <x:v>36464134.75</x:v>
      </x:c>
      <x:c r="C49" s="50"/>
      <x:c r="D49" s="73">
        <x:f>B49/B45</x:f>
        <x:v>0.27706772154736098</x:v>
      </x:c>
      <x:c r="E49" s="93"/>
      <x:c r="F49" s="94"/>
    </x:row>
    <x:row r="50" spans="1:5" s="23" customFormat="1" customHeight="1">
      <x:c r="A50" s="98"/>
      <x:c r="B50" s="1"/>
      <x:c r="C50" s="1"/>
      <x:c r="D50" s="1"/>
      <x:c r="E50" s="1"/>
    </x:row>
    <x:row r="51" spans="1:5" s="23" customFormat="1" customHeight="1">
      <x:c r="A51" s="98"/>
      <x:c r="B51" s="1"/>
      <x:c r="C51" s="1"/>
      <x:c r="D51" s="1"/>
      <x:c r="E51" s="93"/>
    </x:row>
    <x:row r="52" spans="1:5" s="23" customFormat="1" customHeight="1">
      <x:c r="A52" s="1"/>
      <x:c r="B52" s="1"/>
      <x:c r="C52" s="1"/>
      <x:c r="D52" s="1"/>
      <x:c r="E52" s="1"/>
    </x:row>
    <x:row r="53" spans="1:5" s="23" customFormat="1" customHeight="1">
      <x:c r="A53" s="1"/>
      <x:c r="B53" s="1"/>
      <x:c r="C53" s="1"/>
      <x:c r="D53" s="1"/>
      <x:c r="E53" s="1"/>
    </x:row>
    <x:row r="54" spans="1:5" s="23" customFormat="1" customHeight="1">
      <x:c r="A54" s="1"/>
      <x:c r="B54" s="1"/>
      <x:c r="C54" s="1"/>
      <x:c r="D54" s="1"/>
      <x:c r="E54" s="1"/>
    </x:row>
    <x:row r="55" spans="1:11" s="23" customFormat="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spans="1:11" s="23" customFormat="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spans="1:11" s="23" customFormat="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spans="1:11" s="23" customFormat="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</x:sheetData>
  <x:mergeCells count="40">
    <x:mergeCell ref="H35:J35"/>
    <x:mergeCell ref="F35:G35"/>
    <x:mergeCell ref="A12:B12"/>
    <x:mergeCell ref="A13:B13"/>
    <x:mergeCell ref="A14:B14"/>
    <x:mergeCell ref="A15:B15"/>
    <x:mergeCell ref="A16:B16"/>
    <x:mergeCell ref="A17:B17"/>
    <x:mergeCell ref="J19:J32"/>
    <x:mergeCell ref="A34:B34"/>
    <x:mergeCell ref="E19:E31"/>
    <x:mergeCell ref="D19:D31"/>
    <x:mergeCell ref="A32:B32"/>
    <x:mergeCell ref="K19:K32"/>
    <x:mergeCell ref="F6:F18"/>
    <x:mergeCell ref="J6:J18"/>
    <x:mergeCell ref="A4:E4"/>
    <x:mergeCell ref="F4:K4"/>
    <x:mergeCell ref="A6:B6"/>
    <x:mergeCell ref="A7:B7"/>
    <x:mergeCell ref="A8:B8"/>
    <x:mergeCell ref="A5:B5"/>
    <x:mergeCell ref="K6:K18"/>
    <x:mergeCell ref="A9:B9"/>
    <x:mergeCell ref="A10:B10"/>
    <x:mergeCell ref="A11:B11"/>
    <x:mergeCell ref="E32:E33"/>
    <x:mergeCell ref="F43:G43"/>
    <x:mergeCell ref="F40:G40"/>
    <x:mergeCell ref="F42:G42"/>
    <x:mergeCell ref="A33:B33"/>
    <x:mergeCell ref="A18:B18"/>
    <x:mergeCell ref="C18:D18"/>
    <x:mergeCell ref="A19:A31"/>
    <x:mergeCell ref="F41:G41"/>
    <x:mergeCell ref="F33:G33"/>
    <x:mergeCell ref="F34:G34"/>
    <x:mergeCell ref="A35:B35"/>
    <x:mergeCell ref="C34:D34"/>
    <x:mergeCell ref="F19:F32"/>
  </x:mergeCells>
  <x:pageMargins left="0.69972223043441772" right="0.69972223043441772" top="0.75" bottom="0.75" header="0.30000001192092896" footer="0.30000001192092896"/>
  <x:pageSetup paperSize="9" scale="57" firstPageNumber="1" fitToWidth="1" fitToHeight="1" orientation="landscape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O34"/>
  <x:sheetViews>
    <x:sheetView tabSelected="1" topLeftCell="A22" zoomScale="85" zoomScaleNormal="85" zoomScaleSheetLayoutView="75" workbookViewId="0">
      <x:selection activeCell="I36" activeCellId="0" sqref="I36:I36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122</x:v>
      </x:c>
      <x:c r="D1" s="68"/>
      <x:c r="E1" s="68">
        <x:v>1</x:v>
      </x:c>
      <x:c r="F1" s="68">
        <x:v>1</x:v>
      </x:c>
      <x:c r="G1" s="68" t="s">
        <x:v>7</x:v>
      </x:c>
      <x:c r="H1" s="52" t="s">
        <x:v>96</x:v>
      </x:c>
      <x:c r="I1" s="52">
        <x:f>F1-K1</x:f>
        <x:v>1</x:v>
      </x:c>
      <x:c r="J1" s="52" t="s">
        <x:v>89</x:v>
      </x:c>
      <x:c r="K1" s="52"/>
    </x:row>
    <x:row r="2" spans="1:11" ht="20.100000000000001" customHeight="1">
      <x:c r="A2" s="272" t="s">
        <x:v>50</x:v>
      </x:c>
      <x:c r="B2" s="273"/>
      <x:c r="C2" s="276">
        <x:f>SUM(C4:D7)</x:f>
        <x:v>5545400</x:v>
      </x:c>
      <x:c r="D2" s="276"/>
      <x:c r="E2" s="279" t="s">
        <x:v>20</x:v>
      </x:c>
      <x:c r="F2" s="280"/>
      <x:c r="G2" s="268">
        <x:v>55500</x:v>
      </x:c>
      <x:c r="H2" s="266" t="s">
        <x:v>54</x:v>
      </x:c>
      <x:c r="I2" s="267"/>
      <x:c r="J2" s="264" t="s">
        <x:v>143</x:v>
      </x:c>
      <x:c r="K2" s="265"/>
    </x:row>
    <x:row r="3" spans="1:11" ht="20.100000000000001" customHeight="1">
      <x:c r="A3" s="274"/>
      <x:c r="B3" s="275"/>
      <x:c r="C3" s="277"/>
      <x:c r="D3" s="277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2" ht="30.949999999999999" customHeight="1">
      <x:c r="A4" s="270" t="s">
        <x:v>41</x:v>
      </x:c>
      <x:c r="B4" s="271"/>
      <x:c r="C4" s="263">
        <x:v>3863100</x:v>
      </x:c>
      <x:c r="D4" s="263"/>
      <x:c r="E4" s="278" t="s">
        <x:v>160</x:v>
      </x:c>
      <x:c r="F4" s="278"/>
      <x:c r="G4" s="133">
        <x:f>INT(C4*0.0275)</x:f>
        <x:v>106235</x:v>
      </x:c>
      <x:c r="H4" s="54" t="s">
        <x:v>19</x:v>
      </x:c>
      <x:c r="I4" s="124">
        <x:f>452000+329094+213572</x:f>
        <x:v>994666</x:v>
      </x:c>
      <x:c r="J4" s="80" t="s">
        <x:v>24</x:v>
      </x:c>
      <x:c r="K4" s="58"/>
      <x:c r="L4" s="95"/>
    </x:row>
    <x:row r="5" spans="1:11" ht="30.949999999999999" customHeight="1">
      <x:c r="A5" s="270" t="s">
        <x:v>52</x:v>
      </x:c>
      <x:c r="B5" s="271"/>
      <x:c r="C5" s="263">
        <x:v>1682300</x:v>
      </x:c>
      <x:c r="D5" s="263"/>
      <x:c r="E5" s="262" t="s">
        <x:v>136</x:v>
      </x:c>
      <x:c r="F5" s="262"/>
      <x:c r="G5" s="133">
        <x:f>INT(C5*0.01)</x:f>
        <x:v>16823</x:v>
      </x:c>
      <x:c r="H5" s="54" t="s">
        <x:v>54</x:v>
      </x:c>
      <x:c r="I5" s="124">
        <x:f>44000+29656+39380+46900+50000+34500+61864</x:f>
        <x:v>306300</x:v>
      </x:c>
      <x:c r="J5" s="81"/>
      <x:c r="K5" s="58"/>
    </x:row>
    <x:row r="6" spans="1:11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1680000</x:v>
      </x:c>
      <x:c r="H6" s="54"/>
      <x:c r="I6" s="124"/>
      <x:c r="J6" s="81" t="s">
        <x:v>99</x:v>
      </x:c>
      <x:c r="K6" s="58"/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4"/>
      <x:c r="J7" s="81" t="s">
        <x:v>106</x:v>
      </x:c>
      <x:c r="K7" s="58"/>
    </x:row>
    <x:row r="8" spans="1:11" ht="21.949999999999999" customHeight="1">
      <x:c r="A8" s="261" t="s">
        <x:v>98</x:v>
      </x:c>
      <x:c r="B8" s="262"/>
      <x:c r="C8" s="263">
        <x:v>57800</x:v>
      </x:c>
      <x:c r="D8" s="263"/>
      <x:c r="E8" s="289" t="s">
        <x:v>114</x:v>
      </x:c>
      <x:c r="F8" s="290"/>
      <x:c r="G8" s="295">
        <x:f>C5+G2-G6-C22</x:f>
        <x:v>57800</x:v>
      </x:c>
      <x:c r="H8" s="54" t="s">
        <x:v>14</x:v>
      </x:c>
      <x:c r="I8" s="124"/>
      <x:c r="J8" s="81"/>
      <x:c r="K8" s="58"/>
    </x:row>
    <x:row r="9" spans="1:11" ht="21.949999999999999" customHeight="1">
      <x:c r="A9" s="261"/>
      <x:c r="B9" s="262"/>
      <x:c r="C9" s="263"/>
      <x:c r="D9" s="263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30.949999999999999" customHeight="1">
      <x:c r="A10" s="261" t="s">
        <x:v>120</x:v>
      </x:c>
      <x:c r="B10" s="262"/>
      <x:c r="C10" s="263"/>
      <x:c r="D10" s="263"/>
      <x:c r="E10" s="262" t="s">
        <x:v>101</x:v>
      </x:c>
      <x:c r="F10" s="262"/>
      <x:c r="G10" s="55"/>
      <x:c r="H10" s="54"/>
      <x:c r="I10" s="124"/>
      <x:c r="J10" s="54" t="s">
        <x:v>23</x:v>
      </x:c>
      <x:c r="K10" s="58"/>
    </x:row>
    <x:row r="11" spans="1:11" ht="33" customHeight="1">
      <x:c r="A11" s="261" t="s">
        <x:v>115</x:v>
      </x:c>
      <x:c r="B11" s="262"/>
      <x:c r="C11" s="301"/>
      <x:c r="D11" s="301"/>
      <x:c r="E11" s="301"/>
      <x:c r="F11" s="301"/>
      <x:c r="G11" s="301"/>
      <x:c r="H11" s="54" t="s">
        <x:v>151</x:v>
      </x:c>
      <x:c r="I11" s="58"/>
      <x:c r="J11" s="54" t="s">
        <x:v>125</x:v>
      </x:c>
      <x:c r="K11" s="135"/>
    </x:row>
    <x:row r="12" spans="1:13" ht="21.949999999999999" customHeight="1">
      <x:c r="A12" s="59" t="s">
        <x:v>21</x:v>
      </x:c>
      <x:c r="B12" s="299" t="s">
        <x:v>8</x:v>
      </x:c>
      <x:c r="C12" s="79">
        <x:v>22</x:v>
      </x:c>
      <x:c r="D12" s="289" t="s">
        <x:v>83</x:v>
      </x:c>
      <x:c r="E12" s="290"/>
      <x:c r="F12" s="293">
        <x:v>32</x:v>
      </x:c>
      <x:c r="G12" s="294"/>
      <x:c r="H12" s="54" t="s">
        <x:v>58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56</x:v>
      </x:c>
      <x:c r="B13" s="300"/>
      <x:c r="C13" s="134">
        <x:f>SUM('1'!$C$12)</x:f>
        <x:v>22</x:v>
      </x:c>
      <x:c r="D13" s="281"/>
      <x:c r="E13" s="282"/>
      <x:c r="F13" s="291">
        <x:f>SUM('1'!$F$12)</x:f>
        <x:v>32</x:v>
      </x:c>
      <x:c r="G13" s="292"/>
      <x:c r="H13" s="54" t="s">
        <x:v>92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21</x:v>
      </x:c>
      <x:c r="B14" s="299" t="s">
        <x:v>84</x:v>
      </x:c>
      <x:c r="C14" s="79">
        <x:v>32</x:v>
      </x:c>
      <x:c r="D14" s="289" t="s">
        <x:v>73</x:v>
      </x:c>
      <x:c r="E14" s="290"/>
      <x:c r="F14" s="293">
        <x:v>20</x:v>
      </x:c>
      <x:c r="G14" s="294"/>
      <x:c r="H14" s="54" t="s">
        <x:v>61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56</x:v>
      </x:c>
      <x:c r="B15" s="300"/>
      <x:c r="C15" s="134">
        <x:f>SUM('1'!$C$14)</x:f>
        <x:v>32</x:v>
      </x:c>
      <x:c r="D15" s="281"/>
      <x:c r="E15" s="282"/>
      <x:c r="F15" s="291">
        <x:f>SUM('1'!$F$14)</x:f>
        <x:v>20</x:v>
      </x:c>
      <x:c r="G15" s="292"/>
      <x:c r="H15" s="54" t="s">
        <x:v>64</x:v>
      </x:c>
      <x:c r="I15" s="58"/>
      <x:c r="J15" s="54" t="s">
        <x:v>143</x:v>
      </x:c>
      <x:c r="K15" s="58"/>
      <x:c r="L15" s="60"/>
      <x:c r="M15" s="11"/>
    </x:row>
    <x:row r="16" spans="1:13" ht="21.949999999999999" customHeight="1">
      <x:c r="A16" s="59" t="s">
        <x:v>21</x:v>
      </x:c>
      <x:c r="B16" s="299" t="s">
        <x:v>51</x:v>
      </x:c>
      <x:c r="C16" s="79">
        <x:v>10</x:v>
      </x:c>
      <x:c r="D16" s="289" t="s">
        <x:v>81</x:v>
      </x:c>
      <x:c r="E16" s="290"/>
      <x:c r="F16" s="287">
        <x:v>17</x:v>
      </x:c>
      <x:c r="G16" s="287"/>
      <x:c r="H16" s="54"/>
      <x:c r="I16" s="58"/>
      <x:c r="J16" s="54" t="s">
        <x:v>105</x:v>
      </x:c>
      <x:c r="K16" s="58"/>
      <x:c r="L16" s="60"/>
      <x:c r="M16" s="11"/>
    </x:row>
    <x:row r="17" spans="1:13" ht="21.949999999999999" customHeight="1">
      <x:c r="A17" s="59" t="s">
        <x:v>56</x:v>
      </x:c>
      <x:c r="B17" s="300"/>
      <x:c r="C17" s="134">
        <x:f>SUM('1'!$C$16)</x:f>
        <x:v>10</x:v>
      </x:c>
      <x:c r="D17" s="281"/>
      <x:c r="E17" s="282"/>
      <x:c r="F17" s="288">
        <x:f>SUM('1'!$F$16)</x:f>
        <x:v>17</x:v>
      </x:c>
      <x:c r="G17" s="288"/>
      <x:c r="H17" s="54" t="s">
        <x:v>18</x:v>
      </x:c>
      <x:c r="I17" s="58">
        <x:v>3200</x:v>
      </x:c>
      <x:c r="J17" s="54" t="s">
        <x:v>97</x:v>
      </x:c>
      <x:c r="K17" s="58">
        <x:v>4000</x:v>
      </x:c>
      <x:c r="L17" s="60"/>
      <x:c r="M17" s="11"/>
    </x:row>
    <x:row r="18" spans="1:13" ht="21.949999999999999" customHeight="1">
      <x:c r="A18" s="59" t="s">
        <x:v>21</x:v>
      </x:c>
      <x:c r="B18" s="299" t="s">
        <x:v>107</x:v>
      </x:c>
      <x:c r="C18" s="79">
        <x:v>49</x:v>
      </x:c>
      <x:c r="D18" s="289" t="s">
        <x:v>29</x:v>
      </x:c>
      <x:c r="E18" s="290"/>
      <x:c r="F18" s="297">
        <x:v>5</x:v>
      </x:c>
      <x:c r="G18" s="29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56</x:v>
      </x:c>
      <x:c r="B19" s="300"/>
      <x:c r="C19" s="134">
        <x:f>SUM('1'!$C$18)</x:f>
        <x:v>49</x:v>
      </x:c>
      <x:c r="D19" s="281"/>
      <x:c r="E19" s="282"/>
      <x:c r="F19" s="288">
        <x:f>SUM('1'!$F$18)</x:f>
        <x:v>5</x:v>
      </x:c>
      <x:c r="G19" s="288"/>
      <x:c r="H19" s="58"/>
      <x:c r="I19" s="58"/>
      <x:c r="J19" s="54"/>
      <x:c r="K19" s="58"/>
      <x:c r="L19" s="60"/>
      <x:c r="M19" s="11"/>
    </x:row>
    <x:row r="20" spans="1:13" ht="21.949999999999999" customHeight="1">
      <x:c r="A20" s="59" t="s">
        <x:v>21</x:v>
      </x:c>
      <x:c r="B20" s="262"/>
      <x:c r="C20" s="54"/>
      <x:c r="D20" s="262" t="s">
        <x:v>108</x:v>
      </x:c>
      <x:c r="E20" s="262"/>
      <x:c r="F20" s="287">
        <x:v>62</x:v>
      </x:c>
      <x:c r="G20" s="287"/>
      <x:c r="H20" s="58"/>
      <x:c r="J20" s="54"/>
      <x:c r="K20" s="58"/>
      <x:c r="L20" s="60"/>
      <x:c r="M20" s="11"/>
    </x:row>
    <x:row r="21" spans="1:13" ht="21.949999999999999" customHeight="1">
      <x:c r="A21" s="59" t="s">
        <x:v>56</x:v>
      </x:c>
      <x:c r="B21" s="262"/>
      <x:c r="C21" s="54"/>
      <x:c r="D21" s="262" t="s">
        <x:v>128</x:v>
      </x:c>
      <x:c r="E21" s="262"/>
      <x:c r="F21" s="288">
        <x:f>SUM('1'!$F$20)</x:f>
        <x:v>62</x:v>
      </x:c>
      <x:c r="G21" s="288"/>
      <x:c r="H21" s="58"/>
      <x:c r="J21" s="54"/>
      <x:c r="K21" s="58"/>
      <x:c r="L21" s="60"/>
      <x:c r="M21" s="11"/>
    </x:row>
    <x:row r="22" spans="1:13" ht="32.100000000000001" customHeight="1">
      <x:c r="A22" s="261" t="s">
        <x:v>121</x:v>
      </x:c>
      <x:c r="B22" s="262"/>
      <x:c r="C22" s="286"/>
      <x:c r="D22" s="286"/>
      <x:c r="E22" s="286"/>
      <x:c r="F22" s="286"/>
      <x:c r="G22" s="286"/>
      <x:c r="H22" s="54"/>
      <x:c r="J22" s="54"/>
      <x:c r="K22" s="58"/>
      <x:c r="L22" s="60"/>
      <x:c r="M22" s="11"/>
    </x:row>
    <x:row r="23" spans="1:15" ht="34.149999999999999" customHeight="1">
      <x:c r="A23" s="261" t="s">
        <x:v>59</x:v>
      </x:c>
      <x:c r="B23" s="262"/>
      <x:c r="C23" s="286"/>
      <x:c r="D23" s="286"/>
      <x:c r="E23" s="286"/>
      <x:c r="F23" s="286"/>
      <x:c r="G23" s="286"/>
      <x:c r="H23" s="107" t="s">
        <x:v>95</x:v>
      </x:c>
      <x:c r="I23" s="108">
        <x:f>SUM(I4:I22)</x:f>
        <x:v>1304166</x:v>
      </x:c>
      <x:c r="J23" s="61" t="s">
        <x:v>70</x:v>
      </x:c>
      <x:c r="K23" s="62">
        <x:f>SUM(K4:K22)</x:f>
        <x:v>4000</x:v>
      </x:c>
      <x:c r="M23" s="89" t="s">
        <x:v>102</x:v>
      </x:c>
      <x:c r="N23" s="284">
        <x:f>C5+C6</x:f>
        <x:v>1682300</x:v>
      </x:c>
      <x:c r="O23" s="285"/>
    </x:row>
    <x:row r="24" spans="1:11" ht="34.149999999999999" customHeight="1">
      <x:c r="A24" s="261" t="s">
        <x:v>152</x:v>
      </x:c>
      <x:c r="B24" s="262"/>
      <x:c r="C24" s="262" t="s">
        <x:v>86</x:v>
      </x:c>
      <x:c r="D24" s="262"/>
      <x:c r="E24" s="262" t="s">
        <x:v>62</x:v>
      </x:c>
      <x:c r="F24" s="262"/>
      <x:c r="G24" s="262"/>
      <x:c r="H24" s="107" t="s">
        <x:v>152</x:v>
      </x:c>
      <x:c r="I24" s="109">
        <x:f>I23/A25</x:f>
        <x:v>0.23517978865365888</x:v>
      </x:c>
      <x:c r="J24" s="61" t="s">
        <x:v>152</x:v>
      </x:c>
      <x:c r="K24" s="63">
        <x:f>K23/A25</x:f>
        <x:v>0.00072131857034659361</x:v>
      </x:c>
    </x:row>
    <x:row r="25" spans="1:11" ht="34.149999999999999" customHeight="1">
      <x:c r="A25" s="313">
        <x:f>C2</x:f>
        <x:v>5545400</x:v>
      </x:c>
      <x:c r="B25" s="277"/>
      <x:c r="C25" s="277">
        <x:f>E25/I1</x:f>
        <x:v>5545400</x:v>
      </x:c>
      <x:c r="D25" s="277"/>
      <x:c r="E25" s="277">
        <x:f>SUM('1'!$A$25)</x:f>
        <x:v>5545400</x:v>
      </x:c>
      <x:c r="F25" s="277"/>
      <x:c r="G25" s="277"/>
      <x:c r="H25" s="107" t="s">
        <x:v>156</x:v>
      </x:c>
      <x:c r="I25" s="108">
        <x:f>SUM('1'!$I$23)</x:f>
        <x:v>1304166</x:v>
      </x:c>
      <x:c r="J25" s="61" t="s">
        <x:v>156</x:v>
      </x:c>
      <x:c r="K25" s="62">
        <x:f>SUM('1'!$K$23)</x:f>
        <x:v>4000</x:v>
      </x:c>
    </x:row>
    <x:row r="26" spans="1:11" ht="34.149999999999999" customHeight="1">
      <x:c r="A26" s="261" t="s">
        <x:v>68</x:v>
      </x:c>
      <x:c r="B26" s="262"/>
      <x:c r="C26" s="262"/>
      <x:c r="D26" s="262"/>
      <x:c r="E26" s="263"/>
      <x:c r="F26" s="263"/>
      <x:c r="G26" s="263"/>
      <x:c r="H26" s="107" t="s">
        <x:v>67</x:v>
      </x:c>
      <x:c r="I26" s="110">
        <x:f>I25/$E$25</x:f>
        <x:v>0.23517978865365888</x:v>
      </x:c>
      <x:c r="J26" s="64" t="s">
        <x:v>67</x:v>
      </x:c>
      <x:c r="K26" s="65">
        <x:f>K25/$E$25</x:f>
        <x:v>0.00072131857034659361</x:v>
      </x:c>
    </x:row>
    <x:row r="27" spans="1:13" ht="30.949999999999999" customHeight="1">
      <x:c r="A27" s="306" t="s">
        <x:v>113</x:v>
      </x:c>
      <x:c r="B27" s="54" t="s">
        <x:v>17</x:v>
      </x:c>
      <x:c r="C27" s="277">
        <x:f>3300000/31</x:f>
        <x:v>106451.6129032258</x:v>
      </x:c>
      <x:c r="D27" s="277"/>
      <x:c r="E27" s="55" t="s">
        <x:v>12</x:v>
      </x:c>
      <x:c r="F27" s="263">
        <x:f>13000*5.5</x:f>
        <x:v>71500</x:v>
      </x:c>
      <x:c r="G27" s="263"/>
      <x:c r="H27" s="111" t="s">
        <x:v>69</x:v>
      </x:c>
      <x:c r="I27" s="112">
        <x:f>SUM(C27:D34,F27:G32)</x:f>
        <x:v>439241.93548387091</x:v>
      </x:c>
      <x:c r="M27" s="66"/>
    </x:row>
    <x:row r="28" spans="1:13" ht="30.949999999999999" customHeight="1">
      <x:c r="A28" s="307"/>
      <x:c r="B28" s="54" t="s">
        <x:v>161</x:v>
      </x:c>
      <x:c r="C28" s="314">
        <x:f>3300000/31</x:f>
        <x:v>106451.6129032258</x:v>
      </x:c>
      <x:c r="D28" s="315"/>
      <x:c r="E28" s="148" t="s">
        <x:v>37</x:v>
      </x:c>
      <x:c r="F28" s="316"/>
      <x:c r="G28" s="316"/>
      <x:c r="H28" s="111" t="s">
        <x:v>152</x:v>
      </x:c>
      <x:c r="I28" s="113">
        <x:f>I27/$A$25</x:f>
        <x:v>0.079208341234874108</x:v>
      </x:c>
      <x:c r="M28" s="66"/>
    </x:row>
    <x:row r="29" spans="1:13" ht="30.949999999999999" customHeight="1">
      <x:c r="A29" s="307"/>
      <x:c r="B29" s="54" t="s">
        <x:v>38</x:v>
      </x:c>
      <x:c r="C29" s="277">
        <x:f>3300000/31</x:f>
        <x:v>106451.6129032258</x:v>
      </x:c>
      <x:c r="D29" s="277"/>
      <x:c r="E29" s="54" t="s">
        <x:v>147</x:v>
      </x:c>
      <x:c r="F29" s="263"/>
      <x:c r="G29" s="263"/>
      <x:c r="H29" s="111" t="s">
        <x:v>156</x:v>
      </x:c>
      <x:c r="I29" s="112">
        <x:f>SUM('1'!$I$27)</x:f>
        <x:v>439241.93548387091</x:v>
      </x:c>
      <x:c r="M29" s="66"/>
    </x:row>
    <x:row r="30" spans="1:13" ht="30.949999999999999" customHeight="1">
      <x:c r="A30" s="307"/>
      <x:c r="B30" s="55" t="s">
        <x:v>28</x:v>
      </x:c>
      <x:c r="C30" s="277">
        <x:f>1500000/31</x:f>
        <x:v>48387.096774193546</x:v>
      </x:c>
      <x:c r="D30" s="277"/>
      <x:c r="E30" s="55"/>
      <x:c r="F30" s="311"/>
      <x:c r="G30" s="312"/>
      <x:c r="H30" s="111" t="s">
        <x:v>67</x:v>
      </x:c>
      <x:c r="I30" s="113">
        <x:f>I29/$I$27</x:f>
        <x:v>1</x:v>
      </x:c>
      <x:c r="M30" s="66"/>
    </x:row>
    <x:row r="31" spans="1:7" customHeight="1">
      <x:c r="A31" s="307"/>
      <x:c r="B31" s="147"/>
      <x:c r="C31" s="309"/>
      <x:c r="D31" s="310"/>
      <x:c r="E31" s="55" t="s">
        <x:v>10</x:v>
      </x:c>
      <x:c r="F31" s="311"/>
      <x:c r="G31" s="312"/>
    </x:row>
    <x:row r="32" spans="1:7" customHeight="1">
      <x:c r="A32" s="307"/>
      <x:c r="B32" s="147"/>
      <x:c r="C32" s="309"/>
      <x:c r="D32" s="310"/>
      <x:c r="E32" s="55" t="s">
        <x:v>79</x:v>
      </x:c>
      <x:c r="F32" s="311"/>
      <x:c r="G32" s="312"/>
    </x:row>
    <x:row r="33" spans="1:4" customHeight="1">
      <x:c r="A33" s="307"/>
      <x:c r="B33" s="54"/>
      <x:c r="C33" s="309"/>
      <x:c r="D33" s="310"/>
    </x:row>
    <x:row r="34" spans="1:4" customHeight="1">
      <x:c r="A34" s="308"/>
      <x:c r="B34" s="54"/>
      <x:c r="C34" s="311"/>
      <x:c r="D34" s="312"/>
    </x:row>
  </x:sheetData>
  <x:mergeCells count="75">
    <x:mergeCell ref="A6:B7"/>
    <x:mergeCell ref="A10:B10"/>
    <x:mergeCell ref="C10:D10"/>
    <x:mergeCell ref="J2:K2"/>
    <x:mergeCell ref="H2:I2"/>
    <x:mergeCell ref="G2:G3"/>
    <x:mergeCell ref="A5:B5"/>
    <x:mergeCell ref="C5:D5"/>
    <x:mergeCell ref="E5:F5"/>
    <x:mergeCell ref="A2:B3"/>
    <x:mergeCell ref="C2:D3"/>
    <x:mergeCell ref="A4:B4"/>
    <x:mergeCell ref="C4:D4"/>
    <x:mergeCell ref="E4:F4"/>
    <x:mergeCell ref="E2:F3"/>
    <x:mergeCell ref="G6:G7"/>
    <x:mergeCell ref="N23:O23"/>
    <x:mergeCell ref="C23:G23"/>
    <x:mergeCell ref="A8:B9"/>
    <x:mergeCell ref="C8:D9"/>
    <x:mergeCell ref="F16:G16"/>
    <x:mergeCell ref="F17:G17"/>
    <x:mergeCell ref="F13:G13"/>
    <x:mergeCell ref="F14:G14"/>
    <x:mergeCell ref="F15:G15"/>
    <x:mergeCell ref="G8:G9"/>
    <x:mergeCell ref="A22:B22"/>
    <x:mergeCell ref="C22:G22"/>
    <x:mergeCell ref="A23:B23"/>
    <x:mergeCell ref="E10:F10"/>
    <x:mergeCell ref="F18:G18"/>
    <x:mergeCell ref="A11:B11"/>
    <x:mergeCell ref="B14:B15"/>
    <x:mergeCell ref="C11:G11"/>
    <x:mergeCell ref="D12:E13"/>
    <x:mergeCell ref="F12:G12"/>
    <x:mergeCell ref="C6:D7"/>
    <x:mergeCell ref="E6:F7"/>
    <x:mergeCell ref="E8:F9"/>
    <x:mergeCell ref="A27:A34"/>
    <x:mergeCell ref="C32:D32"/>
    <x:mergeCell ref="C34:D34"/>
    <x:mergeCell ref="D20:E20"/>
    <x:mergeCell ref="C27:D27"/>
    <x:mergeCell ref="A25:B25"/>
    <x:mergeCell ref="C25:D25"/>
    <x:mergeCell ref="E25:G25"/>
    <x:mergeCell ref="A24:B24"/>
    <x:mergeCell ref="C24:D24"/>
    <x:mergeCell ref="E24:G24"/>
    <x:mergeCell ref="F31:G31"/>
    <x:mergeCell ref="A26:B26"/>
    <x:mergeCell ref="F20:G20"/>
    <x:mergeCell ref="C31:D31"/>
    <x:mergeCell ref="C33:D33"/>
    <x:mergeCell ref="F30:G30"/>
    <x:mergeCell ref="F29:G29"/>
    <x:mergeCell ref="C26:D26"/>
    <x:mergeCell ref="E26:G26"/>
    <x:mergeCell ref="C30:D30"/>
    <x:mergeCell ref="F27:G27"/>
    <x:mergeCell ref="C28:D28"/>
    <x:mergeCell ref="F28:G28"/>
    <x:mergeCell ref="C29:D29"/>
    <x:mergeCell ref="F32:G32"/>
    <x:mergeCell ref="F19:G19"/>
    <x:mergeCell ref="D18:E19"/>
    <x:mergeCell ref="B20:B21"/>
    <x:mergeCell ref="D16:E17"/>
    <x:mergeCell ref="D21:E21"/>
    <x:mergeCell ref="F21:G21"/>
    <x:mergeCell ref="B16:B17"/>
    <x:mergeCell ref="D14:E15"/>
    <x:mergeCell ref="B18:B19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O34"/>
  <x:sheetViews>
    <x:sheetView tabSelected="1" topLeftCell="A1" zoomScale="85" zoomScaleNormal="85" zoomScaleSheetLayoutView="75" workbookViewId="0">
      <x:selection activeCell="M4" activeCellId="0" sqref="M4:M4"/>
    </x:sheetView>
  </x:sheetViews>
  <x:sheetFormatPr defaultColWidth="8.625" defaultRowHeight="30" customHeight="1"/>
  <x:cols>
    <x:col min="1" max="1" width="8.625" style="53" customWidth="1"/>
    <x:col min="2" max="3" width="12.625" style="53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122</x:v>
      </x:c>
      <x:c r="D1" s="68"/>
      <x:c r="E1" s="68">
        <x:v>1</x:v>
      </x:c>
      <x:c r="F1" s="68">
        <x:v>2</x:v>
      </x:c>
      <x:c r="G1" s="68" t="s">
        <x:v>30</x:v>
      </x:c>
      <x:c r="H1" s="52" t="s">
        <x:v>96</x:v>
      </x:c>
      <x:c r="I1" s="52">
        <x:f>F1-K1</x:f>
        <x:v>2</x:v>
      </x:c>
      <x:c r="J1" s="52" t="s">
        <x:v>89</x:v>
      </x:c>
      <x:c r="K1" s="52"/>
    </x:row>
    <x:row r="2" spans="1:11" ht="20.100000000000001" customHeight="1">
      <x:c r="A2" s="272" t="s">
        <x:v>50</x:v>
      </x:c>
      <x:c r="B2" s="273"/>
      <x:c r="C2" s="276">
        <x:f>SUM(C4:D7)</x:f>
        <x:v>5068500</x:v>
      </x:c>
      <x:c r="D2" s="276"/>
      <x:c r="E2" s="279" t="s">
        <x:v>20</x:v>
      </x:c>
      <x:c r="F2" s="280"/>
      <x:c r="G2" s="268">
        <x:v>57800</x:v>
      </x:c>
      <x:c r="H2" s="266" t="s">
        <x:v>54</x:v>
      </x:c>
      <x:c r="I2" s="267"/>
      <x:c r="J2" s="264" t="s">
        <x:v>143</x:v>
      </x:c>
      <x:c r="K2" s="265"/>
    </x:row>
    <x:row r="3" spans="1:11" ht="20.100000000000001" customHeight="1">
      <x:c r="A3" s="274"/>
      <x:c r="B3" s="275"/>
      <x:c r="C3" s="277"/>
      <x:c r="D3" s="277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1" ht="30.949999999999999" customHeight="1">
      <x:c r="A4" s="270" t="s">
        <x:v>41</x:v>
      </x:c>
      <x:c r="B4" s="271"/>
      <x:c r="C4" s="263">
        <x:v>3907000</x:v>
      </x:c>
      <x:c r="D4" s="263"/>
      <x:c r="E4" s="278" t="s">
        <x:v>160</x:v>
      </x:c>
      <x:c r="F4" s="278"/>
      <x:c r="G4" s="133">
        <x:f>INT(C4*0.0275)</x:f>
        <x:v>107442</x:v>
      </x:c>
      <x:c r="H4" s="54" t="s">
        <x:v>19</x:v>
      </x:c>
      <x:c r="I4" s="125">
        <x:f>343992+452000+0+0+0</x:f>
        <x:v>795992</x:v>
      </x:c>
      <x:c r="J4" s="80" t="s">
        <x:v>24</x:v>
      </x:c>
      <x:c r="K4" s="58"/>
    </x:row>
    <x:row r="5" spans="1:11" ht="30.949999999999999" customHeight="1">
      <x:c r="A5" s="270" t="s">
        <x:v>52</x:v>
      </x:c>
      <x:c r="B5" s="271"/>
      <x:c r="C5" s="263">
        <x:v>1161500</x:v>
      </x:c>
      <x:c r="D5" s="263"/>
      <x:c r="E5" s="262" t="s">
        <x:v>136</x:v>
      </x:c>
      <x:c r="F5" s="262"/>
      <x:c r="G5" s="133">
        <x:f>INT(C5*0.01)</x:f>
        <x:v>11615</x:v>
      </x:c>
      <x:c r="H5" s="54" t="s">
        <x:v>54</x:v>
      </x:c>
      <x:c r="I5" s="137">
        <x:f>29656+39380+39490+46900+50000+16720+36700</x:f>
        <x:v>258846</x:v>
      </x:c>
      <x:c r="J5" s="81"/>
      <x:c r="K5" s="58"/>
    </x:row>
    <x:row r="6" spans="1:11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1100000</x:v>
      </x:c>
      <x:c r="H6" s="54"/>
      <x:c r="I6" s="125"/>
      <x:c r="J6" s="81" t="s">
        <x:v>99</x:v>
      </x:c>
      <x:c r="K6" s="58"/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5">
        <x:v>188900</x:v>
      </x:c>
      <x:c r="J7" s="81" t="s">
        <x:v>106</x:v>
      </x:c>
      <x:c r="K7" s="58"/>
    </x:row>
    <x:row r="8" spans="1:11" ht="21.949999999999999" customHeight="1">
      <x:c r="A8" s="261" t="s">
        <x:v>98</x:v>
      </x:c>
      <x:c r="B8" s="262"/>
      <x:c r="C8" s="263">
        <x:v>119300</x:v>
      </x:c>
      <x:c r="D8" s="263"/>
      <x:c r="E8" s="289" t="s">
        <x:v>114</x:v>
      </x:c>
      <x:c r="F8" s="290"/>
      <x:c r="G8" s="295">
        <x:f>C5+G2-G6-C22</x:f>
        <x:v>119300</x:v>
      </x:c>
      <x:c r="H8" s="54" t="s">
        <x:v>14</x:v>
      </x:c>
      <x:c r="I8" s="125">
        <x:v>65000</x:v>
      </x:c>
      <x:c r="J8" s="81"/>
      <x:c r="K8" s="58"/>
    </x:row>
    <x:row r="9" spans="1:11" ht="21.949999999999999" customHeight="1">
      <x:c r="A9" s="261"/>
      <x:c r="B9" s="262"/>
      <x:c r="C9" s="263"/>
      <x:c r="D9" s="263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30.949999999999999" customHeight="1">
      <x:c r="A10" s="261" t="s">
        <x:v>120</x:v>
      </x:c>
      <x:c r="B10" s="262"/>
      <x:c r="C10" s="263"/>
      <x:c r="D10" s="263"/>
      <x:c r="E10" s="262" t="s">
        <x:v>101</x:v>
      </x:c>
      <x:c r="F10" s="262"/>
      <x:c r="G10" s="55"/>
      <x:c r="H10" s="54"/>
      <x:c r="I10" s="124"/>
      <x:c r="J10" s="54" t="s">
        <x:v>23</x:v>
      </x:c>
      <x:c r="K10" s="58"/>
    </x:row>
    <x:row r="11" spans="1:11" ht="33" customHeight="1">
      <x:c r="A11" s="261" t="s">
        <x:v>115</x:v>
      </x:c>
      <x:c r="B11" s="262"/>
      <x:c r="C11" s="301"/>
      <x:c r="D11" s="301"/>
      <x:c r="E11" s="301"/>
      <x:c r="F11" s="301"/>
      <x:c r="G11" s="301"/>
      <x:c r="H11" s="54" t="s">
        <x:v>151</x:v>
      </x:c>
      <x:c r="I11" s="58"/>
      <x:c r="J11" s="54" t="s">
        <x:v>125</x:v>
      </x:c>
      <x:c r="K11" s="135"/>
    </x:row>
    <x:row r="12" spans="1:13" ht="21.949999999999999" customHeight="1">
      <x:c r="A12" s="59" t="s">
        <x:v>21</x:v>
      </x:c>
      <x:c r="B12" s="299" t="s">
        <x:v>8</x:v>
      </x:c>
      <x:c r="C12" s="79">
        <x:v>20</x:v>
      </x:c>
      <x:c r="D12" s="289" t="s">
        <x:v>83</x:v>
      </x:c>
      <x:c r="E12" s="290"/>
      <x:c r="F12" s="293">
        <x:v>30</x:v>
      </x:c>
      <x:c r="G12" s="294"/>
      <x:c r="H12" s="54" t="s">
        <x:v>58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56</x:v>
      </x:c>
      <x:c r="B13" s="300"/>
      <x:c r="C13" s="134">
        <x:f>SUM('1:2'!$C$12)</x:f>
        <x:v>42</x:v>
      </x:c>
      <x:c r="D13" s="281"/>
      <x:c r="E13" s="282"/>
      <x:c r="F13" s="291">
        <x:f>SUM('1:2'!$F$12)</x:f>
        <x:v>62</x:v>
      </x:c>
      <x:c r="G13" s="292"/>
      <x:c r="H13" s="54" t="s">
        <x:v>92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21</x:v>
      </x:c>
      <x:c r="B14" s="299" t="s">
        <x:v>84</x:v>
      </x:c>
      <x:c r="C14" s="79">
        <x:v>28</x:v>
      </x:c>
      <x:c r="D14" s="289" t="s">
        <x:v>73</x:v>
      </x:c>
      <x:c r="E14" s="290"/>
      <x:c r="F14" s="293">
        <x:v>14</x:v>
      </x:c>
      <x:c r="G14" s="294"/>
      <x:c r="H14" s="54" t="s">
        <x:v>61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56</x:v>
      </x:c>
      <x:c r="B15" s="300"/>
      <x:c r="C15" s="134">
        <x:f>SUM('1:2'!$C$14)</x:f>
        <x:v>60</x:v>
      </x:c>
      <x:c r="D15" s="281"/>
      <x:c r="E15" s="282"/>
      <x:c r="F15" s="291">
        <x:f>SUM('1:2'!$F$14)</x:f>
        <x:v>34</x:v>
      </x:c>
      <x:c r="G15" s="292"/>
      <x:c r="H15" s="54" t="s">
        <x:v>64</x:v>
      </x:c>
      <x:c r="I15" s="58">
        <x:f>52000+11800+3900+54400</x:f>
        <x:v>122100</x:v>
      </x:c>
      <x:c r="J15" s="54" t="s">
        <x:v>143</x:v>
      </x:c>
      <x:c r="K15" s="58"/>
      <x:c r="L15" s="60"/>
      <x:c r="M15" s="11"/>
    </x:row>
    <x:row r="16" spans="1:13" ht="21.949999999999999" customHeight="1">
      <x:c r="A16" s="59" t="s">
        <x:v>21</x:v>
      </x:c>
      <x:c r="B16" s="299" t="s">
        <x:v>51</x:v>
      </x:c>
      <x:c r="C16" s="79">
        <x:v>5</x:v>
      </x:c>
      <x:c r="D16" s="289" t="s">
        <x:v>81</x:v>
      </x:c>
      <x:c r="E16" s="290"/>
      <x:c r="F16" s="287">
        <x:v>8</x:v>
      </x:c>
      <x:c r="G16" s="287"/>
      <x:c r="H16" s="54"/>
      <x:c r="I16" s="58"/>
      <x:c r="J16" s="54" t="s">
        <x:v>105</x:v>
      </x:c>
      <x:c r="K16" s="58">
        <x:v>83000</x:v>
      </x:c>
      <x:c r="L16" s="60"/>
      <x:c r="M16" s="11"/>
    </x:row>
    <x:row r="17" spans="1:13" ht="21.949999999999999" customHeight="1">
      <x:c r="A17" s="59" t="s">
        <x:v>56</x:v>
      </x:c>
      <x:c r="B17" s="300"/>
      <x:c r="C17" s="134">
        <x:f>SUM('1:2'!$C$16)</x:f>
        <x:v>15</x:v>
      </x:c>
      <x:c r="D17" s="281"/>
      <x:c r="E17" s="282"/>
      <x:c r="F17" s="288">
        <x:f>SUM('1:2'!$F$16)</x:f>
        <x:v>25</x:v>
      </x:c>
      <x:c r="G17" s="288"/>
      <x:c r="H17" s="54" t="s">
        <x:v>18</x:v>
      </x:c>
      <x:c r="I17" s="58"/>
      <x:c r="J17" s="54" t="s">
        <x:v>97</x:v>
      </x:c>
      <x:c r="K17" s="58"/>
      <x:c r="L17" s="60"/>
      <x:c r="M17" s="11"/>
    </x:row>
    <x:row r="18" spans="1:13" ht="21.949999999999999" customHeight="1">
      <x:c r="A18" s="59" t="s">
        <x:v>21</x:v>
      </x:c>
      <x:c r="B18" s="299" t="s">
        <x:v>107</x:v>
      </x:c>
      <x:c r="C18" s="79">
        <x:v>58</x:v>
      </x:c>
      <x:c r="D18" s="289" t="s">
        <x:v>29</x:v>
      </x:c>
      <x:c r="E18" s="290"/>
      <x:c r="F18" s="297">
        <x:v>5</x:v>
      </x:c>
      <x:c r="G18" s="29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56</x:v>
      </x:c>
      <x:c r="B19" s="300"/>
      <x:c r="C19" s="134">
        <x:f>SUM('1:2'!$C$18)</x:f>
        <x:v>107</x:v>
      </x:c>
      <x:c r="D19" s="281"/>
      <x:c r="E19" s="282"/>
      <x:c r="F19" s="288">
        <x:f>SUM('1:2'!$F$18)</x:f>
        <x:v>10</x:v>
      </x:c>
      <x:c r="G19" s="288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108</x:v>
      </x:c>
      <x:c r="E20" s="262"/>
      <x:c r="F20" s="287">
        <x:v>68</x:v>
      </x:c>
      <x:c r="G20" s="287"/>
      <x:c r="H20" s="58"/>
      <x:c r="J20" s="54"/>
      <x:c r="K20" s="58"/>
      <x:c r="L20" s="60"/>
      <x:c r="M20" s="11"/>
    </x:row>
    <x:row r="21" spans="4:13" ht="21.949999999999999" customHeight="1">
      <x:c r="D21" s="262" t="s">
        <x:v>128</x:v>
      </x:c>
      <x:c r="E21" s="262"/>
      <x:c r="F21" s="288">
        <x:f>SUM('1:2'!$F$20)</x:f>
        <x:v>130</x:v>
      </x:c>
      <x:c r="G21" s="288"/>
      <x:c r="H21" s="58"/>
      <x:c r="J21" s="54"/>
      <x:c r="K21" s="58"/>
      <x:c r="L21" s="60"/>
      <x:c r="M21" s="11"/>
    </x:row>
    <x:row r="22" spans="1:13" ht="32.100000000000001" customHeight="1">
      <x:c r="A22" s="261" t="s">
        <x:v>121</x:v>
      </x:c>
      <x:c r="B22" s="262"/>
      <x:c r="C22" s="286"/>
      <x:c r="D22" s="286"/>
      <x:c r="E22" s="286"/>
      <x:c r="F22" s="286"/>
      <x:c r="G22" s="286"/>
      <x:c r="H22" s="54"/>
      <x:c r="J22" s="54"/>
      <x:c r="K22" s="58"/>
      <x:c r="L22" s="60"/>
      <x:c r="M22" s="11"/>
    </x:row>
    <x:row r="23" spans="1:15" ht="34.149999999999999" customHeight="1">
      <x:c r="A23" s="261" t="s">
        <x:v>59</x:v>
      </x:c>
      <x:c r="B23" s="262"/>
      <x:c r="C23" s="317"/>
      <x:c r="D23" s="318"/>
      <x:c r="E23" s="318"/>
      <x:c r="F23" s="318"/>
      <x:c r="G23" s="318"/>
      <x:c r="H23" s="107" t="s">
        <x:v>95</x:v>
      </x:c>
      <x:c r="I23" s="108">
        <x:f>SUM(I4:I22)</x:f>
        <x:v>1430838</x:v>
      </x:c>
      <x:c r="J23" s="61" t="s">
        <x:v>70</x:v>
      </x:c>
      <x:c r="K23" s="62">
        <x:f>SUM(K4:K22)</x:f>
        <x:v>83000</x:v>
      </x:c>
      <x:c r="M23" s="88" t="s">
        <x:v>102</x:v>
      </x:c>
      <x:c r="N23" s="284">
        <x:f>C5+C6</x:f>
        <x:v>1161500</x:v>
      </x:c>
      <x:c r="O23" s="285"/>
    </x:row>
    <x:row r="24" spans="1:11" ht="34.149999999999999" customHeight="1">
      <x:c r="A24" s="261" t="s">
        <x:v>152</x:v>
      </x:c>
      <x:c r="B24" s="262"/>
      <x:c r="C24" s="262" t="s">
        <x:v>86</x:v>
      </x:c>
      <x:c r="D24" s="262"/>
      <x:c r="E24" s="262" t="s">
        <x:v>62</x:v>
      </x:c>
      <x:c r="F24" s="262"/>
      <x:c r="G24" s="262"/>
      <x:c r="H24" s="107" t="s">
        <x:v>152</x:v>
      </x:c>
      <x:c r="I24" s="109">
        <x:f>I23/A25</x:f>
        <x:v>0.28230008878366381</x:v>
      </x:c>
      <x:c r="J24" s="61" t="s">
        <x:v>152</x:v>
      </x:c>
      <x:c r="K24" s="63">
        <x:f>K23/A25</x:f>
        <x:v>0.016375653546414126</x:v>
      </x:c>
    </x:row>
    <x:row r="25" spans="1:11" ht="34.149999999999999" customHeight="1">
      <x:c r="A25" s="313">
        <x:f>C2</x:f>
        <x:v>5068500</x:v>
      </x:c>
      <x:c r="B25" s="277"/>
      <x:c r="C25" s="314">
        <x:f>E25/I1</x:f>
        <x:v>2534250</x:v>
      </x:c>
      <x:c r="D25" s="315"/>
      <x:c r="E25" s="277">
        <x:f>SUM('2'!$A$25)</x:f>
        <x:v>5068500</x:v>
      </x:c>
      <x:c r="F25" s="277"/>
      <x:c r="G25" s="277"/>
      <x:c r="H25" s="107" t="s">
        <x:v>156</x:v>
      </x:c>
      <x:c r="I25" s="108">
        <x:f>SUM('1:2'!$I$23)</x:f>
        <x:v>2735004</x:v>
      </x:c>
      <x:c r="J25" s="61" t="s">
        <x:v>156</x:v>
      </x:c>
      <x:c r="K25" s="62">
        <x:f>SUM('1'!$K$23)</x:f>
        <x:v>4000</x:v>
      </x:c>
    </x:row>
    <x:row r="26" spans="1:11" ht="34.149999999999999" customHeight="1">
      <x:c r="A26" s="261" t="s">
        <x:v>68</x:v>
      </x:c>
      <x:c r="B26" s="262"/>
      <x:c r="C26" s="262"/>
      <x:c r="D26" s="262"/>
      <x:c r="E26" s="263"/>
      <x:c r="F26" s="263"/>
      <x:c r="G26" s="263"/>
      <x:c r="H26" s="107" t="s">
        <x:v>67</x:v>
      </x:c>
      <x:c r="I26" s="110">
        <x:f>I25/$E$25</x:f>
        <x:v>0.53960816809707013</x:v>
      </x:c>
      <x:c r="J26" s="64" t="s">
        <x:v>67</x:v>
      </x:c>
      <x:c r="K26" s="65">
        <x:f>K25/$E$25</x:f>
        <x:v>0.00078918812271875304</x:v>
      </x:c>
    </x:row>
    <x:row r="27" spans="1:13" ht="30.949999999999999" customHeight="1">
      <x:c r="A27" s="319" t="s">
        <x:v>113</x:v>
      </x:c>
      <x:c r="B27" s="54" t="s">
        <x:v>17</x:v>
      </x:c>
      <x:c r="C27" s="277">
        <x:f>3300000/31</x:f>
        <x:v>106451.6129032258</x:v>
      </x:c>
      <x:c r="D27" s="277"/>
      <x:c r="E27" s="55" t="s">
        <x:v>12</x:v>
      </x:c>
      <x:c r="F27" s="263">
        <x:f>13000*5</x:f>
        <x:v>65000</x:v>
      </x:c>
      <x:c r="G27" s="263"/>
      <x:c r="H27" s="111" t="s">
        <x:v>69</x:v>
      </x:c>
      <x:c r="I27" s="112">
        <x:f>SUM(C27:D34,F27:G32)</x:f>
        <x:v>633741.93548387091</x:v>
      </x:c>
      <x:c r="M27" s="66"/>
    </x:row>
    <x:row r="28" spans="1:13" ht="30.949999999999999" customHeight="1">
      <x:c r="A28" s="320"/>
      <x:c r="B28" s="54" t="s">
        <x:v>161</x:v>
      </x:c>
      <x:c r="C28" s="314">
        <x:f>3300000/31</x:f>
        <x:v>106451.6129032258</x:v>
      </x:c>
      <x:c r="D28" s="315"/>
      <x:c r="E28" s="148" t="s">
        <x:v>37</x:v>
      </x:c>
      <x:c r="F28" s="316">
        <x:f>13000*10</x:f>
        <x:v>130000</x:v>
      </x:c>
      <x:c r="G28" s="316"/>
      <x:c r="H28" s="111" t="s">
        <x:v>152</x:v>
      </x:c>
      <x:c r="I28" s="113">
        <x:f>I27/$A$25</x:f>
        <x:v>0.1250354020881663</x:v>
      </x:c>
      <x:c r="M28" s="66"/>
    </x:row>
    <x:row r="29" spans="1:13" ht="30.949999999999999" customHeight="1">
      <x:c r="A29" s="320"/>
      <x:c r="B29" s="54" t="s">
        <x:v>38</x:v>
      </x:c>
      <x:c r="C29" s="277">
        <x:f>3300000/31</x:f>
        <x:v>106451.6129032258</x:v>
      </x:c>
      <x:c r="D29" s="277"/>
      <x:c r="E29" s="54" t="s">
        <x:v>147</x:v>
      </x:c>
      <x:c r="F29" s="263"/>
      <x:c r="G29" s="263"/>
      <x:c r="H29" s="111" t="s">
        <x:v>156</x:v>
      </x:c>
      <x:c r="I29" s="112">
        <x:f>SUM('1:2'!$I$27)</x:f>
        <x:v>1072983.8709677418</x:v>
      </x:c>
      <x:c r="M29" s="66"/>
    </x:row>
    <x:row r="30" spans="1:13" ht="30.949999999999999" customHeight="1">
      <x:c r="A30" s="320"/>
      <x:c r="B30" s="55" t="s">
        <x:v>28</x:v>
      </x:c>
      <x:c r="C30" s="277">
        <x:f>1500000/31</x:f>
        <x:v>48387.096774193546</x:v>
      </x:c>
      <x:c r="D30" s="277"/>
      <x:c r="E30" s="55"/>
      <x:c r="F30" s="311"/>
      <x:c r="G30" s="312"/>
      <x:c r="H30" s="111" t="s">
        <x:v>67</x:v>
      </x:c>
      <x:c r="I30" s="113">
        <x:f>I29/$I$27</x:f>
        <x:v>1.6930927415249923</x:v>
      </x:c>
      <x:c r="M30" s="66"/>
    </x:row>
    <x:row r="31" spans="1:7" customHeight="1">
      <x:c r="A31" s="320"/>
      <x:c r="B31" s="147"/>
      <x:c r="C31" s="309"/>
      <x:c r="D31" s="310"/>
      <x:c r="E31" s="55" t="s">
        <x:v>10</x:v>
      </x:c>
      <x:c r="F31" s="311">
        <x:v>71000</x:v>
      </x:c>
      <x:c r="G31" s="312"/>
    </x:row>
    <x:row r="32" spans="1:7" customHeight="1">
      <x:c r="A32" s="320"/>
      <x:c r="B32" s="147"/>
      <x:c r="C32" s="309"/>
      <x:c r="D32" s="310"/>
      <x:c r="E32" s="55" t="s">
        <x:v>79</x:v>
      </x:c>
      <x:c r="F32" s="311"/>
      <x:c r="G32" s="312"/>
    </x:row>
    <x:row r="33" spans="1:4" customHeight="1">
      <x:c r="A33" s="320"/>
      <x:c r="B33" s="54"/>
      <x:c r="C33" s="309"/>
      <x:c r="D33" s="310"/>
    </x:row>
    <x:row r="34" spans="1:4" customHeight="1">
      <x:c r="A34" s="321"/>
      <x:c r="B34" s="54"/>
      <x:c r="C34" s="311"/>
      <x:c r="D34" s="312"/>
    </x:row>
  </x:sheetData>
  <x:mergeCells count="74">
    <x:mergeCell ref="F32:G32"/>
    <x:mergeCell ref="H2:I2"/>
    <x:mergeCell ref="J2:K2"/>
    <x:mergeCell ref="A2:B3"/>
    <x:mergeCell ref="C2:D3"/>
    <x:mergeCell ref="E2:F3"/>
    <x:mergeCell ref="G2:G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A11:B11"/>
    <x:mergeCell ref="C11:G11"/>
    <x:mergeCell ref="E10:F10"/>
    <x:mergeCell ref="E8:F9"/>
    <x:mergeCell ref="G8:G9"/>
    <x:mergeCell ref="A8:B9"/>
    <x:mergeCell ref="C8:D9"/>
    <x:mergeCell ref="G6:G7"/>
    <x:mergeCell ref="A10:B10"/>
    <x:mergeCell ref="C10:D10"/>
    <x:mergeCell ref="C25:D25"/>
    <x:mergeCell ref="E25:G25"/>
    <x:mergeCell ref="C23:G23"/>
    <x:mergeCell ref="C24:D24"/>
    <x:mergeCell ref="B14:B15"/>
    <x:mergeCell ref="B16:B17"/>
    <x:mergeCell ref="F15:G15"/>
    <x:mergeCell ref="D12:E13"/>
    <x:mergeCell ref="F12:G12"/>
    <x:mergeCell ref="F13:G13"/>
    <x:mergeCell ref="F14:G14"/>
    <x:mergeCell ref="F16:G16"/>
    <x:mergeCell ref="F17:G17"/>
    <x:mergeCell ref="D16:E17"/>
    <x:mergeCell ref="F21:G21"/>
    <x:mergeCell ref="C31:D31"/>
    <x:mergeCell ref="F29:G29"/>
    <x:mergeCell ref="C22:G22"/>
    <x:mergeCell ref="F18:G18"/>
    <x:mergeCell ref="F19:G19"/>
    <x:mergeCell ref="D18:E19"/>
    <x:mergeCell ref="F20:G20"/>
    <x:mergeCell ref="N23:O23"/>
    <x:mergeCell ref="C26:D26"/>
    <x:mergeCell ref="E26:G26"/>
    <x:mergeCell ref="E24:G24"/>
    <x:mergeCell ref="F31:G31"/>
    <x:mergeCell ref="C27:D27"/>
    <x:mergeCell ref="F27:G27"/>
    <x:mergeCell ref="C28:D28"/>
    <x:mergeCell ref="F28:G28"/>
    <x:mergeCell ref="C29:D29"/>
    <x:mergeCell ref="F30:G30"/>
    <x:mergeCell ref="C30:D30"/>
    <x:mergeCell ref="A27:A34"/>
    <x:mergeCell ref="C32:D32"/>
    <x:mergeCell ref="C33:D33"/>
    <x:mergeCell ref="C34:D34"/>
    <x:mergeCell ref="D20:E20"/>
    <x:mergeCell ref="A25:B25"/>
    <x:mergeCell ref="A26:B26"/>
    <x:mergeCell ref="A22:B22"/>
    <x:mergeCell ref="A23:B23"/>
    <x:mergeCell ref="A24:B24"/>
    <x:mergeCell ref="D21:E21"/>
    <x:mergeCell ref="D14:E15"/>
    <x:mergeCell ref="B18:B19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O34"/>
  <x:sheetViews>
    <x:sheetView tabSelected="1" topLeftCell="A1" zoomScale="85" zoomScaleNormal="85" zoomScaleSheetLayoutView="75" workbookViewId="0">
      <x:selection activeCell="M9" activeCellId="0" sqref="M9:M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122</x:v>
      </x:c>
      <x:c r="D1" s="68"/>
      <x:c r="E1" s="68">
        <x:v>1</x:v>
      </x:c>
      <x:c r="F1" s="68">
        <x:v>3</x:v>
      </x:c>
      <x:c r="G1" s="68" t="s">
        <x:v>9</x:v>
      </x:c>
      <x:c r="H1" s="52" t="s">
        <x:v>96</x:v>
      </x:c>
      <x:c r="I1" s="52">
        <x:f>F1-K1</x:f>
        <x:v>3</x:v>
      </x:c>
      <x:c r="J1" s="52" t="s">
        <x:v>89</x:v>
      </x:c>
      <x:c r="K1" s="52"/>
    </x:row>
    <x:row r="2" spans="1:11" ht="20.100000000000001" customHeight="1">
      <x:c r="A2" s="272" t="s">
        <x:v>50</x:v>
      </x:c>
      <x:c r="B2" s="273"/>
      <x:c r="C2" s="276">
        <x:f>SUM(C4:D7)</x:f>
        <x:v>4837400</x:v>
      </x:c>
      <x:c r="D2" s="276"/>
      <x:c r="E2" s="279" t="s">
        <x:v>20</x:v>
      </x:c>
      <x:c r="F2" s="280"/>
      <x:c r="G2" s="268">
        <x:v>119300</x:v>
      </x:c>
      <x:c r="H2" s="266" t="s">
        <x:v>54</x:v>
      </x:c>
      <x:c r="I2" s="267"/>
      <x:c r="J2" s="264" t="s">
        <x:v>143</x:v>
      </x:c>
      <x:c r="K2" s="265"/>
    </x:row>
    <x:row r="3" spans="1:11" ht="20.100000000000001" customHeight="1">
      <x:c r="A3" s="274"/>
      <x:c r="B3" s="275"/>
      <x:c r="C3" s="277"/>
      <x:c r="D3" s="277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1" ht="30.949999999999999" customHeight="1">
      <x:c r="A4" s="270" t="s">
        <x:v>41</x:v>
      </x:c>
      <x:c r="B4" s="271"/>
      <x:c r="C4" s="263">
        <x:v>3708300</x:v>
      </x:c>
      <x:c r="D4" s="263"/>
      <x:c r="E4" s="278" t="s">
        <x:v>160</x:v>
      </x:c>
      <x:c r="F4" s="278"/>
      <x:c r="G4" s="133">
        <x:f>C4*0.0275</x:f>
        <x:v>101978.25</x:v>
      </x:c>
      <x:c r="H4" s="54" t="s">
        <x:v>19</x:v>
      </x:c>
      <x:c r="I4" s="124">
        <x:f>1031976+298752+452000+219560+401778-14328</x:f>
        <x:v>2389738</x:v>
      </x:c>
      <x:c r="J4" s="80" t="s">
        <x:v>24</x:v>
      </x:c>
      <x:c r="K4" s="58"/>
    </x:row>
    <x:row r="5" spans="1:11" ht="30.949999999999999" customHeight="1">
      <x:c r="A5" s="270" t="s">
        <x:v>52</x:v>
      </x:c>
      <x:c r="B5" s="271"/>
      <x:c r="C5" s="263">
        <x:v>1129100</x:v>
      </x:c>
      <x:c r="D5" s="263"/>
      <x:c r="E5" s="262" t="s">
        <x:v>136</x:v>
      </x:c>
      <x:c r="F5" s="262"/>
      <x:c r="G5" s="133">
        <x:f>INT(C5*0.01)</x:f>
        <x:v>11291</x:v>
      </x:c>
      <x:c r="H5" s="54" t="s">
        <x:v>54</x:v>
      </x:c>
      <x:c r="I5" s="124">
        <x:f>40420+60500+44000+29656+140700+10000+18350</x:f>
        <x:v>343626</x:v>
      </x:c>
      <x:c r="J5" s="81"/>
      <x:c r="K5" s="58"/>
    </x:row>
    <x:row r="6" spans="1:11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1200000</x:v>
      </x:c>
      <x:c r="H6" s="54"/>
      <x:c r="I6" s="124"/>
      <x:c r="J6" s="81" t="s">
        <x:v>99</x:v>
      </x:c>
      <x:c r="K6" s="58"/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4"/>
      <x:c r="J7" s="81" t="s">
        <x:v>106</x:v>
      </x:c>
      <x:c r="K7" s="58"/>
    </x:row>
    <x:row r="8" spans="1:11" ht="21.949999999999999" customHeight="1">
      <x:c r="A8" s="261" t="s">
        <x:v>98</x:v>
      </x:c>
      <x:c r="B8" s="262"/>
      <x:c r="C8" s="263">
        <x:v>48400</x:v>
      </x:c>
      <x:c r="D8" s="263"/>
      <x:c r="E8" s="289" t="s">
        <x:v>114</x:v>
      </x:c>
      <x:c r="F8" s="290"/>
      <x:c r="G8" s="295">
        <x:f>C5+G2-G6-C22</x:f>
        <x:v>48400</x:v>
      </x:c>
      <x:c r="H8" s="54" t="s">
        <x:v>14</x:v>
      </x:c>
      <x:c r="I8" s="124"/>
      <x:c r="J8" s="81"/>
      <x:c r="K8" s="58"/>
    </x:row>
    <x:row r="9" spans="1:11" ht="21.949999999999999" customHeight="1">
      <x:c r="A9" s="261"/>
      <x:c r="B9" s="262"/>
      <x:c r="C9" s="263"/>
      <x:c r="D9" s="263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21.75" customHeight="1">
      <x:c r="A10" s="261" t="s">
        <x:v>120</x:v>
      </x:c>
      <x:c r="B10" s="262"/>
      <x:c r="C10" s="263">
        <x:v>59400</x:v>
      </x:c>
      <x:c r="D10" s="263"/>
      <x:c r="E10" s="262" t="s">
        <x:v>101</x:v>
      </x:c>
      <x:c r="F10" s="262"/>
      <x:c r="G10" s="55"/>
      <x:c r="H10" s="54"/>
      <x:c r="I10" s="124"/>
      <x:c r="J10" s="54" t="s">
        <x:v>23</x:v>
      </x:c>
      <x:c r="K10" s="58"/>
    </x:row>
    <x:row r="11" spans="1:11" ht="21.75" customHeight="1">
      <x:c r="A11" s="261" t="s">
        <x:v>115</x:v>
      </x:c>
      <x:c r="B11" s="262"/>
      <x:c r="C11" s="301" t="s">
        <x:v>123</x:v>
      </x:c>
      <x:c r="D11" s="301"/>
      <x:c r="E11" s="301"/>
      <x:c r="F11" s="301"/>
      <x:c r="G11" s="301"/>
      <x:c r="H11" s="54" t="s">
        <x:v>151</x:v>
      </x:c>
      <x:c r="I11" s="58"/>
      <x:c r="J11" s="54" t="s">
        <x:v>125</x:v>
      </x:c>
      <x:c r="K11" s="135"/>
    </x:row>
    <x:row r="12" spans="1:13" ht="21.949999999999999" customHeight="1">
      <x:c r="A12" s="59" t="s">
        <x:v>21</x:v>
      </x:c>
      <x:c r="B12" s="299" t="s">
        <x:v>8</x:v>
      </x:c>
      <x:c r="C12" s="79">
        <x:v>17</x:v>
      </x:c>
      <x:c r="D12" s="289" t="s">
        <x:v>83</x:v>
      </x:c>
      <x:c r="E12" s="290"/>
      <x:c r="F12" s="293">
        <x:v>34</x:v>
      </x:c>
      <x:c r="G12" s="294"/>
      <x:c r="H12" s="54" t="s">
        <x:v>58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56</x:v>
      </x:c>
      <x:c r="B13" s="300"/>
      <x:c r="C13" s="134">
        <x:f>SUM('1:3'!$C$12)</x:f>
        <x:v>59</x:v>
      </x:c>
      <x:c r="D13" s="281"/>
      <x:c r="E13" s="282"/>
      <x:c r="F13" s="291">
        <x:f>SUM('1:3'!$F$12)</x:f>
        <x:v>96</x:v>
      </x:c>
      <x:c r="G13" s="292"/>
      <x:c r="H13" s="54" t="s">
        <x:v>92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21</x:v>
      </x:c>
      <x:c r="B14" s="299" t="s">
        <x:v>84</x:v>
      </x:c>
      <x:c r="C14" s="79">
        <x:v>35</x:v>
      </x:c>
      <x:c r="D14" s="289" t="s">
        <x:v>73</x:v>
      </x:c>
      <x:c r="E14" s="290"/>
      <x:c r="F14" s="293">
        <x:v>12</x:v>
      </x:c>
      <x:c r="G14" s="294"/>
      <x:c r="H14" s="54" t="s">
        <x:v>61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56</x:v>
      </x:c>
      <x:c r="B15" s="300"/>
      <x:c r="C15" s="134">
        <x:f>SUM('1:3'!$C$14)</x:f>
        <x:v>95</x:v>
      </x:c>
      <x:c r="D15" s="281"/>
      <x:c r="E15" s="282"/>
      <x:c r="F15" s="291">
        <x:f>SUM('1:3'!$F$14)</x:f>
        <x:v>46</x:v>
      </x:c>
      <x:c r="G15" s="292"/>
      <x:c r="H15" s="54" t="s">
        <x:v>64</x:v>
      </x:c>
      <x:c r="I15" s="58">
        <x:f>13500+10500+33000+5500+14000+6534+3500+28000+81600+33000+21000+38400+5500+14700+5100+20000</x:f>
        <x:v>333834</x:v>
      </x:c>
      <x:c r="J15" s="54" t="s">
        <x:v>143</x:v>
      </x:c>
      <x:c r="K15" s="58"/>
      <x:c r="L15" s="60"/>
      <x:c r="M15" s="11"/>
    </x:row>
    <x:row r="16" spans="1:13" ht="21.949999999999999" customHeight="1">
      <x:c r="A16" s="59" t="s">
        <x:v>21</x:v>
      </x:c>
      <x:c r="B16" s="299" t="s">
        <x:v>51</x:v>
      </x:c>
      <x:c r="C16" s="79">
        <x:v>10</x:v>
      </x:c>
      <x:c r="D16" s="289" t="s">
        <x:v>81</x:v>
      </x:c>
      <x:c r="E16" s="290"/>
      <x:c r="F16" s="287">
        <x:v>13</x:v>
      </x:c>
      <x:c r="G16" s="287"/>
      <x:c r="H16" s="54"/>
      <x:c r="I16" s="58"/>
      <x:c r="J16" s="54" t="s">
        <x:v>105</x:v>
      </x:c>
      <x:c r="K16" s="58"/>
      <x:c r="L16" s="60"/>
      <x:c r="M16" s="11"/>
    </x:row>
    <x:row r="17" spans="1:13" ht="21.949999999999999" customHeight="1">
      <x:c r="A17" s="59" t="s">
        <x:v>56</x:v>
      </x:c>
      <x:c r="B17" s="300"/>
      <x:c r="C17" s="134">
        <x:f>SUM('1:3'!$C$16)</x:f>
        <x:v>25</x:v>
      </x:c>
      <x:c r="D17" s="281"/>
      <x:c r="E17" s="282"/>
      <x:c r="F17" s="288">
        <x:f>SUM('1:3'!$F$16)</x:f>
        <x:v>38</x:v>
      </x:c>
      <x:c r="G17" s="288"/>
      <x:c r="H17" s="54" t="s">
        <x:v>18</x:v>
      </x:c>
      <x:c r="I17" s="58"/>
      <x:c r="J17" s="54" t="s">
        <x:v>97</x:v>
      </x:c>
      <x:c r="K17" s="58"/>
      <x:c r="L17" s="60"/>
      <x:c r="M17" s="11"/>
    </x:row>
    <x:row r="18" spans="1:13" ht="21.949999999999999" customHeight="1">
      <x:c r="A18" s="59" t="s">
        <x:v>21</x:v>
      </x:c>
      <x:c r="B18" s="299" t="s">
        <x:v>107</x:v>
      </x:c>
      <x:c r="C18" s="79">
        <x:v>40</x:v>
      </x:c>
      <x:c r="D18" s="289" t="s">
        <x:v>29</x:v>
      </x:c>
      <x:c r="E18" s="290"/>
      <x:c r="F18" s="297">
        <x:v>4</x:v>
      </x:c>
      <x:c r="G18" s="29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56</x:v>
      </x:c>
      <x:c r="B19" s="300"/>
      <x:c r="C19" s="134">
        <x:f>SUM('1:3'!$C$18)</x:f>
        <x:v>147</x:v>
      </x:c>
      <x:c r="D19" s="281"/>
      <x:c r="E19" s="282"/>
      <x:c r="F19" s="288">
        <x:f>SUM('1:3'!$F$18)</x:f>
        <x:v>14</x:v>
      </x:c>
      <x:c r="G19" s="288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108</x:v>
      </x:c>
      <x:c r="E20" s="262"/>
      <x:c r="F20" s="287">
        <x:v>59</x:v>
      </x:c>
      <x:c r="G20" s="287"/>
      <x:c r="H20" s="58"/>
      <x:c r="J20" s="54"/>
      <x:c r="K20" s="58"/>
      <x:c r="L20" s="60"/>
      <x:c r="M20" s="11"/>
    </x:row>
    <x:row r="21" spans="4:13" ht="21.949999999999999" customHeight="1">
      <x:c r="D21" s="262" t="s">
        <x:v>128</x:v>
      </x:c>
      <x:c r="E21" s="262"/>
      <x:c r="F21" s="288">
        <x:f>SUM('1:3'!$F$20)</x:f>
        <x:v>189</x:v>
      </x:c>
      <x:c r="G21" s="288"/>
      <x:c r="H21" s="58"/>
      <x:c r="J21" s="54"/>
      <x:c r="K21" s="58"/>
      <x:c r="L21" s="60"/>
      <x:c r="M21" s="11"/>
    </x:row>
    <x:row r="22" spans="1:13" ht="32.100000000000001" customHeight="1">
      <x:c r="A22" s="261" t="s">
        <x:v>121</x:v>
      </x:c>
      <x:c r="B22" s="262"/>
      <x:c r="C22" s="286"/>
      <x:c r="D22" s="286"/>
      <x:c r="E22" s="286"/>
      <x:c r="F22" s="286"/>
      <x:c r="G22" s="286"/>
      <x:c r="H22" s="54"/>
      <x:c r="J22" s="54"/>
      <x:c r="K22" s="58"/>
      <x:c r="L22" s="60"/>
      <x:c r="M22" s="11"/>
    </x:row>
    <x:row r="23" spans="1:15" ht="34.149999999999999" customHeight="1">
      <x:c r="A23" s="261" t="s">
        <x:v>59</x:v>
      </x:c>
      <x:c r="B23" s="262"/>
      <x:c r="C23" s="317"/>
      <x:c r="D23" s="318"/>
      <x:c r="E23" s="318"/>
      <x:c r="F23" s="318"/>
      <x:c r="G23" s="318"/>
      <x:c r="H23" s="107" t="s">
        <x:v>95</x:v>
      </x:c>
      <x:c r="I23" s="108">
        <x:f>SUM(I4:I22)</x:f>
        <x:v>3067198</x:v>
      </x:c>
      <x:c r="J23" s="61" t="s">
        <x:v>70</x:v>
      </x:c>
      <x:c r="K23" s="62">
        <x:f>SUM(K4:K22)</x:f>
        <x:v>0</x:v>
      </x:c>
      <x:c r="M23" s="88" t="s">
        <x:v>102</x:v>
      </x:c>
      <x:c r="N23" s="284">
        <x:f>C5+C6</x:f>
        <x:v>1129100</x:v>
      </x:c>
      <x:c r="O23" s="285"/>
    </x:row>
    <x:row r="24" spans="1:11" ht="34.149999999999999" customHeight="1">
      <x:c r="A24" s="261" t="s">
        <x:v>152</x:v>
      </x:c>
      <x:c r="B24" s="262"/>
      <x:c r="C24" s="262" t="s">
        <x:v>86</x:v>
      </x:c>
      <x:c r="D24" s="262"/>
      <x:c r="E24" s="262" t="s">
        <x:v>62</x:v>
      </x:c>
      <x:c r="F24" s="262"/>
      <x:c r="G24" s="262"/>
      <x:c r="H24" s="107" t="s">
        <x:v>152</x:v>
      </x:c>
      <x:c r="I24" s="109">
        <x:f>I23/A25</x:f>
        <x:v>0.63405920535825033</x:v>
      </x:c>
      <x:c r="J24" s="61" t="s">
        <x:v>152</x:v>
      </x:c>
      <x:c r="K24" s="63">
        <x:f>K23/A25</x:f>
        <x:v>0</x:v>
      </x:c>
    </x:row>
    <x:row r="25" spans="1:11" ht="34.149999999999999" customHeight="1">
      <x:c r="A25" s="313">
        <x:f>C2</x:f>
        <x:v>4837400</x:v>
      </x:c>
      <x:c r="B25" s="277"/>
      <x:c r="C25" s="277">
        <x:f>E25/I1</x:f>
        <x:v>5150433.333333333</x:v>
      </x:c>
      <x:c r="D25" s="277"/>
      <x:c r="E25" s="277">
        <x:f>SUM('1:3'!$A$25)</x:f>
        <x:v>15451300</x:v>
      </x:c>
      <x:c r="F25" s="277"/>
      <x:c r="G25" s="277"/>
      <x:c r="H25" s="107" t="s">
        <x:v>156</x:v>
      </x:c>
      <x:c r="I25" s="108">
        <x:f>SUM('1:3'!$I$23)</x:f>
        <x:v>5802202</x:v>
      </x:c>
      <x:c r="J25" s="61" t="s">
        <x:v>156</x:v>
      </x:c>
      <x:c r="K25" s="62">
        <x:f>SUM('1:3'!$K$23)</x:f>
        <x:v>87000</x:v>
      </x:c>
    </x:row>
    <x:row r="26" spans="1:11" ht="34.149999999999999" customHeight="1">
      <x:c r="A26" s="261" t="s">
        <x:v>68</x:v>
      </x:c>
      <x:c r="B26" s="262"/>
      <x:c r="C26" s="322"/>
      <x:c r="D26" s="262"/>
      <x:c r="E26" s="263"/>
      <x:c r="F26" s="263"/>
      <x:c r="G26" s="263"/>
      <x:c r="H26" s="107" t="s">
        <x:v>67</x:v>
      </x:c>
      <x:c r="I26" s="110">
        <x:f>I25/$E$25</x:f>
        <x:v>0.37551545824623173</x:v>
      </x:c>
      <x:c r="J26" s="64" t="s">
        <x:v>67</x:v>
      </x:c>
      <x:c r="K26" s="65">
        <x:f>K25/$E$25</x:f>
        <x:v>0.0056305941894856746</x:v>
      </x:c>
    </x:row>
    <x:row r="27" spans="1:13" ht="30.949999999999999" customHeight="1">
      <x:c r="A27" s="319" t="s">
        <x:v>113</x:v>
      </x:c>
      <x:c r="B27" s="54" t="s">
        <x:v>17</x:v>
      </x:c>
      <x:c r="C27" s="277">
        <x:f>3300000/31</x:f>
        <x:v>106451.6129032258</x:v>
      </x:c>
      <x:c r="D27" s="277"/>
      <x:c r="E27" s="55" t="s">
        <x:v>12</x:v>
      </x:c>
      <x:c r="F27" s="263"/>
      <x:c r="G27" s="263"/>
      <x:c r="H27" s="111" t="s">
        <x:v>69</x:v>
      </x:c>
      <x:c r="I27" s="112">
        <x:f>SUM(C27:D34,F27:G32)</x:f>
        <x:v>491241.93548387091</x:v>
      </x:c>
      <x:c r="M27" s="66"/>
    </x:row>
    <x:row r="28" spans="1:13" ht="30.949999999999999" customHeight="1">
      <x:c r="A28" s="320"/>
      <x:c r="B28" s="54" t="s">
        <x:v>161</x:v>
      </x:c>
      <x:c r="C28" s="314">
        <x:f>3300000/31</x:f>
        <x:v>106451.6129032258</x:v>
      </x:c>
      <x:c r="D28" s="315"/>
      <x:c r="E28" s="148" t="s">
        <x:v>37</x:v>
      </x:c>
      <x:c r="F28" s="316">
        <x:f>9.5*13000</x:f>
        <x:v>123500</x:v>
      </x:c>
      <x:c r="G28" s="316"/>
      <x:c r="H28" s="111" t="s">
        <x:v>152</x:v>
      </x:c>
      <x:c r="I28" s="113">
        <x:f>I27/$A$25</x:f>
        <x:v>0.10155081975521374</x:v>
      </x:c>
      <x:c r="M28" s="66"/>
    </x:row>
    <x:row r="29" spans="1:13" ht="30.949999999999999" customHeight="1">
      <x:c r="A29" s="320"/>
      <x:c r="B29" s="54" t="s">
        <x:v>38</x:v>
      </x:c>
      <x:c r="C29" s="277">
        <x:f>3300000/31</x:f>
        <x:v>106451.6129032258</x:v>
      </x:c>
      <x:c r="D29" s="277"/>
      <x:c r="E29" s="54" t="s">
        <x:v>147</x:v>
      </x:c>
      <x:c r="F29" s="263"/>
      <x:c r="G29" s="263"/>
      <x:c r="H29" s="111" t="s">
        <x:v>156</x:v>
      </x:c>
      <x:c r="I29" s="112">
        <x:f>SUM('1:3'!$I$27)</x:f>
        <x:v>1564225.8064516126</x:v>
      </x:c>
      <x:c r="M29" s="66"/>
    </x:row>
    <x:row r="30" spans="1:13" ht="30.949999999999999" customHeight="1">
      <x:c r="A30" s="320"/>
      <x:c r="B30" s="55" t="s">
        <x:v>28</x:v>
      </x:c>
      <x:c r="C30" s="277">
        <x:f>1500000/31</x:f>
        <x:v>48387.096774193546</x:v>
      </x:c>
      <x:c r="D30" s="277"/>
      <x:c r="E30" s="55"/>
      <x:c r="F30" s="311"/>
      <x:c r="G30" s="312"/>
      <x:c r="H30" s="111" t="s">
        <x:v>67</x:v>
      </x:c>
      <x:c r="I30" s="113">
        <x:f>I29/$I$27</x:f>
        <x:v>3.1842269429031091</x:v>
      </x:c>
      <x:c r="M30" s="66"/>
    </x:row>
    <x:row r="31" spans="1:7" customHeight="1">
      <x:c r="A31" s="320"/>
      <x:c r="B31" s="147"/>
      <x:c r="C31" s="309"/>
      <x:c r="D31" s="310"/>
      <x:c r="E31" s="55" t="s">
        <x:v>10</x:v>
      </x:c>
      <x:c r="F31" s="311"/>
      <x:c r="G31" s="312"/>
    </x:row>
    <x:row r="32" spans="1:7" customHeight="1">
      <x:c r="A32" s="320"/>
      <x:c r="B32" s="147"/>
      <x:c r="C32" s="309"/>
      <x:c r="D32" s="310"/>
      <x:c r="E32" s="55" t="s">
        <x:v>79</x:v>
      </x:c>
      <x:c r="F32" s="311"/>
      <x:c r="G32" s="312"/>
    </x:row>
    <x:row r="33" spans="1:4" customHeight="1">
      <x:c r="A33" s="320"/>
      <x:c r="B33" s="54"/>
      <x:c r="C33" s="309"/>
      <x:c r="D33" s="310"/>
    </x:row>
    <x:row r="34" spans="1:4" customHeight="1">
      <x:c r="A34" s="321"/>
      <x:c r="B34" s="54"/>
      <x:c r="C34" s="311"/>
      <x:c r="D34" s="312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D14:E15"/>
    <x:mergeCell ref="B18:B19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O34"/>
  <x:sheetViews>
    <x:sheetView tabSelected="1" topLeftCell="A1" zoomScale="85" zoomScaleNormal="85" zoomScaleSheetLayoutView="75" workbookViewId="0">
      <x:selection activeCell="M29" activeCellId="0" sqref="M29:M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122</x:v>
      </x:c>
      <x:c r="D1" s="68"/>
      <x:c r="E1" s="68">
        <x:v>1</x:v>
      </x:c>
      <x:c r="F1" s="68">
        <x:v>4</x:v>
      </x:c>
      <x:c r="G1" s="68" t="s">
        <x:v>145</x:v>
      </x:c>
      <x:c r="H1" s="52" t="s">
        <x:v>96</x:v>
      </x:c>
      <x:c r="I1" s="52">
        <x:f>F1-K1</x:f>
        <x:v>4</x:v>
      </x:c>
      <x:c r="J1" s="52" t="s">
        <x:v>89</x:v>
      </x:c>
      <x:c r="K1" s="52"/>
    </x:row>
    <x:row r="2" spans="1:11" ht="20.100000000000001" customHeight="1">
      <x:c r="A2" s="272" t="s">
        <x:v>50</x:v>
      </x:c>
      <x:c r="B2" s="273"/>
      <x:c r="C2" s="276">
        <x:f>SUM(C4:D7)</x:f>
        <x:v>3538100</x:v>
      </x:c>
      <x:c r="D2" s="276"/>
      <x:c r="E2" s="279" t="s">
        <x:v>20</x:v>
      </x:c>
      <x:c r="F2" s="280"/>
      <x:c r="G2" s="268">
        <x:v>48400</x:v>
      </x:c>
      <x:c r="H2" s="266" t="s">
        <x:v>54</x:v>
      </x:c>
      <x:c r="I2" s="267"/>
      <x:c r="J2" s="264" t="s">
        <x:v>143</x:v>
      </x:c>
      <x:c r="K2" s="265"/>
    </x:row>
    <x:row r="3" spans="1:11" ht="20.100000000000001" customHeight="1">
      <x:c r="A3" s="274"/>
      <x:c r="B3" s="275"/>
      <x:c r="C3" s="277"/>
      <x:c r="D3" s="277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1" ht="30.949999999999999" customHeight="1">
      <x:c r="A4" s="270" t="s">
        <x:v>41</x:v>
      </x:c>
      <x:c r="B4" s="271"/>
      <x:c r="C4" s="263">
        <x:v>2781300</x:v>
      </x:c>
      <x:c r="D4" s="263"/>
      <x:c r="E4" s="278" t="s">
        <x:v>160</x:v>
      </x:c>
      <x:c r="F4" s="278"/>
      <x:c r="G4" s="133">
        <x:f>INT(C4*0.0275)</x:f>
        <x:v>76485</x:v>
      </x:c>
      <x:c r="H4" s="54" t="s">
        <x:v>19</x:v>
      </x:c>
      <x:c r="I4" s="124"/>
      <x:c r="J4" s="80" t="s">
        <x:v>24</x:v>
      </x:c>
      <x:c r="K4" s="58"/>
    </x:row>
    <x:row r="5" spans="1:11" ht="30.949999999999999" customHeight="1">
      <x:c r="A5" s="270" t="s">
        <x:v>52</x:v>
      </x:c>
      <x:c r="B5" s="271"/>
      <x:c r="C5" s="263">
        <x:v>756800</x:v>
      </x:c>
      <x:c r="D5" s="263"/>
      <x:c r="E5" s="262" t="s">
        <x:v>136</x:v>
      </x:c>
      <x:c r="F5" s="262"/>
      <x:c r="G5" s="133">
        <x:f>INT(C5*0.01)</x:f>
        <x:v>7568</x:v>
      </x:c>
      <x:c r="H5" s="54" t="s">
        <x:v>54</x:v>
      </x:c>
      <x:c r="I5" s="124"/>
      <x:c r="J5" s="81"/>
      <x:c r="K5" s="58"/>
    </x:row>
    <x:row r="6" spans="1:11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735000</x:v>
      </x:c>
      <x:c r="H6" s="54"/>
      <x:c r="I6" s="124"/>
      <x:c r="J6" s="81" t="s">
        <x:v>99</x:v>
      </x:c>
      <x:c r="K6" s="58"/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4"/>
      <x:c r="J7" s="81" t="s">
        <x:v>106</x:v>
      </x:c>
      <x:c r="K7" s="58"/>
    </x:row>
    <x:row r="8" spans="1:11" ht="21.949999999999999" customHeight="1">
      <x:c r="A8" s="261" t="s">
        <x:v>98</x:v>
      </x:c>
      <x:c r="B8" s="262"/>
      <x:c r="C8" s="263">
        <x:v>70900</x:v>
      </x:c>
      <x:c r="D8" s="263"/>
      <x:c r="E8" s="289" t="s">
        <x:v>114</x:v>
      </x:c>
      <x:c r="F8" s="290"/>
      <x:c r="G8" s="295">
        <x:f>C5+G2-G6-C22</x:f>
        <x:v>70200</x:v>
      </x:c>
      <x:c r="H8" s="54" t="s">
        <x:v>14</x:v>
      </x:c>
      <x:c r="I8" s="124"/>
      <x:c r="J8" s="81"/>
      <x:c r="K8" s="58"/>
    </x:row>
    <x:row r="9" spans="1:11" ht="21.949999999999999" customHeight="1">
      <x:c r="A9" s="261"/>
      <x:c r="B9" s="262"/>
      <x:c r="C9" s="263"/>
      <x:c r="D9" s="263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30.949999999999999" customHeight="1">
      <x:c r="A10" s="261" t="s">
        <x:v>120</x:v>
      </x:c>
      <x:c r="B10" s="262"/>
      <x:c r="C10" s="263">
        <x:f>215000</x:f>
        <x:v>215000</x:v>
      </x:c>
      <x:c r="D10" s="263"/>
      <x:c r="E10" s="262" t="s">
        <x:v>101</x:v>
      </x:c>
      <x:c r="F10" s="262"/>
      <x:c r="G10" s="55"/>
      <x:c r="H10" s="54"/>
      <x:c r="I10" s="124"/>
      <x:c r="J10" s="54" t="s">
        <x:v>23</x:v>
      </x:c>
      <x:c r="K10" s="58"/>
    </x:row>
    <x:row r="11" spans="1:11" ht="33" customHeight="1">
      <x:c r="A11" s="261" t="s">
        <x:v>115</x:v>
      </x:c>
      <x:c r="B11" s="262"/>
      <x:c r="C11" s="301" t="s">
        <x:v>142</x:v>
      </x:c>
      <x:c r="D11" s="301"/>
      <x:c r="E11" s="301"/>
      <x:c r="F11" s="301"/>
      <x:c r="G11" s="301"/>
      <x:c r="H11" s="54" t="s">
        <x:v>151</x:v>
      </x:c>
      <x:c r="I11" s="58"/>
      <x:c r="J11" s="54" t="s">
        <x:v>125</x:v>
      </x:c>
      <x:c r="K11" s="135"/>
    </x:row>
    <x:row r="12" spans="1:13" ht="21.949999999999999" customHeight="1">
      <x:c r="A12" s="59" t="s">
        <x:v>21</x:v>
      </x:c>
      <x:c r="B12" s="299" t="s">
        <x:v>8</x:v>
      </x:c>
      <x:c r="C12" s="79">
        <x:v>49</x:v>
      </x:c>
      <x:c r="D12" s="289" t="s">
        <x:v>83</x:v>
      </x:c>
      <x:c r="E12" s="290"/>
      <x:c r="F12" s="293">
        <x:v>13</x:v>
      </x:c>
      <x:c r="G12" s="294"/>
      <x:c r="H12" s="54" t="s">
        <x:v>58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56</x:v>
      </x:c>
      <x:c r="B13" s="300"/>
      <x:c r="C13" s="134">
        <x:f>SUM('1:4'!$C$12)</x:f>
        <x:v>108</x:v>
      </x:c>
      <x:c r="D13" s="281"/>
      <x:c r="E13" s="282"/>
      <x:c r="F13" s="291">
        <x:f>SUM('1:4'!$F$12)</x:f>
        <x:v>109</x:v>
      </x:c>
      <x:c r="G13" s="292"/>
      <x:c r="H13" s="54" t="s">
        <x:v>92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21</x:v>
      </x:c>
      <x:c r="B14" s="299" t="s">
        <x:v>84</x:v>
      </x:c>
      <x:c r="C14" s="79">
        <x:v>22</x:v>
      </x:c>
      <x:c r="D14" s="289" t="s">
        <x:v>73</x:v>
      </x:c>
      <x:c r="E14" s="290"/>
      <x:c r="F14" s="293">
        <x:v>20</x:v>
      </x:c>
      <x:c r="G14" s="294"/>
      <x:c r="H14" s="54" t="s">
        <x:v>61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56</x:v>
      </x:c>
      <x:c r="B15" s="300"/>
      <x:c r="C15" s="134">
        <x:f>SUM('1:4'!$C$14)</x:f>
        <x:v>117</x:v>
      </x:c>
      <x:c r="D15" s="281"/>
      <x:c r="E15" s="282"/>
      <x:c r="F15" s="291">
        <x:f>SUM('1:4'!$F$14)</x:f>
        <x:v>66</x:v>
      </x:c>
      <x:c r="G15" s="292"/>
      <x:c r="H15" s="54" t="s">
        <x:v>64</x:v>
      </x:c>
      <x:c r="I15" s="58"/>
      <x:c r="J15" s="54" t="s">
        <x:v>143</x:v>
      </x:c>
      <x:c r="K15" s="58"/>
      <x:c r="L15" s="60"/>
      <x:c r="M15" s="11"/>
    </x:row>
    <x:row r="16" spans="1:13" ht="21.949999999999999" customHeight="1">
      <x:c r="A16" s="59" t="s">
        <x:v>21</x:v>
      </x:c>
      <x:c r="B16" s="299" t="s">
        <x:v>51</x:v>
      </x:c>
      <x:c r="C16" s="79">
        <x:v>4</x:v>
      </x:c>
      <x:c r="D16" s="289" t="s">
        <x:v>81</x:v>
      </x:c>
      <x:c r="E16" s="290"/>
      <x:c r="F16" s="287">
        <x:v>9</x:v>
      </x:c>
      <x:c r="G16" s="287"/>
      <x:c r="H16" s="54"/>
      <x:c r="I16" s="58"/>
      <x:c r="J16" s="54" t="s">
        <x:v>105</x:v>
      </x:c>
      <x:c r="K16" s="58">
        <x:v>172100</x:v>
      </x:c>
      <x:c r="L16" s="60"/>
      <x:c r="M16" s="11"/>
    </x:row>
    <x:row r="17" spans="1:13" ht="21.949999999999999" customHeight="1">
      <x:c r="A17" s="59" t="s">
        <x:v>56</x:v>
      </x:c>
      <x:c r="B17" s="300"/>
      <x:c r="C17" s="134">
        <x:f>SUM('1:4'!$C$16)</x:f>
        <x:v>29</x:v>
      </x:c>
      <x:c r="D17" s="281"/>
      <x:c r="E17" s="282"/>
      <x:c r="F17" s="288">
        <x:f>SUM('1:4'!$F$16)</x:f>
        <x:v>47</x:v>
      </x:c>
      <x:c r="G17" s="288"/>
      <x:c r="H17" s="54" t="s">
        <x:v>18</x:v>
      </x:c>
      <x:c r="I17" s="58"/>
      <x:c r="J17" s="54" t="s">
        <x:v>97</x:v>
      </x:c>
      <x:c r="K17" s="58"/>
      <x:c r="L17" s="60"/>
      <x:c r="M17" s="11"/>
    </x:row>
    <x:row r="18" spans="1:13" ht="21.949999999999999" customHeight="1">
      <x:c r="A18" s="59" t="s">
        <x:v>21</x:v>
      </x:c>
      <x:c r="B18" s="299" t="s">
        <x:v>107</x:v>
      </x:c>
      <x:c r="C18" s="79">
        <x:v>33</x:v>
      </x:c>
      <x:c r="D18" s="289" t="s">
        <x:v>29</x:v>
      </x:c>
      <x:c r="E18" s="290"/>
      <x:c r="F18" s="297">
        <x:v>2</x:v>
      </x:c>
      <x:c r="G18" s="29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56</x:v>
      </x:c>
      <x:c r="B19" s="300"/>
      <x:c r="C19" s="134">
        <x:f>SUM('1:4'!$C$18)</x:f>
        <x:v>180</x:v>
      </x:c>
      <x:c r="D19" s="281"/>
      <x:c r="E19" s="282"/>
      <x:c r="F19" s="288">
        <x:f>SUM('1:4'!$F$18)</x:f>
        <x:v>16</x:v>
      </x:c>
      <x:c r="G19" s="288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108</x:v>
      </x:c>
      <x:c r="E20" s="262"/>
      <x:c r="F20" s="287">
        <x:v>48</x:v>
      </x:c>
      <x:c r="G20" s="287"/>
      <x:c r="H20" s="58"/>
      <x:c r="J20" s="54"/>
      <x:c r="K20" s="58"/>
      <x:c r="L20" s="60"/>
      <x:c r="M20" s="11"/>
    </x:row>
    <x:row r="21" spans="4:13" ht="21.949999999999999" customHeight="1">
      <x:c r="D21" s="262" t="s">
        <x:v>128</x:v>
      </x:c>
      <x:c r="E21" s="262"/>
      <x:c r="F21" s="288">
        <x:f>SUM('1:4'!$F$20)</x:f>
        <x:v>237</x:v>
      </x:c>
      <x:c r="G21" s="288"/>
      <x:c r="H21" s="58"/>
      <x:c r="J21" s="54"/>
      <x:c r="K21" s="58"/>
      <x:c r="L21" s="60"/>
      <x:c r="M21" s="11"/>
    </x:row>
    <x:row r="22" spans="1:13" ht="32.100000000000001" customHeight="1">
      <x:c r="A22" s="261" t="s">
        <x:v>121</x:v>
      </x:c>
      <x:c r="B22" s="262"/>
      <x:c r="C22" s="286"/>
      <x:c r="D22" s="286"/>
      <x:c r="E22" s="286"/>
      <x:c r="F22" s="286"/>
      <x:c r="G22" s="286"/>
      <x:c r="H22" s="54"/>
      <x:c r="J22" s="54"/>
      <x:c r="K22" s="58"/>
      <x:c r="L22" s="60"/>
      <x:c r="M22" s="11"/>
    </x:row>
    <x:row r="23" spans="1:15" ht="34.149999999999999" customHeight="1">
      <x:c r="A23" s="261" t="s">
        <x:v>59</x:v>
      </x:c>
      <x:c r="B23" s="262"/>
      <x:c r="C23" s="317"/>
      <x:c r="D23" s="318"/>
      <x:c r="E23" s="318"/>
      <x:c r="F23" s="318"/>
      <x:c r="G23" s="318"/>
      <x:c r="H23" s="107" t="s">
        <x:v>95</x:v>
      </x:c>
      <x:c r="I23" s="108">
        <x:f>SUM(I4:I22)</x:f>
        <x:v>0</x:v>
      </x:c>
      <x:c r="J23" s="61" t="s">
        <x:v>70</x:v>
      </x:c>
      <x:c r="K23" s="62">
        <x:f>SUM(K4:K22)</x:f>
        <x:v>172100</x:v>
      </x:c>
      <x:c r="M23" s="88" t="s">
        <x:v>102</x:v>
      </x:c>
      <x:c r="N23" s="284">
        <x:f>C5+C6</x:f>
        <x:v>756800</x:v>
      </x:c>
      <x:c r="O23" s="285"/>
    </x:row>
    <x:row r="24" spans="1:11" ht="34.149999999999999" customHeight="1">
      <x:c r="A24" s="261" t="s">
        <x:v>152</x:v>
      </x:c>
      <x:c r="B24" s="262"/>
      <x:c r="C24" s="262" t="s">
        <x:v>86</x:v>
      </x:c>
      <x:c r="D24" s="262"/>
      <x:c r="E24" s="262" t="s">
        <x:v>62</x:v>
      </x:c>
      <x:c r="F24" s="262"/>
      <x:c r="G24" s="262"/>
      <x:c r="H24" s="107" t="s">
        <x:v>152</x:v>
      </x:c>
      <x:c r="I24" s="109">
        <x:f>I23/A25</x:f>
        <x:v>0</x:v>
      </x:c>
      <x:c r="J24" s="61" t="s">
        <x:v>152</x:v>
      </x:c>
      <x:c r="K24" s="63">
        <x:f>K23/A25</x:f>
        <x:v>0.048641926457703287</x:v>
      </x:c>
    </x:row>
    <x:row r="25" spans="1:11" ht="34.149999999999999" customHeight="1">
      <x:c r="A25" s="313">
        <x:f>C2</x:f>
        <x:v>3538100</x:v>
      </x:c>
      <x:c r="B25" s="277"/>
      <x:c r="C25" s="277">
        <x:f>E25/I1</x:f>
        <x:v>4747350</x:v>
      </x:c>
      <x:c r="D25" s="277"/>
      <x:c r="E25" s="277">
        <x:f>SUM('1:4'!$A$25)</x:f>
        <x:v>18989400</x:v>
      </x:c>
      <x:c r="F25" s="277"/>
      <x:c r="G25" s="277"/>
      <x:c r="H25" s="107" t="s">
        <x:v>156</x:v>
      </x:c>
      <x:c r="I25" s="108">
        <x:f>SUM('1:4'!$I$23)</x:f>
        <x:v>5802202</x:v>
      </x:c>
      <x:c r="J25" s="61" t="s">
        <x:v>156</x:v>
      </x:c>
      <x:c r="K25" s="62">
        <x:f>SUM('1:4'!$K$23)</x:f>
        <x:v>259100</x:v>
      </x:c>
    </x:row>
    <x:row r="26" spans="1:11" ht="34.149999999999999" customHeight="1">
      <x:c r="A26" s="261" t="s">
        <x:v>68</x:v>
      </x:c>
      <x:c r="B26" s="262"/>
      <x:c r="C26" s="262"/>
      <x:c r="D26" s="262"/>
      <x:c r="E26" s="263"/>
      <x:c r="F26" s="263"/>
      <x:c r="G26" s="263"/>
      <x:c r="H26" s="107" t="s">
        <x:v>67</x:v>
      </x:c>
      <x:c r="I26" s="110">
        <x:f>I25/$E$25</x:f>
        <x:v>0.30554951709901312</x:v>
      </x:c>
      <x:c r="J26" s="64" t="s">
        <x:v>67</x:v>
      </x:c>
      <x:c r="K26" s="65">
        <x:f>K25/$E$25</x:f>
        <x:v>0.013644454274489978</x:v>
      </x:c>
    </x:row>
    <x:row r="27" spans="1:13" ht="30.949999999999999" customHeight="1">
      <x:c r="A27" s="319" t="s">
        <x:v>113</x:v>
      </x:c>
      <x:c r="B27" s="54" t="s">
        <x:v>17</x:v>
      </x:c>
      <x:c r="C27" s="277">
        <x:f>3300000/31</x:f>
        <x:v>106451.6129032258</x:v>
      </x:c>
      <x:c r="D27" s="277"/>
      <x:c r="E27" s="55" t="s">
        <x:v>12</x:v>
      </x:c>
      <x:c r="F27" s="263"/>
      <x:c r="G27" s="263"/>
      <x:c r="H27" s="111" t="s">
        <x:v>69</x:v>
      </x:c>
      <x:c r="I27" s="112">
        <x:f>SUM(C27:D34,F27:G32)</x:f>
        <x:v>627741.93548387091</x:v>
      </x:c>
      <x:c r="M27" s="66"/>
    </x:row>
    <x:row r="28" spans="1:13" ht="30.949999999999999" customHeight="1">
      <x:c r="A28" s="320"/>
      <x:c r="B28" s="54" t="s">
        <x:v>161</x:v>
      </x:c>
      <x:c r="C28" s="314">
        <x:f>3300000/31</x:f>
        <x:v>106451.6129032258</x:v>
      </x:c>
      <x:c r="D28" s="315"/>
      <x:c r="E28" s="148" t="s">
        <x:v>37</x:v>
      </x:c>
      <x:c r="F28" s="316">
        <x:f>13000*9.5</x:f>
        <x:v>123500</x:v>
      </x:c>
      <x:c r="G28" s="316"/>
      <x:c r="H28" s="111" t="s">
        <x:v>152</x:v>
      </x:c>
      <x:c r="I28" s="113">
        <x:f>I27/$A$25</x:f>
        <x:v>0.17742345764220088</x:v>
      </x:c>
      <x:c r="M28" s="66"/>
    </x:row>
    <x:row r="29" spans="1:13" ht="30.949999999999999" customHeight="1">
      <x:c r="A29" s="320"/>
      <x:c r="B29" s="54" t="s">
        <x:v>38</x:v>
      </x:c>
      <x:c r="C29" s="277">
        <x:f>3300000/31</x:f>
        <x:v>106451.6129032258</x:v>
      </x:c>
      <x:c r="D29" s="277"/>
      <x:c r="E29" s="54" t="s">
        <x:v>147</x:v>
      </x:c>
      <x:c r="F29" s="263">
        <x:f>13000*10.5</x:f>
        <x:v>136500</x:v>
      </x:c>
      <x:c r="G29" s="263"/>
      <x:c r="H29" s="111" t="s">
        <x:v>156</x:v>
      </x:c>
      <x:c r="I29" s="112">
        <x:f>SUM('1:4'!$I$27)</x:f>
        <x:v>2191967.7419354836</x:v>
      </x:c>
      <x:c r="M29" s="66"/>
    </x:row>
    <x:row r="30" spans="1:13" ht="30.949999999999999" customHeight="1">
      <x:c r="A30" s="320"/>
      <x:c r="B30" s="55" t="s">
        <x:v>28</x:v>
      </x:c>
      <x:c r="C30" s="277">
        <x:f>1500000/31</x:f>
        <x:v>48387.096774193546</x:v>
      </x:c>
      <x:c r="D30" s="277"/>
      <x:c r="E30" s="55"/>
      <x:c r="F30" s="311"/>
      <x:c r="G30" s="312"/>
      <x:c r="H30" s="111" t="s">
        <x:v>67</x:v>
      </x:c>
      <x:c r="I30" s="113">
        <x:f>I29/$I$27</x:f>
        <x:v>3.4918293936279547</x:v>
      </x:c>
      <x:c r="M30" s="66"/>
    </x:row>
    <x:row r="31" spans="1:7" customHeight="1">
      <x:c r="A31" s="320"/>
      <x:c r="B31" s="147"/>
      <x:c r="C31" s="309"/>
      <x:c r="D31" s="310"/>
      <x:c r="E31" s="55" t="s">
        <x:v>10</x:v>
      </x:c>
      <x:c r="F31" s="311"/>
      <x:c r="G31" s="312"/>
    </x:row>
    <x:row r="32" spans="1:7" customHeight="1">
      <x:c r="A32" s="320"/>
      <x:c r="B32" s="147"/>
      <x:c r="C32" s="309"/>
      <x:c r="D32" s="310"/>
      <x:c r="E32" s="55" t="s">
        <x:v>79</x:v>
      </x:c>
      <x:c r="F32" s="311"/>
      <x:c r="G32" s="312"/>
    </x:row>
    <x:row r="33" spans="1:4" customHeight="1">
      <x:c r="A33" s="320"/>
      <x:c r="B33" s="54"/>
      <x:c r="C33" s="309"/>
      <x:c r="D33" s="310"/>
    </x:row>
    <x:row r="34" spans="1:4" customHeight="1">
      <x:c r="A34" s="321"/>
      <x:c r="B34" s="54"/>
      <x:c r="C34" s="311"/>
      <x:c r="D34" s="312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D14:E15"/>
    <x:mergeCell ref="B18:B19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O34"/>
  <x:sheetViews>
    <x:sheetView tabSelected="1" topLeftCell="A1" zoomScale="85" zoomScaleNormal="85" zoomScaleSheetLayoutView="75" workbookViewId="0">
      <x:selection activeCell="I6" activeCellId="0" sqref="I6:I6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122</x:v>
      </x:c>
      <x:c r="D1" s="68"/>
      <x:c r="E1" s="68">
        <x:v>1</x:v>
      </x:c>
      <x:c r="F1" s="68">
        <x:v>5</x:v>
      </x:c>
      <x:c r="G1" s="68" t="s">
        <x:v>26</x:v>
      </x:c>
      <x:c r="H1" s="52" t="s">
        <x:v>96</x:v>
      </x:c>
      <x:c r="I1" s="52">
        <x:f>F1-K1</x:f>
        <x:v>5</x:v>
      </x:c>
      <x:c r="J1" s="52" t="s">
        <x:v>89</x:v>
      </x:c>
      <x:c r="K1" s="52"/>
    </x:row>
    <x:row r="2" spans="1:11" ht="20.100000000000001" customHeight="1">
      <x:c r="A2" s="331" t="s">
        <x:v>50</x:v>
      </x:c>
      <x:c r="B2" s="332"/>
      <x:c r="C2" s="335">
        <x:f>SUM(C4:D7)</x:f>
        <x:v>3291100</x:v>
      </x:c>
      <x:c r="D2" s="336"/>
      <x:c r="E2" s="279" t="s">
        <x:v>20</x:v>
      </x:c>
      <x:c r="F2" s="280"/>
      <x:c r="G2" s="268">
        <x:v>70900</x:v>
      </x:c>
      <x:c r="H2" s="339" t="s">
        <x:v>54</x:v>
      </x:c>
      <x:c r="I2" s="340"/>
      <x:c r="J2" s="264" t="s">
        <x:v>143</x:v>
      </x:c>
      <x:c r="K2" s="328"/>
    </x:row>
    <x:row r="3" spans="1:11" ht="20.100000000000001" customHeight="1">
      <x:c r="A3" s="333"/>
      <x:c r="B3" s="334"/>
      <x:c r="C3" s="337"/>
      <x:c r="D3" s="338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1" ht="30.949999999999999" customHeight="1">
      <x:c r="A4" s="342" t="s">
        <x:v>41</x:v>
      </x:c>
      <x:c r="B4" s="343"/>
      <x:c r="C4" s="311">
        <x:v>2563700</x:v>
      </x:c>
      <x:c r="D4" s="312"/>
      <x:c r="E4" s="344" t="s">
        <x:v>160</x:v>
      </x:c>
      <x:c r="F4" s="345"/>
      <x:c r="G4" s="133">
        <x:f>INT(C4*0.0275)</x:f>
        <x:v>70501</x:v>
      </x:c>
      <x:c r="H4" s="54" t="s">
        <x:v>19</x:v>
      </x:c>
      <x:c r="I4" s="124">
        <x:v>1182092</x:v>
      </x:c>
      <x:c r="J4" s="80" t="s">
        <x:v>24</x:v>
      </x:c>
      <x:c r="K4" s="58"/>
    </x:row>
    <x:row r="5" spans="1:11" ht="30.949999999999999" customHeight="1">
      <x:c r="A5" s="342" t="s">
        <x:v>52</x:v>
      </x:c>
      <x:c r="B5" s="343"/>
      <x:c r="C5" s="311">
        <x:v>727400</x:v>
      </x:c>
      <x:c r="D5" s="312"/>
      <x:c r="E5" s="293" t="s">
        <x:v>136</x:v>
      </x:c>
      <x:c r="F5" s="294"/>
      <x:c r="G5" s="133">
        <x:f>INT(C5*0.01)</x:f>
        <x:v>7274</x:v>
      </x:c>
      <x:c r="H5" s="54" t="s">
        <x:v>54</x:v>
      </x:c>
      <x:c r="I5" s="124"/>
      <x:c r="J5" s="81"/>
      <x:c r="K5" s="58"/>
    </x:row>
    <x:row r="6" spans="1:11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676000</x:v>
      </x:c>
      <x:c r="H6" s="54"/>
      <x:c r="I6" s="124"/>
      <x:c r="J6" s="81" t="s">
        <x:v>99</x:v>
      </x:c>
      <x:c r="K6" s="58"/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4">
        <x:v>114800</x:v>
      </x:c>
      <x:c r="J7" s="81" t="s">
        <x:v>106</x:v>
      </x:c>
      <x:c r="K7" s="58"/>
    </x:row>
    <x:row r="8" spans="1:11" ht="21.949999999999999" customHeight="1">
      <x:c r="A8" s="349" t="s">
        <x:v>98</x:v>
      </x:c>
      <x:c r="B8" s="290"/>
      <x:c r="C8" s="302">
        <x:v>122300</x:v>
      </x:c>
      <x:c r="D8" s="303"/>
      <x:c r="E8" s="289" t="s">
        <x:v>114</x:v>
      </x:c>
      <x:c r="F8" s="290"/>
      <x:c r="G8" s="295">
        <x:f>C5+G2-G6</x:f>
        <x:v>122300</x:v>
      </x:c>
      <x:c r="H8" s="54" t="s">
        <x:v>14</x:v>
      </x:c>
      <x:c r="I8" s="124">
        <x:v>65000</x:v>
      </x:c>
      <x:c r="J8" s="81"/>
      <x:c r="K8" s="58"/>
    </x:row>
    <x:row r="9" spans="1:11" ht="21.949999999999999" customHeight="1">
      <x:c r="A9" s="350"/>
      <x:c r="B9" s="282"/>
      <x:c r="C9" s="304"/>
      <x:c r="D9" s="305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30.949999999999999" customHeight="1">
      <x:c r="A10" s="341" t="s">
        <x:v>120</x:v>
      </x:c>
      <x:c r="B10" s="294"/>
      <x:c r="C10" s="311">
        <x:f>23000+76000</x:f>
        <x:v>99000</x:v>
      </x:c>
      <x:c r="D10" s="312"/>
      <x:c r="E10" s="293" t="s">
        <x:v>101</x:v>
      </x:c>
      <x:c r="F10" s="294"/>
      <x:c r="G10" s="55"/>
      <x:c r="H10" s="54"/>
      <x:c r="I10" s="124"/>
      <x:c r="J10" s="54" t="s">
        <x:v>23</x:v>
      </x:c>
      <x:c r="K10" s="58">
        <x:v>14300</x:v>
      </x:c>
    </x:row>
    <x:row r="11" spans="1:11" ht="33" customHeight="1">
      <x:c r="A11" s="341" t="s">
        <x:v>115</x:v>
      </x:c>
      <x:c r="B11" s="294"/>
      <x:c r="C11" s="346" t="s">
        <x:v>140</x:v>
      </x:c>
      <x:c r="D11" s="347"/>
      <x:c r="E11" s="347"/>
      <x:c r="F11" s="347"/>
      <x:c r="G11" s="348"/>
      <x:c r="H11" s="54" t="s">
        <x:v>151</x:v>
      </x:c>
      <x:c r="I11" s="58">
        <x:v>100000</x:v>
      </x:c>
      <x:c r="J11" s="54" t="s">
        <x:v>125</x:v>
      </x:c>
      <x:c r="K11" s="135"/>
    </x:row>
    <x:row r="12" spans="1:13" ht="21.949999999999999" customHeight="1">
      <x:c r="A12" s="59" t="s">
        <x:v>21</x:v>
      </x:c>
      <x:c r="B12" s="299" t="s">
        <x:v>8</x:v>
      </x:c>
      <x:c r="C12" s="79">
        <x:v>11</x:v>
      </x:c>
      <x:c r="D12" s="289" t="s">
        <x:v>83</x:v>
      </x:c>
      <x:c r="E12" s="290"/>
      <x:c r="F12" s="293">
        <x:v>13</x:v>
      </x:c>
      <x:c r="G12" s="294"/>
      <x:c r="H12" s="54" t="s">
        <x:v>58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56</x:v>
      </x:c>
      <x:c r="B13" s="300"/>
      <x:c r="C13" s="134">
        <x:f>SUM('1:5'!$C$12)</x:f>
        <x:v>119</x:v>
      </x:c>
      <x:c r="D13" s="281"/>
      <x:c r="E13" s="282"/>
      <x:c r="F13" s="291">
        <x:f>SUM('1:5'!$F$12)</x:f>
        <x:v>122</x:v>
      </x:c>
      <x:c r="G13" s="292"/>
      <x:c r="H13" s="54" t="s">
        <x:v>92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21</x:v>
      </x:c>
      <x:c r="B14" s="299" t="s">
        <x:v>84</x:v>
      </x:c>
      <x:c r="C14" s="79">
        <x:v>26</x:v>
      </x:c>
      <x:c r="D14" s="289" t="s">
        <x:v>73</x:v>
      </x:c>
      <x:c r="E14" s="290"/>
      <x:c r="F14" s="293">
        <x:v>5</x:v>
      </x:c>
      <x:c r="G14" s="294"/>
      <x:c r="H14" s="54" t="s">
        <x:v>61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56</x:v>
      </x:c>
      <x:c r="B15" s="300"/>
      <x:c r="C15" s="134">
        <x:f>SUM('1:5'!$C$14)</x:f>
        <x:v>143</x:v>
      </x:c>
      <x:c r="D15" s="281"/>
      <x:c r="E15" s="282"/>
      <x:c r="F15" s="291">
        <x:f>SUM('1:5'!$F$14)</x:f>
        <x:v>71</x:v>
      </x:c>
      <x:c r="G15" s="292"/>
      <x:c r="H15" s="54" t="s">
        <x:v>64</x:v>
      </x:c>
      <x:c r="I15" s="58">
        <x:v>190400</x:v>
      </x:c>
      <x:c r="J15" s="54" t="s">
        <x:v>143</x:v>
      </x:c>
      <x:c r="K15" s="58">
        <x:v>15000</x:v>
      </x:c>
      <x:c r="L15" s="60"/>
      <x:c r="M15" s="11"/>
    </x:row>
    <x:row r="16" spans="1:13" ht="21.949999999999999" customHeight="1">
      <x:c r="A16" s="59" t="s">
        <x:v>21</x:v>
      </x:c>
      <x:c r="B16" s="299" t="s">
        <x:v>51</x:v>
      </x:c>
      <x:c r="C16" s="79">
        <x:v>2</x:v>
      </x:c>
      <x:c r="D16" s="289" t="s">
        <x:v>81</x:v>
      </x:c>
      <x:c r="E16" s="290"/>
      <x:c r="F16" s="329">
        <x:v>10</x:v>
      </x:c>
      <x:c r="G16" s="330"/>
      <x:c r="H16" s="54"/>
      <x:c r="I16" s="58"/>
      <x:c r="J16" s="54" t="s">
        <x:v>105</x:v>
      </x:c>
      <x:c r="K16" s="58">
        <x:v>5600</x:v>
      </x:c>
      <x:c r="L16" s="60"/>
      <x:c r="M16" s="11"/>
    </x:row>
    <x:row r="17" spans="1:13" ht="21.949999999999999" customHeight="1">
      <x:c r="A17" s="59" t="s">
        <x:v>56</x:v>
      </x:c>
      <x:c r="B17" s="300"/>
      <x:c r="C17" s="134">
        <x:f>SUM('1:5'!$C$16)</x:f>
        <x:v>31</x:v>
      </x:c>
      <x:c r="D17" s="281"/>
      <x:c r="E17" s="282"/>
      <x:c r="F17" s="291">
        <x:f>SUM('1:5'!$F$16)</x:f>
        <x:v>57</x:v>
      </x:c>
      <x:c r="G17" s="292"/>
      <x:c r="H17" s="54" t="s">
        <x:v>18</x:v>
      </x:c>
      <x:c r="I17" s="58"/>
      <x:c r="J17" s="54" t="s">
        <x:v>97</x:v>
      </x:c>
      <x:c r="K17" s="58"/>
      <x:c r="L17" s="60"/>
      <x:c r="M17" s="11"/>
    </x:row>
    <x:row r="18" spans="1:13" ht="21.949999999999999" customHeight="1">
      <x:c r="A18" s="59" t="s">
        <x:v>21</x:v>
      </x:c>
      <x:c r="B18" s="299" t="s">
        <x:v>107</x:v>
      </x:c>
      <x:c r="C18" s="79">
        <x:v>15</x:v>
      </x:c>
      <x:c r="D18" s="289" t="s">
        <x:v>29</x:v>
      </x:c>
      <x:c r="E18" s="290"/>
      <x:c r="F18" s="329">
        <x:v>2</x:v>
      </x:c>
      <x:c r="G18" s="33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56</x:v>
      </x:c>
      <x:c r="B19" s="300"/>
      <x:c r="C19" s="134">
        <x:f>SUM('1:5'!$C$18)</x:f>
        <x:v>195</x:v>
      </x:c>
      <x:c r="D19" s="281"/>
      <x:c r="E19" s="282"/>
      <x:c r="F19" s="291">
        <x:f>SUM('1:5'!$F$18)</x:f>
        <x:v>18</x:v>
      </x:c>
      <x:c r="G19" s="292"/>
      <x:c r="H19" s="58"/>
      <x:c r="I19" s="58"/>
      <x:c r="J19" s="54"/>
      <x:c r="K19" s="58"/>
      <x:c r="L19" s="60"/>
      <x:c r="M19" s="11"/>
    </x:row>
    <x:row r="20" spans="1:13" ht="21.949999999999999" customHeight="1">
      <x:c r="A20" s="132"/>
      <x:c r="C20" s="132"/>
      <x:c r="D20" s="293" t="s">
        <x:v>108</x:v>
      </x:c>
      <x:c r="E20" s="294"/>
      <x:c r="F20" s="329">
        <x:v>53</x:v>
      </x:c>
      <x:c r="G20" s="330"/>
      <x:c r="H20" s="58"/>
      <x:c r="J20" s="54"/>
      <x:c r="K20" s="58"/>
      <x:c r="L20" s="60"/>
      <x:c r="M20" s="11"/>
    </x:row>
    <x:row r="21" spans="1:13" ht="21.949999999999999" customHeight="1">
      <x:c r="A21" s="132"/>
      <x:c r="C21" s="132"/>
      <x:c r="D21" s="293" t="s">
        <x:v>128</x:v>
      </x:c>
      <x:c r="E21" s="294"/>
      <x:c r="F21" s="291">
        <x:f>SUM('1:5'!$F$20)</x:f>
        <x:v>290</x:v>
      </x:c>
      <x:c r="G21" s="292"/>
      <x:c r="H21" s="58"/>
      <x:c r="J21" s="54"/>
      <x:c r="K21" s="58"/>
      <x:c r="L21" s="60"/>
      <x:c r="M21" s="11"/>
    </x:row>
    <x:row r="22" spans="1:13" ht="32.100000000000001" customHeight="1">
      <x:c r="A22" s="341" t="s">
        <x:v>121</x:v>
      </x:c>
      <x:c r="B22" s="294"/>
      <x:c r="C22" s="351"/>
      <x:c r="D22" s="352"/>
      <x:c r="E22" s="352"/>
      <x:c r="F22" s="352"/>
      <x:c r="G22" s="353"/>
      <x:c r="H22" s="54"/>
      <x:c r="J22" s="54"/>
      <x:c r="K22" s="58"/>
      <x:c r="L22" s="60"/>
      <x:c r="M22" s="11"/>
    </x:row>
    <x:row r="23" spans="1:15" ht="34.149999999999999" customHeight="1">
      <x:c r="A23" s="341" t="s">
        <x:v>59</x:v>
      </x:c>
      <x:c r="B23" s="294"/>
      <x:c r="C23" s="325"/>
      <x:c r="D23" s="326"/>
      <x:c r="E23" s="326"/>
      <x:c r="F23" s="326"/>
      <x:c r="G23" s="327"/>
      <x:c r="H23" s="107" t="s">
        <x:v>95</x:v>
      </x:c>
      <x:c r="I23" s="108">
        <x:f>SUM(I4:I22)</x:f>
        <x:v>1652292</x:v>
      </x:c>
      <x:c r="J23" s="61" t="s">
        <x:v>70</x:v>
      </x:c>
      <x:c r="K23" s="62">
        <x:f>SUM(K4:K22)</x:f>
        <x:v>34900</x:v>
      </x:c>
      <x:c r="M23" s="88" t="s">
        <x:v>102</x:v>
      </x:c>
      <x:c r="N23" s="284">
        <x:f>C5+C6</x:f>
        <x:v>727400</x:v>
      </x:c>
      <x:c r="O23" s="285"/>
    </x:row>
    <x:row r="24" spans="1:11" ht="34.149999999999999" customHeight="1">
      <x:c r="A24" s="341" t="s">
        <x:v>152</x:v>
      </x:c>
      <x:c r="B24" s="294"/>
      <x:c r="C24" s="293" t="s">
        <x:v>86</x:v>
      </x:c>
      <x:c r="D24" s="294"/>
      <x:c r="E24" s="293" t="s">
        <x:v>62</x:v>
      </x:c>
      <x:c r="F24" s="324"/>
      <x:c r="G24" s="294"/>
      <x:c r="H24" s="107" t="s">
        <x:v>152</x:v>
      </x:c>
      <x:c r="I24" s="109">
        <x:f>I23/A25</x:f>
        <x:v>0.50204855519431191</x:v>
      </x:c>
      <x:c r="J24" s="61" t="s">
        <x:v>152</x:v>
      </x:c>
      <x:c r="K24" s="63">
        <x:f>K23/A25</x:f>
        <x:v>0.010604357205797454</x:v>
      </x:c>
    </x:row>
    <x:row r="25" spans="1:11" ht="34.149999999999999" customHeight="1">
      <x:c r="A25" s="355">
        <x:f>C2</x:f>
        <x:v>3291100</x:v>
      </x:c>
      <x:c r="B25" s="315"/>
      <x:c r="C25" s="314">
        <x:f>E25/I1</x:f>
        <x:v>4456100</x:v>
      </x:c>
      <x:c r="D25" s="315"/>
      <x:c r="E25" s="314">
        <x:f>SUM('1:5'!$A$25)</x:f>
        <x:v>22280500</x:v>
      </x:c>
      <x:c r="F25" s="323"/>
      <x:c r="G25" s="315"/>
      <x:c r="H25" s="107" t="s">
        <x:v>156</x:v>
      </x:c>
      <x:c r="I25" s="108">
        <x:f>SUM('1:5'!$I$23)</x:f>
        <x:v>7454494</x:v>
      </x:c>
      <x:c r="J25" s="61" t="s">
        <x:v>156</x:v>
      </x:c>
      <x:c r="K25" s="62">
        <x:f>SUM('1:5'!$K$23)</x:f>
        <x:v>294000</x:v>
      </x:c>
    </x:row>
    <x:row r="26" spans="1:11" ht="34.149999999999999" customHeight="1">
      <x:c r="A26" s="341" t="s">
        <x:v>68</x:v>
      </x:c>
      <x:c r="B26" s="294"/>
      <x:c r="C26" s="293"/>
      <x:c r="D26" s="294"/>
      <x:c r="E26" s="311"/>
      <x:c r="F26" s="354"/>
      <x:c r="G26" s="312"/>
      <x:c r="H26" s="107" t="s">
        <x:v>67</x:v>
      </x:c>
      <x:c r="I26" s="110">
        <x:f>I25/$E$25</x:f>
        <x:v>0.33457480756715513</x:v>
      </x:c>
      <x:c r="J26" s="64" t="s">
        <x:v>67</x:v>
      </x:c>
      <x:c r="K26" s="65">
        <x:f>K25/$E$25</x:f>
        <x:v>0.01319539507641211</x:v>
      </x:c>
    </x:row>
    <x:row r="27" spans="1:13" ht="30.949999999999999" customHeight="1">
      <x:c r="A27" s="306" t="s">
        <x:v>113</x:v>
      </x:c>
      <x:c r="B27" s="54" t="s">
        <x:v>17</x:v>
      </x:c>
      <x:c r="C27" s="314">
        <x:f>3300000/31</x:f>
        <x:v>106451.6129032258</x:v>
      </x:c>
      <x:c r="D27" s="315"/>
      <x:c r="E27" s="55" t="s">
        <x:v>12</x:v>
      </x:c>
      <x:c r="F27" s="311">
        <x:f>13000*5</x:f>
        <x:v>65000</x:v>
      </x:c>
      <x:c r="G27" s="312"/>
      <x:c r="H27" s="111" t="s">
        <x:v>69</x:v>
      </x:c>
      <x:c r="I27" s="112">
        <x:f>SUM(C27:D34,F27:G32)</x:f>
        <x:v>627241.93548387091</x:v>
      </x:c>
      <x:c r="M27" s="66"/>
    </x:row>
    <x:row r="28" spans="1:13" ht="30.949999999999999" customHeight="1">
      <x:c r="A28" s="307"/>
      <x:c r="B28" s="54" t="s">
        <x:v>161</x:v>
      </x:c>
      <x:c r="C28" s="314">
        <x:f>3300000/31</x:f>
        <x:v>106451.6129032258</x:v>
      </x:c>
      <x:c r="D28" s="315"/>
      <x:c r="E28" s="148" t="s">
        <x:v>37</x:v>
      </x:c>
      <x:c r="F28" s="309">
        <x:f>13000*9.5</x:f>
        <x:v>123500</x:v>
      </x:c>
      <x:c r="G28" s="310"/>
      <x:c r="H28" s="111" t="s">
        <x:v>152</x:v>
      </x:c>
      <x:c r="I28" s="113">
        <x:f>I27/$A$25</x:f>
        <x:v>0.19058732201509249</x:v>
      </x:c>
      <x:c r="M28" s="66"/>
    </x:row>
    <x:row r="29" spans="1:13" ht="30.949999999999999" customHeight="1">
      <x:c r="A29" s="307"/>
      <x:c r="B29" s="54" t="s">
        <x:v>38</x:v>
      </x:c>
      <x:c r="C29" s="314">
        <x:f>3300000/31</x:f>
        <x:v>106451.6129032258</x:v>
      </x:c>
      <x:c r="D29" s="315"/>
      <x:c r="E29" s="54" t="s">
        <x:v>147</x:v>
      </x:c>
      <x:c r="F29" s="311"/>
      <x:c r="G29" s="312"/>
      <x:c r="H29" s="111" t="s">
        <x:v>156</x:v>
      </x:c>
      <x:c r="I29" s="112">
        <x:f>SUM('1:5'!$I$27)</x:f>
        <x:v>2819209.6774193547</x:v>
      </x:c>
      <x:c r="M29" s="66"/>
    </x:row>
    <x:row r="30" spans="1:13" ht="30.949999999999999" customHeight="1">
      <x:c r="A30" s="307"/>
      <x:c r="B30" s="55" t="s">
        <x:v>28</x:v>
      </x:c>
      <x:c r="C30" s="314">
        <x:f>1500000/31</x:f>
        <x:v>48387.096774193546</x:v>
      </x:c>
      <x:c r="D30" s="315"/>
      <x:c r="E30" s="55"/>
      <x:c r="F30" s="311"/>
      <x:c r="G30" s="312"/>
      <x:c r="H30" s="111" t="s">
        <x:v>67</x:v>
      </x:c>
      <x:c r="I30" s="113">
        <x:f>I29/$I$27</x:f>
        <x:v>4.4946128725346499</x:v>
      </x:c>
      <x:c r="M30" s="66"/>
    </x:row>
    <x:row r="31" spans="1:7" customHeight="1">
      <x:c r="A31" s="307"/>
      <x:c r="B31" s="147"/>
      <x:c r="C31" s="309"/>
      <x:c r="D31" s="310"/>
      <x:c r="E31" s="55" t="s">
        <x:v>10</x:v>
      </x:c>
      <x:c r="F31" s="311">
        <x:v>71000</x:v>
      </x:c>
      <x:c r="G31" s="312"/>
    </x:row>
    <x:row r="32" spans="1:7" customHeight="1">
      <x:c r="A32" s="307"/>
      <x:c r="B32" s="147"/>
      <x:c r="C32" s="309"/>
      <x:c r="D32" s="310"/>
      <x:c r="E32" s="55" t="s">
        <x:v>79</x:v>
      </x:c>
      <x:c r="F32" s="311"/>
      <x:c r="G32" s="312"/>
    </x:row>
    <x:row r="33" spans="1:4" customHeight="1">
      <x:c r="A33" s="307"/>
      <x:c r="B33" s="54"/>
      <x:c r="C33" s="309"/>
      <x:c r="D33" s="310"/>
    </x:row>
    <x:row r="34" spans="1:4" customHeight="1">
      <x:c r="A34" s="308"/>
      <x:c r="B34" s="54"/>
      <x:c r="C34" s="311"/>
      <x:c r="D34" s="312"/>
    </x:row>
  </x:sheetData>
  <x:mergeCells count="74">
    <x:mergeCell ref="F32:G32"/>
    <x:mergeCell ref="C8:D9"/>
    <x:mergeCell ref="E8:F9"/>
    <x:mergeCell ref="G8:G9"/>
    <x:mergeCell ref="E25:G25"/>
    <x:mergeCell ref="D12:E13"/>
    <x:mergeCell ref="C24:D24"/>
    <x:mergeCell ref="E24:G24"/>
    <x:mergeCell ref="C23:G23"/>
    <x:mergeCell ref="F30:G30"/>
    <x:mergeCell ref="F31:G31"/>
    <x:mergeCell ref="F29:G29"/>
    <x:mergeCell ref="F27:G27"/>
    <x:mergeCell ref="F28:G28"/>
    <x:mergeCell ref="J2:K2"/>
    <x:mergeCell ref="F17:G17"/>
    <x:mergeCell ref="F12:G12"/>
    <x:mergeCell ref="F13:G13"/>
    <x:mergeCell ref="F14:G14"/>
    <x:mergeCell ref="F15:G15"/>
    <x:mergeCell ref="F16:G16"/>
    <x:mergeCell ref="A2:B3"/>
    <x:mergeCell ref="C2:D3"/>
    <x:mergeCell ref="E2:F3"/>
    <x:mergeCell ref="G2:G3"/>
    <x:mergeCell ref="H2:I2"/>
    <x:mergeCell ref="A10:B10"/>
    <x:mergeCell ref="C10:D10"/>
    <x:mergeCell ref="E10:F10"/>
    <x:mergeCell ref="A11:B11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A22:B22"/>
    <x:mergeCell ref="C22:G22"/>
    <x:mergeCell ref="B14:B15"/>
    <x:mergeCell ref="B16:B17"/>
    <x:mergeCell ref="D20:E20"/>
    <x:mergeCell ref="F20:G20"/>
    <x:mergeCell ref="D21:E21"/>
    <x:mergeCell ref="F21:G21"/>
    <x:mergeCell ref="D16:E17"/>
    <x:mergeCell ref="F18:G18"/>
    <x:mergeCell ref="F19:G19"/>
    <x:mergeCell ref="D18:E19"/>
    <x:mergeCell ref="N23:O23"/>
    <x:mergeCell ref="A26:B26"/>
    <x:mergeCell ref="C26:D26"/>
    <x:mergeCell ref="E26:G26"/>
    <x:mergeCell ref="A25:B25"/>
    <x:mergeCell ref="C25:D25"/>
    <x:mergeCell ref="A24:B24"/>
    <x:mergeCell ref="A27:A34"/>
    <x:mergeCell ref="C32:D32"/>
    <x:mergeCell ref="C33:D33"/>
    <x:mergeCell ref="C34:D34"/>
    <x:mergeCell ref="A23:B23"/>
    <x:mergeCell ref="C31:D31"/>
    <x:mergeCell ref="C30:D30"/>
    <x:mergeCell ref="C27:D27"/>
    <x:mergeCell ref="C28:D28"/>
    <x:mergeCell ref="C29:D29"/>
    <x:mergeCell ref="D14:E15"/>
    <x:mergeCell ref="B18:B19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O34"/>
  <x:sheetViews>
    <x:sheetView tabSelected="1" topLeftCell="A1" zoomScale="85" zoomScaleNormal="85" zoomScaleSheetLayoutView="75" workbookViewId="0">
      <x:selection activeCell="I7" activeCellId="0" sqref="I7:I7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122</x:v>
      </x:c>
      <x:c r="D1" s="68"/>
      <x:c r="E1" s="68">
        <x:v>1</x:v>
      </x:c>
      <x:c r="F1" s="68">
        <x:v>6</x:v>
      </x:c>
      <x:c r="G1" s="68" t="s">
        <x:v>25</x:v>
      </x:c>
      <x:c r="H1" s="52" t="s">
        <x:v>96</x:v>
      </x:c>
      <x:c r="I1" s="52">
        <x:f>F1-K1</x:f>
        <x:v>6</x:v>
      </x:c>
      <x:c r="J1" s="52" t="s">
        <x:v>89</x:v>
      </x:c>
      <x:c r="K1" s="52"/>
    </x:row>
    <x:row r="2" spans="1:11" ht="20.100000000000001" customHeight="1">
      <x:c r="A2" s="272" t="s">
        <x:v>50</x:v>
      </x:c>
      <x:c r="B2" s="273"/>
      <x:c r="C2" s="276">
        <x:f>SUM(C4:D7)</x:f>
        <x:v>3194800</x:v>
      </x:c>
      <x:c r="D2" s="276"/>
      <x:c r="E2" s="279" t="s">
        <x:v>20</x:v>
      </x:c>
      <x:c r="F2" s="280"/>
      <x:c r="G2" s="268">
        <x:v>122300</x:v>
      </x:c>
      <x:c r="H2" s="266" t="s">
        <x:v>54</x:v>
      </x:c>
      <x:c r="I2" s="267"/>
      <x:c r="J2" s="264" t="s">
        <x:v>143</x:v>
      </x:c>
      <x:c r="K2" s="265"/>
    </x:row>
    <x:row r="3" spans="1:11" ht="20.100000000000001" customHeight="1">
      <x:c r="A3" s="274"/>
      <x:c r="B3" s="275"/>
      <x:c r="C3" s="277"/>
      <x:c r="D3" s="277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1" ht="30.949999999999999" customHeight="1">
      <x:c r="A4" s="270" t="s">
        <x:v>41</x:v>
      </x:c>
      <x:c r="B4" s="271"/>
      <x:c r="C4" s="263">
        <x:v>2617700</x:v>
      </x:c>
      <x:c r="D4" s="263"/>
      <x:c r="E4" s="278" t="s">
        <x:v>160</x:v>
      </x:c>
      <x:c r="F4" s="278"/>
      <x:c r="G4" s="133">
        <x:f>INT(C4*0.0275)</x:f>
        <x:v>71986</x:v>
      </x:c>
      <x:c r="H4" s="54" t="s">
        <x:v>19</x:v>
      </x:c>
      <x:c r="I4" s="124">
        <x:f>452000+343992</x:f>
        <x:v>795992</x:v>
      </x:c>
      <x:c r="J4" s="80" t="s">
        <x:v>24</x:v>
      </x:c>
      <x:c r="K4" s="58">
        <x:v>286000</x:v>
      </x:c>
    </x:row>
    <x:row r="5" spans="1:11" ht="30.949999999999999" customHeight="1">
      <x:c r="A5" s="270" t="s">
        <x:v>52</x:v>
      </x:c>
      <x:c r="B5" s="271"/>
      <x:c r="C5" s="263">
        <x:v>577100</x:v>
      </x:c>
      <x:c r="D5" s="263"/>
      <x:c r="E5" s="262" t="s">
        <x:v>136</x:v>
      </x:c>
      <x:c r="F5" s="262"/>
      <x:c r="G5" s="133">
        <x:f>INT(C5*0.01)</x:f>
        <x:v>5771</x:v>
      </x:c>
      <x:c r="H5" s="54" t="s">
        <x:v>54</x:v>
      </x:c>
      <x:c r="I5" s="124">
        <x:f>10000+59312+41840+18350</x:f>
        <x:v>129502</x:v>
      </x:c>
      <x:c r="J5" s="81"/>
      <x:c r="K5" s="58"/>
    </x:row>
    <x:row r="6" spans="1:11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620000</x:v>
      </x:c>
      <x:c r="H6" s="54"/>
      <x:c r="I6" s="124"/>
      <x:c r="J6" s="81" t="s">
        <x:v>99</x:v>
      </x:c>
      <x:c r="K6" s="58"/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4"/>
      <x:c r="J7" s="81" t="s">
        <x:v>106</x:v>
      </x:c>
      <x:c r="K7" s="58"/>
    </x:row>
    <x:row r="8" spans="1:11" ht="21.949999999999999" customHeight="1">
      <x:c r="A8" s="261" t="s">
        <x:v>98</x:v>
      </x:c>
      <x:c r="B8" s="262"/>
      <x:c r="C8" s="263">
        <x:v>79400</x:v>
      </x:c>
      <x:c r="D8" s="263"/>
      <x:c r="E8" s="289" t="s">
        <x:v>114</x:v>
      </x:c>
      <x:c r="F8" s="290"/>
      <x:c r="G8" s="295">
        <x:f>C5+G2-G6-C22</x:f>
        <x:v>79400</x:v>
      </x:c>
      <x:c r="H8" s="54" t="s">
        <x:v>14</x:v>
      </x:c>
      <x:c r="I8" s="124"/>
      <x:c r="J8" s="81"/>
      <x:c r="K8" s="58"/>
    </x:row>
    <x:row r="9" spans="1:11" ht="21.949999999999999" customHeight="1">
      <x:c r="A9" s="261"/>
      <x:c r="B9" s="262"/>
      <x:c r="C9" s="263"/>
      <x:c r="D9" s="263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30.949999999999999" customHeight="1">
      <x:c r="A10" s="261" t="s">
        <x:v>120</x:v>
      </x:c>
      <x:c r="B10" s="262"/>
      <x:c r="C10" s="263"/>
      <x:c r="D10" s="263"/>
      <x:c r="E10" s="262" t="s">
        <x:v>101</x:v>
      </x:c>
      <x:c r="F10" s="262"/>
      <x:c r="G10" s="55"/>
      <x:c r="H10" s="54"/>
      <x:c r="I10" s="124"/>
      <x:c r="J10" s="54" t="s">
        <x:v>23</x:v>
      </x:c>
      <x:c r="K10" s="58"/>
    </x:row>
    <x:row r="11" spans="1:11" ht="33" customHeight="1">
      <x:c r="A11" s="261" t="s">
        <x:v>115</x:v>
      </x:c>
      <x:c r="B11" s="262"/>
      <x:c r="C11" s="301"/>
      <x:c r="D11" s="301"/>
      <x:c r="E11" s="301"/>
      <x:c r="F11" s="301"/>
      <x:c r="G11" s="301"/>
      <x:c r="H11" s="54" t="s">
        <x:v>151</x:v>
      </x:c>
      <x:c r="I11" s="58"/>
      <x:c r="J11" s="54" t="s">
        <x:v>125</x:v>
      </x:c>
      <x:c r="K11" s="135"/>
    </x:row>
    <x:row r="12" spans="1:13" ht="21.949999999999999" customHeight="1">
      <x:c r="A12" s="59" t="s">
        <x:v>21</x:v>
      </x:c>
      <x:c r="B12" s="299" t="s">
        <x:v>8</x:v>
      </x:c>
      <x:c r="C12" s="79">
        <x:v>12</x:v>
      </x:c>
      <x:c r="D12" s="289" t="s">
        <x:v>83</x:v>
      </x:c>
      <x:c r="E12" s="290"/>
      <x:c r="F12" s="293">
        <x:v>20</x:v>
      </x:c>
      <x:c r="G12" s="294"/>
      <x:c r="H12" s="54" t="s">
        <x:v>58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56</x:v>
      </x:c>
      <x:c r="B13" s="300"/>
      <x:c r="C13" s="134">
        <x:f>SUM('1:6'!$C$12)</x:f>
        <x:v>131</x:v>
      </x:c>
      <x:c r="D13" s="281"/>
      <x:c r="E13" s="282"/>
      <x:c r="F13" s="291">
        <x:f>SUM('1:6'!$F$12)</x:f>
        <x:v>142</x:v>
      </x:c>
      <x:c r="G13" s="292"/>
      <x:c r="H13" s="54" t="s">
        <x:v>92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21</x:v>
      </x:c>
      <x:c r="B14" s="299" t="s">
        <x:v>84</x:v>
      </x:c>
      <x:c r="C14" s="79">
        <x:v>19</x:v>
      </x:c>
      <x:c r="D14" s="289" t="s">
        <x:v>73</x:v>
      </x:c>
      <x:c r="E14" s="290"/>
      <x:c r="F14" s="293">
        <x:v>7</x:v>
      </x:c>
      <x:c r="G14" s="294"/>
      <x:c r="H14" s="54" t="s">
        <x:v>61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56</x:v>
      </x:c>
      <x:c r="B15" s="300"/>
      <x:c r="C15" s="134">
        <x:f>SUM('1:6'!$C$14)</x:f>
        <x:v>162</x:v>
      </x:c>
      <x:c r="D15" s="281"/>
      <x:c r="E15" s="282"/>
      <x:c r="F15" s="291">
        <x:f>SUM('1:6'!$F$14)</x:f>
        <x:v>78</x:v>
      </x:c>
      <x:c r="G15" s="292"/>
      <x:c r="H15" s="54" t="s">
        <x:v>64</x:v>
      </x:c>
      <x:c r="I15" s="58">
        <x:f>5900+3900+20400</x:f>
        <x:v>30200</x:v>
      </x:c>
      <x:c r="J15" s="54" t="s">
        <x:v>143</x:v>
      </x:c>
      <x:c r="K15" s="58"/>
      <x:c r="L15" s="60"/>
      <x:c r="M15" s="11"/>
    </x:row>
    <x:row r="16" spans="1:13" ht="21.949999999999999" customHeight="1">
      <x:c r="A16" s="59" t="s">
        <x:v>21</x:v>
      </x:c>
      <x:c r="B16" s="299" t="s">
        <x:v>51</x:v>
      </x:c>
      <x:c r="C16" s="79">
        <x:v>7</x:v>
      </x:c>
      <x:c r="D16" s="289" t="s">
        <x:v>81</x:v>
      </x:c>
      <x:c r="E16" s="290"/>
      <x:c r="F16" s="287">
        <x:v>4</x:v>
      </x:c>
      <x:c r="G16" s="287"/>
      <x:c r="H16" s="54"/>
      <x:c r="I16" s="58"/>
      <x:c r="J16" s="54" t="s">
        <x:v>105</x:v>
      </x:c>
      <x:c r="K16" s="58"/>
      <x:c r="L16" s="60"/>
      <x:c r="M16" s="11"/>
    </x:row>
    <x:row r="17" spans="1:13" ht="21.949999999999999" customHeight="1">
      <x:c r="A17" s="59" t="s">
        <x:v>56</x:v>
      </x:c>
      <x:c r="B17" s="300"/>
      <x:c r="C17" s="134">
        <x:f>SUM('1:6'!$C$16)</x:f>
        <x:v>38</x:v>
      </x:c>
      <x:c r="D17" s="281"/>
      <x:c r="E17" s="282"/>
      <x:c r="F17" s="288">
        <x:f>SUM('1:6'!$F$16)</x:f>
        <x:v>61</x:v>
      </x:c>
      <x:c r="G17" s="288"/>
      <x:c r="H17" s="54" t="s">
        <x:v>18</x:v>
      </x:c>
      <x:c r="I17" s="58"/>
      <x:c r="J17" s="54" t="s">
        <x:v>97</x:v>
      </x:c>
      <x:c r="K17" s="58"/>
      <x:c r="L17" s="60"/>
      <x:c r="M17" s="11"/>
    </x:row>
    <x:row r="18" spans="1:13" ht="21.949999999999999" customHeight="1">
      <x:c r="A18" s="59" t="s">
        <x:v>21</x:v>
      </x:c>
      <x:c r="B18" s="299" t="s">
        <x:v>107</x:v>
      </x:c>
      <x:c r="C18" s="79">
        <x:v>23</x:v>
      </x:c>
      <x:c r="D18" s="289" t="s">
        <x:v>29</x:v>
      </x:c>
      <x:c r="E18" s="290"/>
      <x:c r="F18" s="297">
        <x:v>2</x:v>
      </x:c>
      <x:c r="G18" s="29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56</x:v>
      </x:c>
      <x:c r="B19" s="300"/>
      <x:c r="C19" s="134">
        <x:f>SUM('1:6'!$C$18)</x:f>
        <x:v>218</x:v>
      </x:c>
      <x:c r="D19" s="281"/>
      <x:c r="E19" s="282"/>
      <x:c r="F19" s="288">
        <x:f>SUM('1:6'!$F$18)</x:f>
        <x:v>20</x:v>
      </x:c>
      <x:c r="G19" s="288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108</x:v>
      </x:c>
      <x:c r="E20" s="262"/>
      <x:c r="F20" s="287">
        <x:v>54</x:v>
      </x:c>
      <x:c r="G20" s="287"/>
      <x:c r="H20" s="58"/>
      <x:c r="J20" s="54"/>
      <x:c r="K20" s="58"/>
      <x:c r="L20" s="60"/>
      <x:c r="M20" s="11"/>
    </x:row>
    <x:row r="21" spans="4:13" ht="21.949999999999999" customHeight="1">
      <x:c r="D21" s="262" t="s">
        <x:v>128</x:v>
      </x:c>
      <x:c r="E21" s="262"/>
      <x:c r="F21" s="288">
        <x:f>SUM('1:6'!$F$20)</x:f>
        <x:v>344</x:v>
      </x:c>
      <x:c r="G21" s="288"/>
      <x:c r="H21" s="58"/>
      <x:c r="J21" s="54"/>
      <x:c r="K21" s="58"/>
      <x:c r="L21" s="60"/>
      <x:c r="M21" s="11"/>
    </x:row>
    <x:row r="22" spans="1:13" ht="32.100000000000001" customHeight="1">
      <x:c r="A22" s="261" t="s">
        <x:v>121</x:v>
      </x:c>
      <x:c r="B22" s="262"/>
      <x:c r="C22" s="286"/>
      <x:c r="D22" s="286"/>
      <x:c r="E22" s="286"/>
      <x:c r="F22" s="286"/>
      <x:c r="G22" s="286"/>
      <x:c r="H22" s="54"/>
      <x:c r="J22" s="54"/>
      <x:c r="K22" s="58"/>
      <x:c r="L22" s="60"/>
      <x:c r="M22" s="11"/>
    </x:row>
    <x:row r="23" spans="1:15" ht="34.149999999999999" customHeight="1">
      <x:c r="A23" s="261" t="s">
        <x:v>59</x:v>
      </x:c>
      <x:c r="B23" s="262"/>
      <x:c r="C23" s="317"/>
      <x:c r="D23" s="318"/>
      <x:c r="E23" s="318"/>
      <x:c r="F23" s="318"/>
      <x:c r="G23" s="318"/>
      <x:c r="H23" s="107" t="s">
        <x:v>95</x:v>
      </x:c>
      <x:c r="I23" s="108">
        <x:f>SUM(I4:I22)</x:f>
        <x:v>955694</x:v>
      </x:c>
      <x:c r="J23" s="61" t="s">
        <x:v>70</x:v>
      </x:c>
      <x:c r="K23" s="62">
        <x:f>SUM(K4:K22)</x:f>
        <x:v>286000</x:v>
      </x:c>
      <x:c r="M23" s="88" t="s">
        <x:v>102</x:v>
      </x:c>
      <x:c r="N23" s="284">
        <x:f>C5+C6</x:f>
        <x:v>577100</x:v>
      </x:c>
      <x:c r="O23" s="285"/>
    </x:row>
    <x:row r="24" spans="1:11" ht="34.149999999999999" customHeight="1">
      <x:c r="A24" s="261" t="s">
        <x:v>152</x:v>
      </x:c>
      <x:c r="B24" s="262"/>
      <x:c r="C24" s="262" t="s">
        <x:v>86</x:v>
      </x:c>
      <x:c r="D24" s="262"/>
      <x:c r="E24" s="262" t="s">
        <x:v>62</x:v>
      </x:c>
      <x:c r="F24" s="262"/>
      <x:c r="G24" s="262"/>
      <x:c r="H24" s="107" t="s">
        <x:v>152</x:v>
      </x:c>
      <x:c r="I24" s="109">
        <x:f>I23/A25</x:f>
        <x:v>0.29914047827720047</x:v>
      </x:c>
      <x:c r="J24" s="61" t="s">
        <x:v>152</x:v>
      </x:c>
      <x:c r="K24" s="63">
        <x:f>K23/A25</x:f>
        <x:v>0.089520470764993115</x:v>
      </x:c>
    </x:row>
    <x:row r="25" spans="1:11" ht="34.149999999999999" customHeight="1">
      <x:c r="A25" s="313">
        <x:f>C2</x:f>
        <x:v>3194800</x:v>
      </x:c>
      <x:c r="B25" s="277"/>
      <x:c r="C25" s="277">
        <x:f>E25/I1</x:f>
        <x:v>4245883.333333333</x:v>
      </x:c>
      <x:c r="D25" s="277"/>
      <x:c r="E25" s="277">
        <x:f>SUM('1:6'!$A$25)</x:f>
        <x:v>25475300</x:v>
      </x:c>
      <x:c r="F25" s="277"/>
      <x:c r="G25" s="277"/>
      <x:c r="H25" s="107" t="s">
        <x:v>156</x:v>
      </x:c>
      <x:c r="I25" s="108">
        <x:f>SUM('1:6'!$I$23)</x:f>
        <x:v>8410188</x:v>
      </x:c>
      <x:c r="J25" s="61" t="s">
        <x:v>156</x:v>
      </x:c>
      <x:c r="K25" s="62">
        <x:f>SUM('1:6'!$K$23)</x:f>
        <x:v>580000</x:v>
      </x:c>
    </x:row>
    <x:row r="26" spans="1:11" ht="34.149999999999999" customHeight="1">
      <x:c r="A26" s="261" t="s">
        <x:v>68</x:v>
      </x:c>
      <x:c r="B26" s="262"/>
      <x:c r="C26" s="262"/>
      <x:c r="D26" s="262"/>
      <x:c r="E26" s="263"/>
      <x:c r="F26" s="263"/>
      <x:c r="G26" s="263"/>
      <x:c r="H26" s="107" t="s">
        <x:v>67</x:v>
      </x:c>
      <x:c r="I26" s="110">
        <x:f>I25/$E$25</x:f>
        <x:v>0.33013106813266185</x:v>
      </x:c>
      <x:c r="J26" s="64" t="s">
        <x:v>67</x:v>
      </x:c>
      <x:c r="K26" s="65">
        <x:f>K25/$E$25</x:f>
        <x:v>0.022767150926583789</x:v>
      </x:c>
    </x:row>
    <x:row r="27" spans="1:13" ht="30.949999999999999" customHeight="1">
      <x:c r="A27" s="319" t="s">
        <x:v>113</x:v>
      </x:c>
      <x:c r="B27" s="54" t="s">
        <x:v>17</x:v>
      </x:c>
      <x:c r="C27" s="277">
        <x:f>3300000/31</x:f>
        <x:v>106451.6129032258</x:v>
      </x:c>
      <x:c r="D27" s="277"/>
      <x:c r="E27" s="55" t="s">
        <x:v>12</x:v>
      </x:c>
      <x:c r="F27" s="263">
        <x:f>13000*4</x:f>
        <x:v>52000</x:v>
      </x:c>
      <x:c r="G27" s="263"/>
      <x:c r="H27" s="111" t="s">
        <x:v>69</x:v>
      </x:c>
      <x:c r="I27" s="114">
        <x:f>SUM(C27:D34,F27:G32)</x:f>
        <x:v>419741.93548387091</x:v>
      </x:c>
      <x:c r="M27" s="66"/>
    </x:row>
    <x:row r="28" spans="1:13" ht="30.949999999999999" customHeight="1">
      <x:c r="A28" s="320"/>
      <x:c r="B28" s="54" t="s">
        <x:v>161</x:v>
      </x:c>
      <x:c r="C28" s="314">
        <x:f>3300000/31</x:f>
        <x:v>106451.6129032258</x:v>
      </x:c>
      <x:c r="D28" s="315"/>
      <x:c r="E28" s="148" t="s">
        <x:v>37</x:v>
      </x:c>
      <x:c r="F28" s="316"/>
      <x:c r="G28" s="316"/>
      <x:c r="H28" s="111" t="s">
        <x:v>152</x:v>
      </x:c>
      <x:c r="I28" s="113">
        <x:f>I27/$A$25</x:f>
        <x:v>0.13138285197316604</x:v>
      </x:c>
      <x:c r="M28" s="66"/>
    </x:row>
    <x:row r="29" spans="1:13" ht="30.949999999999999" customHeight="1">
      <x:c r="A29" s="320"/>
      <x:c r="B29" s="54" t="s">
        <x:v>38</x:v>
      </x:c>
      <x:c r="C29" s="277">
        <x:f>3300000/31</x:f>
        <x:v>106451.6129032258</x:v>
      </x:c>
      <x:c r="D29" s="277"/>
      <x:c r="E29" s="54" t="s">
        <x:v>147</x:v>
      </x:c>
      <x:c r="F29" s="263"/>
      <x:c r="G29" s="263"/>
      <x:c r="H29" s="111" t="s">
        <x:v>156</x:v>
      </x:c>
      <x:c r="I29" s="112">
        <x:f>SUM('1:6'!$I$27)</x:f>
        <x:v>3238951.6129032257</x:v>
      </x:c>
      <x:c r="M29" s="66"/>
    </x:row>
    <x:row r="30" spans="1:13" ht="30.949999999999999" customHeight="1">
      <x:c r="A30" s="320"/>
      <x:c r="B30" s="55" t="s">
        <x:v>28</x:v>
      </x:c>
      <x:c r="C30" s="277">
        <x:f>1500000/31</x:f>
        <x:v>48387.096774193546</x:v>
      </x:c>
      <x:c r="D30" s="277"/>
      <x:c r="E30" s="55"/>
      <x:c r="F30" s="311"/>
      <x:c r="G30" s="312"/>
      <x:c r="H30" s="111" t="s">
        <x:v>67</x:v>
      </x:c>
      <x:c r="I30" s="113">
        <x:f>I29/$I$27</x:f>
        <x:v>7.7165308945588693</x:v>
      </x:c>
      <x:c r="M30" s="66"/>
    </x:row>
    <x:row r="31" spans="1:7" customHeight="1">
      <x:c r="A31" s="320"/>
      <x:c r="B31" s="147"/>
      <x:c r="C31" s="309"/>
      <x:c r="D31" s="310"/>
      <x:c r="E31" s="55" t="s">
        <x:v>10</x:v>
      </x:c>
      <x:c r="F31" s="311"/>
      <x:c r="G31" s="312"/>
    </x:row>
    <x:row r="32" spans="1:7" customHeight="1">
      <x:c r="A32" s="320"/>
      <x:c r="B32" s="147"/>
      <x:c r="C32" s="309"/>
      <x:c r="D32" s="310"/>
      <x:c r="E32" s="55" t="s">
        <x:v>79</x:v>
      </x:c>
      <x:c r="F32" s="311"/>
      <x:c r="G32" s="312"/>
    </x:row>
    <x:row r="33" spans="1:4" customHeight="1">
      <x:c r="A33" s="320"/>
      <x:c r="B33" s="54"/>
      <x:c r="C33" s="309"/>
      <x:c r="D33" s="310"/>
    </x:row>
    <x:row r="34" spans="1:4" customHeight="1">
      <x:c r="A34" s="321"/>
      <x:c r="B34" s="54"/>
      <x:c r="C34" s="311"/>
      <x:c r="D34" s="312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D14:E15"/>
    <x:mergeCell ref="B18:B19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O34"/>
  <x:sheetViews>
    <x:sheetView tabSelected="1" topLeftCell="A1" zoomScale="85" zoomScaleNormal="85" zoomScaleSheetLayoutView="75" workbookViewId="0">
      <x:selection activeCell="D12" activeCellId="0" sqref="D12:E1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7.7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122</x:v>
      </x:c>
      <x:c r="D1" s="68"/>
      <x:c r="E1" s="68">
        <x:v>1</x:v>
      </x:c>
      <x:c r="F1" s="68">
        <x:v>7</x:v>
      </x:c>
      <x:c r="G1" s="68" t="s">
        <x:v>33</x:v>
      </x:c>
      <x:c r="H1" s="52" t="s">
        <x:v>96</x:v>
      </x:c>
      <x:c r="I1" s="52">
        <x:f>F1-K1</x:f>
        <x:v>7</x:v>
      </x:c>
      <x:c r="J1" s="52" t="s">
        <x:v>89</x:v>
      </x:c>
      <x:c r="K1" s="52"/>
    </x:row>
    <x:row r="2" spans="1:11" ht="20.100000000000001" customHeight="1">
      <x:c r="A2" s="272" t="s">
        <x:v>50</x:v>
      </x:c>
      <x:c r="B2" s="273"/>
      <x:c r="C2" s="276">
        <x:f>SUM(C4:D7)</x:f>
        <x:v>4254600</x:v>
      </x:c>
      <x:c r="D2" s="276"/>
      <x:c r="E2" s="279" t="s">
        <x:v>20</x:v>
      </x:c>
      <x:c r="F2" s="280"/>
      <x:c r="G2" s="268">
        <x:v>79400</x:v>
      </x:c>
      <x:c r="H2" s="266" t="s">
        <x:v>54</x:v>
      </x:c>
      <x:c r="I2" s="267"/>
      <x:c r="J2" s="264" t="s">
        <x:v>143</x:v>
      </x:c>
      <x:c r="K2" s="265"/>
    </x:row>
    <x:row r="3" spans="1:11" ht="20.100000000000001" customHeight="1">
      <x:c r="A3" s="274"/>
      <x:c r="B3" s="275"/>
      <x:c r="C3" s="277"/>
      <x:c r="D3" s="277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1" ht="30.949999999999999" customHeight="1">
      <x:c r="A4" s="270" t="s">
        <x:v>41</x:v>
      </x:c>
      <x:c r="B4" s="271"/>
      <x:c r="C4" s="263">
        <x:v>3540400</x:v>
      </x:c>
      <x:c r="D4" s="263"/>
      <x:c r="E4" s="278" t="s">
        <x:v>160</x:v>
      </x:c>
      <x:c r="F4" s="278"/>
      <x:c r="G4" s="133">
        <x:f>INT(C4*0.0275)</x:f>
        <x:v>97361</x:v>
      </x:c>
      <x:c r="H4" s="54" t="s">
        <x:v>19</x:v>
      </x:c>
      <x:c r="I4" s="124">
        <x:f>343992+452000+10</x:f>
        <x:v>796002</x:v>
      </x:c>
      <x:c r="J4" s="80" t="s">
        <x:v>24</x:v>
      </x:c>
      <x:c r="K4" s="58"/>
    </x:row>
    <x:row r="5" spans="1:11" ht="30.949999999999999" customHeight="1">
      <x:c r="A5" s="270" t="s">
        <x:v>52</x:v>
      </x:c>
      <x:c r="B5" s="271"/>
      <x:c r="C5" s="263">
        <x:v>714200</x:v>
      </x:c>
      <x:c r="D5" s="263"/>
      <x:c r="E5" s="262" t="s">
        <x:v>136</x:v>
      </x:c>
      <x:c r="F5" s="262"/>
      <x:c r="G5" s="133">
        <x:f>INT(C5*0.01)</x:f>
        <x:v>7142</x:v>
      </x:c>
      <x:c r="H5" s="54" t="s">
        <x:v>54</x:v>
      </x:c>
      <x:c r="I5" s="124">
        <x:f>30300+69000+30932+18350</x:f>
        <x:v>148582</x:v>
      </x:c>
      <x:c r="J5" s="81"/>
      <x:c r="K5" s="58"/>
    </x:row>
    <x:row r="6" spans="1:11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700000</x:v>
      </x:c>
      <x:c r="H6" s="54"/>
      <x:c r="I6" s="124"/>
      <x:c r="J6" s="81" t="s">
        <x:v>99</x:v>
      </x:c>
      <x:c r="K6" s="58"/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4"/>
      <x:c r="J7" s="81" t="s">
        <x:v>106</x:v>
      </x:c>
      <x:c r="K7" s="58"/>
    </x:row>
    <x:row r="8" spans="1:11" ht="21.949999999999999" customHeight="1">
      <x:c r="A8" s="261" t="s">
        <x:v>98</x:v>
      </x:c>
      <x:c r="B8" s="262"/>
      <x:c r="C8" s="263">
        <x:v>93600</x:v>
      </x:c>
      <x:c r="D8" s="263"/>
      <x:c r="E8" s="289" t="s">
        <x:v>114</x:v>
      </x:c>
      <x:c r="F8" s="290"/>
      <x:c r="G8" s="295">
        <x:f>C5+G2-G6-C22</x:f>
        <x:v>93600</x:v>
      </x:c>
      <x:c r="H8" s="54" t="s">
        <x:v>14</x:v>
      </x:c>
      <x:c r="I8" s="124">
        <x:v>65000</x:v>
      </x:c>
      <x:c r="J8" s="81"/>
      <x:c r="K8" s="58"/>
    </x:row>
    <x:row r="9" spans="1:11" ht="21.949999999999999" customHeight="1">
      <x:c r="A9" s="261"/>
      <x:c r="B9" s="262"/>
      <x:c r="C9" s="263"/>
      <x:c r="D9" s="263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30.949999999999999" customHeight="1">
      <x:c r="A10" s="261" t="s">
        <x:v>120</x:v>
      </x:c>
      <x:c r="B10" s="262"/>
      <x:c r="C10" s="263"/>
      <x:c r="D10" s="263"/>
      <x:c r="E10" s="262" t="s">
        <x:v>101</x:v>
      </x:c>
      <x:c r="F10" s="262"/>
      <x:c r="G10" s="55"/>
      <x:c r="H10" s="54"/>
      <x:c r="I10" s="124"/>
      <x:c r="J10" s="54" t="s">
        <x:v>23</x:v>
      </x:c>
      <x:c r="K10" s="58"/>
    </x:row>
    <x:row r="11" spans="1:11" ht="33" customHeight="1">
      <x:c r="A11" s="261" t="s">
        <x:v>115</x:v>
      </x:c>
      <x:c r="B11" s="262"/>
      <x:c r="C11" s="301"/>
      <x:c r="D11" s="301"/>
      <x:c r="E11" s="301"/>
      <x:c r="F11" s="301"/>
      <x:c r="G11" s="301"/>
      <x:c r="H11" s="54" t="s">
        <x:v>151</x:v>
      </x:c>
      <x:c r="I11" s="58"/>
      <x:c r="J11" s="54" t="s">
        <x:v>125</x:v>
      </x:c>
      <x:c r="K11" s="135"/>
    </x:row>
    <x:row r="12" spans="1:13" ht="21.949999999999999" customHeight="1">
      <x:c r="A12" s="59" t="s">
        <x:v>21</x:v>
      </x:c>
      <x:c r="B12" s="299" t="s">
        <x:v>8</x:v>
      </x:c>
      <x:c r="C12" s="79">
        <x:v>16</x:v>
      </x:c>
      <x:c r="D12" s="289" t="s">
        <x:v>83</x:v>
      </x:c>
      <x:c r="E12" s="290"/>
      <x:c r="F12" s="293">
        <x:v>28</x:v>
      </x:c>
      <x:c r="G12" s="294"/>
      <x:c r="H12" s="54" t="s">
        <x:v>58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56</x:v>
      </x:c>
      <x:c r="B13" s="300"/>
      <x:c r="C13" s="134">
        <x:f>SUM('1:7'!$C$12)</x:f>
        <x:v>147</x:v>
      </x:c>
      <x:c r="D13" s="281"/>
      <x:c r="E13" s="282"/>
      <x:c r="F13" s="291">
        <x:f>SUM('1:7'!$F$12)</x:f>
        <x:v>170</x:v>
      </x:c>
      <x:c r="G13" s="292"/>
      <x:c r="H13" s="54" t="s">
        <x:v>92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21</x:v>
      </x:c>
      <x:c r="B14" s="299" t="s">
        <x:v>84</x:v>
      </x:c>
      <x:c r="C14" s="79">
        <x:v>16</x:v>
      </x:c>
      <x:c r="D14" s="289" t="s">
        <x:v>73</x:v>
      </x:c>
      <x:c r="E14" s="290"/>
      <x:c r="F14" s="293">
        <x:v>8</x:v>
      </x:c>
      <x:c r="G14" s="294"/>
      <x:c r="H14" s="54" t="s">
        <x:v>61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56</x:v>
      </x:c>
      <x:c r="B15" s="300"/>
      <x:c r="C15" s="134">
        <x:f>SUM('1:7'!$C$14)</x:f>
        <x:v>178</x:v>
      </x:c>
      <x:c r="D15" s="281"/>
      <x:c r="E15" s="282"/>
      <x:c r="F15" s="291">
        <x:f>SUM('1:7'!$F$14)</x:f>
        <x:v>86</x:v>
      </x:c>
      <x:c r="G15" s="292"/>
      <x:c r="H15" s="54" t="s">
        <x:v>64</x:v>
      </x:c>
      <x:c r="I15" s="58">
        <x:v>46600</x:v>
      </x:c>
      <x:c r="J15" s="54" t="s">
        <x:v>143</x:v>
      </x:c>
      <x:c r="K15" s="58"/>
      <x:c r="L15" s="60"/>
      <x:c r="M15" s="11"/>
    </x:row>
    <x:row r="16" spans="1:13" ht="21.949999999999999" customHeight="1">
      <x:c r="A16" s="59" t="s">
        <x:v>21</x:v>
      </x:c>
      <x:c r="B16" s="299" t="s">
        <x:v>51</x:v>
      </x:c>
      <x:c r="C16" s="79">
        <x:v>8</x:v>
      </x:c>
      <x:c r="D16" s="289" t="s">
        <x:v>81</x:v>
      </x:c>
      <x:c r="E16" s="290"/>
      <x:c r="F16" s="287">
        <x:v>11</x:v>
      </x:c>
      <x:c r="G16" s="287"/>
      <x:c r="H16" s="54"/>
      <x:c r="I16" s="58"/>
      <x:c r="J16" s="54" t="s">
        <x:v>105</x:v>
      </x:c>
      <x:c r="K16" s="58"/>
      <x:c r="L16" s="60"/>
      <x:c r="M16" s="11"/>
    </x:row>
    <x:row r="17" spans="1:13" ht="21.949999999999999" customHeight="1">
      <x:c r="A17" s="59" t="s">
        <x:v>56</x:v>
      </x:c>
      <x:c r="B17" s="300"/>
      <x:c r="C17" s="134">
        <x:f>SUM('1:7'!$C$16)</x:f>
        <x:v>46</x:v>
      </x:c>
      <x:c r="D17" s="281"/>
      <x:c r="E17" s="282"/>
      <x:c r="F17" s="288">
        <x:f>SUM('1:7'!$F$16)</x:f>
        <x:v>72</x:v>
      </x:c>
      <x:c r="G17" s="288"/>
      <x:c r="H17" s="54" t="s">
        <x:v>18</x:v>
      </x:c>
      <x:c r="I17" s="58"/>
      <x:c r="J17" s="54" t="s">
        <x:v>97</x:v>
      </x:c>
      <x:c r="K17" s="58"/>
      <x:c r="L17" s="60"/>
      <x:c r="M17" s="11"/>
    </x:row>
    <x:row r="18" spans="1:13" ht="21.949999999999999" customHeight="1">
      <x:c r="A18" s="59" t="s">
        <x:v>21</x:v>
      </x:c>
      <x:c r="B18" s="299" t="s">
        <x:v>107</x:v>
      </x:c>
      <x:c r="C18" s="79">
        <x:v>27</x:v>
      </x:c>
      <x:c r="D18" s="289" t="s">
        <x:v>29</x:v>
      </x:c>
      <x:c r="E18" s="290"/>
      <x:c r="F18" s="297">
        <x:v>4</x:v>
      </x:c>
      <x:c r="G18" s="29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56</x:v>
      </x:c>
      <x:c r="B19" s="300"/>
      <x:c r="C19" s="134">
        <x:f>SUM('1:7'!$C$18)</x:f>
        <x:v>245</x:v>
      </x:c>
      <x:c r="D19" s="281"/>
      <x:c r="E19" s="282"/>
      <x:c r="F19" s="288">
        <x:f>SUM('1:7'!$F$18)</x:f>
        <x:v>24</x:v>
      </x:c>
      <x:c r="G19" s="288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108</x:v>
      </x:c>
      <x:c r="E20" s="262"/>
      <x:c r="F20" s="287">
        <x:v>58</x:v>
      </x:c>
      <x:c r="G20" s="287"/>
      <x:c r="H20" s="149"/>
      <x:c r="I20" s="132"/>
      <x:c r="J20" s="54"/>
      <x:c r="K20" s="58"/>
      <x:c r="L20" s="60"/>
      <x:c r="M20" s="11"/>
    </x:row>
    <x:row r="21" spans="4:13" ht="21.949999999999999" customHeight="1">
      <x:c r="D21" s="262" t="s">
        <x:v>128</x:v>
      </x:c>
      <x:c r="E21" s="262"/>
      <x:c r="F21" s="288">
        <x:f>SUM('1:7'!$F$20)</x:f>
        <x:v>402</x:v>
      </x:c>
      <x:c r="G21" s="288"/>
      <x:c r="H21" s="149"/>
      <x:c r="I21" s="132"/>
      <x:c r="J21" s="54"/>
      <x:c r="K21" s="58"/>
      <x:c r="L21" s="60"/>
      <x:c r="M21" s="11"/>
    </x:row>
    <x:row r="22" spans="1:13" ht="32.100000000000001" customHeight="1">
      <x:c r="A22" s="261" t="s">
        <x:v>121</x:v>
      </x:c>
      <x:c r="B22" s="262"/>
      <x:c r="C22" s="286"/>
      <x:c r="D22" s="286"/>
      <x:c r="E22" s="286"/>
      <x:c r="F22" s="286"/>
      <x:c r="G22" s="286"/>
      <x:c r="H22" s="54"/>
      <x:c r="J22" s="54"/>
      <x:c r="K22" s="58"/>
      <x:c r="L22" s="60"/>
      <x:c r="M22" s="11"/>
    </x:row>
    <x:row r="23" spans="1:15" ht="34.149999999999999" customHeight="1">
      <x:c r="A23" s="261" t="s">
        <x:v>59</x:v>
      </x:c>
      <x:c r="B23" s="262"/>
      <x:c r="C23" s="317"/>
      <x:c r="D23" s="318"/>
      <x:c r="E23" s="318"/>
      <x:c r="F23" s="318"/>
      <x:c r="G23" s="318"/>
      <x:c r="H23" s="107" t="s">
        <x:v>95</x:v>
      </x:c>
      <x:c r="I23" s="108">
        <x:f>SUM(I4:I22)</x:f>
        <x:v>1056184</x:v>
      </x:c>
      <x:c r="J23" s="61" t="s">
        <x:v>70</x:v>
      </x:c>
      <x:c r="K23" s="62">
        <x:f>SUM(K4:K22)</x:f>
        <x:v>0</x:v>
      </x:c>
      <x:c r="M23" s="88" t="s">
        <x:v>102</x:v>
      </x:c>
      <x:c r="N23" s="284">
        <x:f>C5+C6</x:f>
        <x:v>714200</x:v>
      </x:c>
      <x:c r="O23" s="285"/>
    </x:row>
    <x:row r="24" spans="1:11" ht="34.149999999999999" customHeight="1">
      <x:c r="A24" s="261" t="s">
        <x:v>152</x:v>
      </x:c>
      <x:c r="B24" s="262"/>
      <x:c r="C24" s="262" t="s">
        <x:v>86</x:v>
      </x:c>
      <x:c r="D24" s="262"/>
      <x:c r="E24" s="262" t="s">
        <x:v>62</x:v>
      </x:c>
      <x:c r="F24" s="262"/>
      <x:c r="G24" s="262"/>
      <x:c r="H24" s="107" t="s">
        <x:v>152</x:v>
      </x:c>
      <x:c r="I24" s="109">
        <x:f>I23/A25</x:f>
        <x:v>0.24824519343769097</x:v>
      </x:c>
      <x:c r="J24" s="61" t="s">
        <x:v>152</x:v>
      </x:c>
      <x:c r="K24" s="63">
        <x:f>K23/A25</x:f>
        <x:v>0</x:v>
      </x:c>
    </x:row>
    <x:row r="25" spans="1:11" ht="34.149999999999999" customHeight="1">
      <x:c r="A25" s="313">
        <x:f>C2</x:f>
        <x:v>4254600</x:v>
      </x:c>
      <x:c r="B25" s="277"/>
      <x:c r="C25" s="277">
        <x:f>E25/I1</x:f>
        <x:v>4247128.5714285718</x:v>
      </x:c>
      <x:c r="D25" s="277"/>
      <x:c r="E25" s="277">
        <x:f>SUM('1:7'!$A$25)</x:f>
        <x:v>29729900</x:v>
      </x:c>
      <x:c r="F25" s="277"/>
      <x:c r="G25" s="277"/>
      <x:c r="H25" s="107" t="s">
        <x:v>156</x:v>
      </x:c>
      <x:c r="I25" s="108">
        <x:f>SUM('1:7'!$I$23)</x:f>
        <x:v>9466372</x:v>
      </x:c>
      <x:c r="J25" s="61" t="s">
        <x:v>156</x:v>
      </x:c>
      <x:c r="K25" s="62">
        <x:f>SUM('1:7'!$K$23)</x:f>
        <x:v>580000</x:v>
      </x:c>
    </x:row>
    <x:row r="26" spans="1:11" ht="34.149999999999999" customHeight="1">
      <x:c r="A26" s="261" t="s">
        <x:v>68</x:v>
      </x:c>
      <x:c r="B26" s="262"/>
      <x:c r="C26" s="262"/>
      <x:c r="D26" s="262"/>
      <x:c r="E26" s="263"/>
      <x:c r="F26" s="263"/>
      <x:c r="G26" s="263"/>
      <x:c r="H26" s="107" t="s">
        <x:v>67</x:v>
      </x:c>
      <x:c r="I26" s="110">
        <x:f>I25/$E$25</x:f>
        <x:v>0.31841250727382198</x:v>
      </x:c>
      <x:c r="J26" s="64" t="s">
        <x:v>67</x:v>
      </x:c>
      <x:c r="K26" s="65">
        <x:f>K25/$E$25</x:f>
        <x:v>0.019508979175846538</x:v>
      </x:c>
    </x:row>
    <x:row r="27" spans="1:13" ht="30.949999999999999" customHeight="1">
      <x:c r="A27" s="319" t="s">
        <x:v>113</x:v>
      </x:c>
      <x:c r="B27" s="54" t="s">
        <x:v>17</x:v>
      </x:c>
      <x:c r="C27" s="277">
        <x:f>3300000/31</x:f>
        <x:v>106451.6129032258</x:v>
      </x:c>
      <x:c r="D27" s="277"/>
      <x:c r="E27" s="55" t="s">
        <x:v>12</x:v>
      </x:c>
      <x:c r="F27" s="263">
        <x:f>13000*5</x:f>
        <x:v>65000</x:v>
      </x:c>
      <x:c r="G27" s="263"/>
      <x:c r="H27" s="111" t="s">
        <x:v>69</x:v>
      </x:c>
      <x:c r="I27" s="112">
        <x:f>SUM(C27:D34,F27:G32)</x:f>
        <x:v>432741.93548387091</x:v>
      </x:c>
      <x:c r="M27" s="66"/>
    </x:row>
    <x:row r="28" spans="1:13" ht="30.949999999999999" customHeight="1">
      <x:c r="A28" s="320"/>
      <x:c r="B28" s="54" t="s">
        <x:v>161</x:v>
      </x:c>
      <x:c r="C28" s="314">
        <x:f>3300000/31</x:f>
        <x:v>106451.6129032258</x:v>
      </x:c>
      <x:c r="D28" s="315"/>
      <x:c r="E28" s="148" t="s">
        <x:v>37</x:v>
      </x:c>
      <x:c r="F28" s="316"/>
      <x:c r="G28" s="316"/>
      <x:c r="H28" s="111" t="s">
        <x:v>152</x:v>
      </x:c>
      <x:c r="I28" s="113">
        <x:f>I27/$A$25</x:f>
        <x:v>0.10171154408966082</x:v>
      </x:c>
      <x:c r="M28" s="66"/>
    </x:row>
    <x:row r="29" spans="1:13" ht="30.949999999999999" customHeight="1">
      <x:c r="A29" s="320"/>
      <x:c r="B29" s="54" t="s">
        <x:v>38</x:v>
      </x:c>
      <x:c r="C29" s="277">
        <x:f>3300000/31</x:f>
        <x:v>106451.6129032258</x:v>
      </x:c>
      <x:c r="D29" s="277"/>
      <x:c r="E29" s="54" t="s">
        <x:v>147</x:v>
      </x:c>
      <x:c r="F29" s="263"/>
      <x:c r="G29" s="263"/>
      <x:c r="H29" s="111" t="s">
        <x:v>156</x:v>
      </x:c>
      <x:c r="I29" s="112">
        <x:f>SUM('1:7'!$I$27)</x:f>
        <x:v>3671693.5483870967</x:v>
      </x:c>
      <x:c r="M29" s="66"/>
    </x:row>
    <x:row r="30" spans="1:13" ht="30.949999999999999" customHeight="1">
      <x:c r="A30" s="320"/>
      <x:c r="B30" s="55" t="s">
        <x:v>28</x:v>
      </x:c>
      <x:c r="C30" s="277">
        <x:f>1500000/31</x:f>
        <x:v>48387.096774193546</x:v>
      </x:c>
      <x:c r="D30" s="277"/>
      <x:c r="E30" s="55"/>
      <x:c r="F30" s="311"/>
      <x:c r="G30" s="312"/>
      <x:c r="H30" s="111" t="s">
        <x:v>67</x:v>
      </x:c>
      <x:c r="I30" s="113">
        <x:f>I29/$I$27</x:f>
        <x:v>8.4847185985836759</x:v>
      </x:c>
      <x:c r="M30" s="66"/>
    </x:row>
    <x:row r="31" spans="1:7" customHeight="1">
      <x:c r="A31" s="320"/>
      <x:c r="B31" s="147"/>
      <x:c r="C31" s="309"/>
      <x:c r="D31" s="310"/>
      <x:c r="E31" s="55" t="s">
        <x:v>10</x:v>
      </x:c>
      <x:c r="F31" s="311"/>
      <x:c r="G31" s="312"/>
    </x:row>
    <x:row r="32" spans="1:7" customHeight="1">
      <x:c r="A32" s="320"/>
      <x:c r="B32" s="147"/>
      <x:c r="C32" s="309"/>
      <x:c r="D32" s="310"/>
      <x:c r="E32" s="55" t="s">
        <x:v>79</x:v>
      </x:c>
      <x:c r="F32" s="311"/>
      <x:c r="G32" s="312"/>
    </x:row>
    <x:row r="33" spans="1:4" customHeight="1">
      <x:c r="A33" s="320"/>
      <x:c r="B33" s="54"/>
      <x:c r="C33" s="309"/>
      <x:c r="D33" s="310"/>
    </x:row>
    <x:row r="34" spans="1:4" customHeight="1">
      <x:c r="A34" s="321"/>
      <x:c r="B34" s="54"/>
      <x:c r="C34" s="311"/>
      <x:c r="D34" s="312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D14:E15"/>
    <x:mergeCell ref="B18:B19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O34"/>
  <x:sheetViews>
    <x:sheetView tabSelected="1" topLeftCell="A1" zoomScale="85" zoomScaleNormal="85" zoomScaleSheetLayoutView="75" workbookViewId="0">
      <x:selection activeCell="M2" activeCellId="0" sqref="M2:M2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122</x:v>
      </x:c>
      <x:c r="D1" s="68"/>
      <x:c r="E1" s="68">
        <x:v>1</x:v>
      </x:c>
      <x:c r="F1" s="68">
        <x:v>8</x:v>
      </x:c>
      <x:c r="G1" s="68" t="s">
        <x:v>7</x:v>
      </x:c>
      <x:c r="H1" s="52" t="s">
        <x:v>96</x:v>
      </x:c>
      <x:c r="I1" s="52">
        <x:f>F1-K1</x:f>
        <x:v>8</x:v>
      </x:c>
      <x:c r="J1" s="52" t="s">
        <x:v>89</x:v>
      </x:c>
      <x:c r="K1" s="52"/>
    </x:row>
    <x:row r="2" spans="1:11" ht="20.100000000000001" customHeight="1">
      <x:c r="A2" s="272" t="s">
        <x:v>50</x:v>
      </x:c>
      <x:c r="B2" s="273"/>
      <x:c r="C2" s="276">
        <x:f>SUM(C4:D7)</x:f>
        <x:v>4758300</x:v>
      </x:c>
      <x:c r="D2" s="276"/>
      <x:c r="E2" s="279" t="s">
        <x:v>20</x:v>
      </x:c>
      <x:c r="F2" s="280"/>
      <x:c r="G2" s="268">
        <x:v>93600</x:v>
      </x:c>
      <x:c r="H2" s="266" t="s">
        <x:v>54</x:v>
      </x:c>
      <x:c r="I2" s="267"/>
      <x:c r="J2" s="264" t="s">
        <x:v>143</x:v>
      </x:c>
      <x:c r="K2" s="265"/>
    </x:row>
    <x:row r="3" spans="1:11" ht="20.100000000000001" customHeight="1">
      <x:c r="A3" s="274"/>
      <x:c r="B3" s="275"/>
      <x:c r="C3" s="277"/>
      <x:c r="D3" s="277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1" ht="30.949999999999999" customHeight="1">
      <x:c r="A4" s="270" t="s">
        <x:v>41</x:v>
      </x:c>
      <x:c r="B4" s="271"/>
      <x:c r="C4" s="263">
        <x:v>4053700</x:v>
      </x:c>
      <x:c r="D4" s="263"/>
      <x:c r="E4" s="278" t="s">
        <x:v>160</x:v>
      </x:c>
      <x:c r="F4" s="278"/>
      <x:c r="G4" s="133">
        <x:f>INT(C4*0.0275)</x:f>
        <x:v>111476</x:v>
      </x:c>
      <x:c r="H4" s="54" t="s">
        <x:v>19</x:v>
      </x:c>
      <x:c r="I4" s="124">
        <x:f>95100+343992+452000+227544+310422</x:f>
        <x:v>1429058</x:v>
      </x:c>
      <x:c r="J4" s="80" t="s">
        <x:v>24</x:v>
      </x:c>
      <x:c r="K4" s="58"/>
    </x:row>
    <x:row r="5" spans="1:11" ht="30.949999999999999" customHeight="1">
      <x:c r="A5" s="270" t="s">
        <x:v>52</x:v>
      </x:c>
      <x:c r="B5" s="271"/>
      <x:c r="C5" s="263">
        <x:v>704600</x:v>
      </x:c>
      <x:c r="D5" s="263"/>
      <x:c r="E5" s="262" t="s">
        <x:v>136</x:v>
      </x:c>
      <x:c r="F5" s="262"/>
      <x:c r="G5" s="133">
        <x:f>INT(C5*0.01)</x:f>
        <x:v>7046</x:v>
      </x:c>
      <x:c r="H5" s="54" t="s">
        <x:v>54</x:v>
      </x:c>
      <x:c r="I5" s="124">
        <x:f>44000+27320</x:f>
        <x:v>71320</x:v>
      </x:c>
      <x:c r="J5" s="81"/>
      <x:c r="K5" s="58"/>
    </x:row>
    <x:row r="6" spans="1:13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650000</x:v>
      </x:c>
      <x:c r="H6" s="54"/>
      <x:c r="I6" s="124"/>
      <x:c r="J6" s="81" t="s">
        <x:v>99</x:v>
      </x:c>
      <x:c r="K6" s="58"/>
      <x:c r="M6" s="124"/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4"/>
      <x:c r="J7" s="81" t="s">
        <x:v>106</x:v>
      </x:c>
      <x:c r="K7" s="58"/>
    </x:row>
    <x:row r="8" spans="1:11" ht="21.949999999999999" customHeight="1">
      <x:c r="A8" s="261" t="s">
        <x:v>98</x:v>
      </x:c>
      <x:c r="B8" s="262"/>
      <x:c r="C8" s="263">
        <x:v>148200</x:v>
      </x:c>
      <x:c r="D8" s="263"/>
      <x:c r="E8" s="289" t="s">
        <x:v>114</x:v>
      </x:c>
      <x:c r="F8" s="290"/>
      <x:c r="G8" s="295">
        <x:f>C5+G2-G6-C22</x:f>
        <x:v>148200</x:v>
      </x:c>
      <x:c r="H8" s="54" t="s">
        <x:v>14</x:v>
      </x:c>
      <x:c r="I8" s="124"/>
      <x:c r="J8" s="81"/>
      <x:c r="K8" s="58"/>
    </x:row>
    <x:row r="9" spans="1:11" ht="21.949999999999999" customHeight="1">
      <x:c r="A9" s="261"/>
      <x:c r="B9" s="262"/>
      <x:c r="C9" s="263"/>
      <x:c r="D9" s="263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30.949999999999999" customHeight="1">
      <x:c r="A10" s="261" t="s">
        <x:v>120</x:v>
      </x:c>
      <x:c r="B10" s="262"/>
      <x:c r="C10" s="263">
        <x:v>59000</x:v>
      </x:c>
      <x:c r="D10" s="263"/>
      <x:c r="E10" s="262" t="s">
        <x:v>101</x:v>
      </x:c>
      <x:c r="F10" s="262"/>
      <x:c r="G10" s="55"/>
      <x:c r="H10" s="54"/>
      <x:c r="I10" s="124"/>
      <x:c r="J10" s="54" t="s">
        <x:v>23</x:v>
      </x:c>
      <x:c r="K10" s="58"/>
    </x:row>
    <x:row r="11" spans="1:11" ht="33" customHeight="1">
      <x:c r="A11" s="261" t="s">
        <x:v>115</x:v>
      </x:c>
      <x:c r="B11" s="262"/>
      <x:c r="C11" s="301" t="s">
        <x:v>123</x:v>
      </x:c>
      <x:c r="D11" s="301"/>
      <x:c r="E11" s="301"/>
      <x:c r="F11" s="301"/>
      <x:c r="G11" s="301"/>
      <x:c r="H11" s="54" t="s">
        <x:v>151</x:v>
      </x:c>
      <x:c r="I11" s="58"/>
      <x:c r="J11" s="54" t="s">
        <x:v>125</x:v>
      </x:c>
      <x:c r="K11" s="135"/>
    </x:row>
    <x:row r="12" spans="1:13" ht="21.949999999999999" customHeight="1">
      <x:c r="A12" s="59" t="s">
        <x:v>21</x:v>
      </x:c>
      <x:c r="B12" s="299" t="s">
        <x:v>8</x:v>
      </x:c>
      <x:c r="C12" s="79">
        <x:v>11</x:v>
      </x:c>
      <x:c r="D12" s="289" t="s">
        <x:v>83</x:v>
      </x:c>
      <x:c r="E12" s="290"/>
      <x:c r="F12" s="293">
        <x:v>24</x:v>
      </x:c>
      <x:c r="G12" s="294"/>
      <x:c r="H12" s="54" t="s">
        <x:v>58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56</x:v>
      </x:c>
      <x:c r="B13" s="300"/>
      <x:c r="C13" s="134">
        <x:f>SUM('1:8'!$C$12)</x:f>
        <x:v>158</x:v>
      </x:c>
      <x:c r="D13" s="281"/>
      <x:c r="E13" s="282"/>
      <x:c r="F13" s="291">
        <x:f>SUM('1:8'!$F$12)</x:f>
        <x:v>194</x:v>
      </x:c>
      <x:c r="G13" s="292"/>
      <x:c r="H13" s="54" t="s">
        <x:v>92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21</x:v>
      </x:c>
      <x:c r="B14" s="299" t="s">
        <x:v>84</x:v>
      </x:c>
      <x:c r="C14" s="79">
        <x:v>24</x:v>
      </x:c>
      <x:c r="D14" s="289" t="s">
        <x:v>73</x:v>
      </x:c>
      <x:c r="E14" s="290"/>
      <x:c r="F14" s="293">
        <x:v>19</x:v>
      </x:c>
      <x:c r="G14" s="294"/>
      <x:c r="H14" s="54" t="s">
        <x:v>61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56</x:v>
      </x:c>
      <x:c r="B15" s="300"/>
      <x:c r="C15" s="134">
        <x:f>SUM('1:8'!$C$14)</x:f>
        <x:v>202</x:v>
      </x:c>
      <x:c r="D15" s="281"/>
      <x:c r="E15" s="282"/>
      <x:c r="F15" s="291">
        <x:f>SUM('1:8'!$F$14)</x:f>
        <x:v>105</x:v>
      </x:c>
      <x:c r="G15" s="292"/>
      <x:c r="H15" s="54" t="s">
        <x:v>64</x:v>
      </x:c>
      <x:c r="I15" s="58">
        <x:f>34000+14000+3500+4900+27000+5900+13500</x:f>
        <x:v>102800</x:v>
      </x:c>
      <x:c r="J15" s="54" t="s">
        <x:v>143</x:v>
      </x:c>
      <x:c r="K15" s="58"/>
      <x:c r="L15" s="60"/>
      <x:c r="M15" s="11"/>
    </x:row>
    <x:row r="16" spans="1:13" ht="21.949999999999999" customHeight="1">
      <x:c r="A16" s="59" t="s">
        <x:v>21</x:v>
      </x:c>
      <x:c r="B16" s="299" t="s">
        <x:v>51</x:v>
      </x:c>
      <x:c r="C16" s="79">
        <x:v>1</x:v>
      </x:c>
      <x:c r="D16" s="289" t="s">
        <x:v>81</x:v>
      </x:c>
      <x:c r="E16" s="290"/>
      <x:c r="F16" s="287">
        <x:v>18</x:v>
      </x:c>
      <x:c r="G16" s="287"/>
      <x:c r="H16" s="54"/>
      <x:c r="I16" s="58"/>
      <x:c r="J16" s="54" t="s">
        <x:v>105</x:v>
      </x:c>
      <x:c r="K16" s="58"/>
      <x:c r="L16" s="60"/>
      <x:c r="M16" s="11"/>
    </x:row>
    <x:row r="17" spans="1:13" ht="21.949999999999999" customHeight="1">
      <x:c r="A17" s="59" t="s">
        <x:v>56</x:v>
      </x:c>
      <x:c r="B17" s="300"/>
      <x:c r="C17" s="134">
        <x:f>SUM('1:8'!$C$16)</x:f>
        <x:v>47</x:v>
      </x:c>
      <x:c r="D17" s="281"/>
      <x:c r="E17" s="282"/>
      <x:c r="F17" s="288">
        <x:f>SUM('1:8'!$F$16)</x:f>
        <x:v>90</x:v>
      </x:c>
      <x:c r="G17" s="288"/>
      <x:c r="H17" s="54" t="s">
        <x:v>18</x:v>
      </x:c>
      <x:c r="I17" s="58"/>
      <x:c r="J17" s="54" t="s">
        <x:v>97</x:v>
      </x:c>
      <x:c r="K17" s="58"/>
      <x:c r="L17" s="60"/>
      <x:c r="M17" s="11"/>
    </x:row>
    <x:row r="18" spans="1:13" ht="21.949999999999999" customHeight="1">
      <x:c r="A18" s="59" t="s">
        <x:v>21</x:v>
      </x:c>
      <x:c r="B18" s="299" t="s">
        <x:v>107</x:v>
      </x:c>
      <x:c r="C18" s="79">
        <x:v>26</x:v>
      </x:c>
      <x:c r="D18" s="289" t="s">
        <x:v>29</x:v>
      </x:c>
      <x:c r="E18" s="290"/>
      <x:c r="F18" s="297">
        <x:v>7</x:v>
      </x:c>
      <x:c r="G18" s="29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56</x:v>
      </x:c>
      <x:c r="B19" s="300"/>
      <x:c r="C19" s="134">
        <x:f>SUM('1:8'!$C$18)</x:f>
        <x:v>271</x:v>
      </x:c>
      <x:c r="D19" s="281"/>
      <x:c r="E19" s="282"/>
      <x:c r="F19" s="288">
        <x:f>SUM('1:8'!$F$18)</x:f>
        <x:v>31</x:v>
      </x:c>
      <x:c r="G19" s="288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108</x:v>
      </x:c>
      <x:c r="E20" s="262"/>
      <x:c r="F20" s="287">
        <x:v>61</x:v>
      </x:c>
      <x:c r="G20" s="287"/>
      <x:c r="H20" s="58"/>
      <x:c r="J20" s="54"/>
      <x:c r="K20" s="58"/>
      <x:c r="L20" s="60"/>
      <x:c r="M20" s="11"/>
    </x:row>
    <x:row r="21" spans="4:13" ht="21.949999999999999" customHeight="1">
      <x:c r="D21" s="262" t="s">
        <x:v>128</x:v>
      </x:c>
      <x:c r="E21" s="262"/>
      <x:c r="F21" s="288">
        <x:f>SUM('1:8'!$F$20)</x:f>
        <x:v>463</x:v>
      </x:c>
      <x:c r="G21" s="288"/>
      <x:c r="H21" s="58"/>
      <x:c r="J21" s="54"/>
      <x:c r="K21" s="58"/>
      <x:c r="L21" s="60"/>
      <x:c r="M21" s="11"/>
    </x:row>
    <x:row r="22" spans="1:13" ht="32.100000000000001" customHeight="1">
      <x:c r="A22" s="261" t="s">
        <x:v>121</x:v>
      </x:c>
      <x:c r="B22" s="262"/>
      <x:c r="C22" s="286"/>
      <x:c r="D22" s="286"/>
      <x:c r="E22" s="286"/>
      <x:c r="F22" s="286"/>
      <x:c r="G22" s="286"/>
      <x:c r="H22" s="54"/>
      <x:c r="J22" s="54"/>
      <x:c r="K22" s="58"/>
      <x:c r="L22" s="60"/>
      <x:c r="M22" s="11"/>
    </x:row>
    <x:row r="23" spans="1:15" ht="34.149999999999999" customHeight="1">
      <x:c r="A23" s="261" t="s">
        <x:v>59</x:v>
      </x:c>
      <x:c r="B23" s="262"/>
      <x:c r="C23" s="317"/>
      <x:c r="D23" s="318"/>
      <x:c r="E23" s="318"/>
      <x:c r="F23" s="318"/>
      <x:c r="G23" s="318"/>
      <x:c r="H23" s="107" t="s">
        <x:v>95</x:v>
      </x:c>
      <x:c r="I23" s="108">
        <x:f>SUM(I4:I22)</x:f>
        <x:v>1603178</x:v>
      </x:c>
      <x:c r="J23" s="61" t="s">
        <x:v>70</x:v>
      </x:c>
      <x:c r="K23" s="62">
        <x:f>SUM(K4:K22)</x:f>
        <x:v>0</x:v>
      </x:c>
      <x:c r="M23" s="88" t="s">
        <x:v>102</x:v>
      </x:c>
      <x:c r="N23" s="284">
        <x:f>C5+C6</x:f>
        <x:v>704600</x:v>
      </x:c>
      <x:c r="O23" s="285"/>
    </x:row>
    <x:row r="24" spans="1:11" ht="34.149999999999999" customHeight="1">
      <x:c r="A24" s="261" t="s">
        <x:v>152</x:v>
      </x:c>
      <x:c r="B24" s="262"/>
      <x:c r="C24" s="262" t="s">
        <x:v>86</x:v>
      </x:c>
      <x:c r="D24" s="262"/>
      <x:c r="E24" s="262" t="s">
        <x:v>62</x:v>
      </x:c>
      <x:c r="F24" s="262"/>
      <x:c r="G24" s="262"/>
      <x:c r="H24" s="107" t="s">
        <x:v>152</x:v>
      </x:c>
      <x:c r="I24" s="109">
        <x:f>I23/A25</x:f>
        <x:v>0.33692243027972174</x:v>
      </x:c>
      <x:c r="J24" s="61" t="s">
        <x:v>152</x:v>
      </x:c>
      <x:c r="K24" s="63">
        <x:f>K23/A25</x:f>
        <x:v>0</x:v>
      </x:c>
    </x:row>
    <x:row r="25" spans="1:11" ht="34.149999999999999" customHeight="1">
      <x:c r="A25" s="313">
        <x:f>C2</x:f>
        <x:v>4758300</x:v>
      </x:c>
      <x:c r="B25" s="277"/>
      <x:c r="C25" s="277">
        <x:f>E25/I1</x:f>
        <x:v>4311025</x:v>
      </x:c>
      <x:c r="D25" s="277"/>
      <x:c r="E25" s="277">
        <x:f>SUM('1:8'!$A$25)</x:f>
        <x:v>34488200</x:v>
      </x:c>
      <x:c r="F25" s="277"/>
      <x:c r="G25" s="277"/>
      <x:c r="H25" s="107" t="s">
        <x:v>156</x:v>
      </x:c>
      <x:c r="I25" s="108">
        <x:f>SUM('1:8'!$I$23)</x:f>
        <x:v>11069550</x:v>
      </x:c>
      <x:c r="J25" s="61" t="s">
        <x:v>156</x:v>
      </x:c>
      <x:c r="K25" s="62">
        <x:f>SUM('1:8'!$K$23)</x:f>
        <x:v>580000</x:v>
      </x:c>
    </x:row>
    <x:row r="26" spans="1:11" ht="34.149999999999999" customHeight="1">
      <x:c r="A26" s="261" t="s">
        <x:v>68</x:v>
      </x:c>
      <x:c r="B26" s="262"/>
      <x:c r="C26" s="262"/>
      <x:c r="D26" s="262"/>
      <x:c r="E26" s="263"/>
      <x:c r="F26" s="263"/>
      <x:c r="G26" s="263"/>
      <x:c r="H26" s="107" t="s">
        <x:v>67</x:v>
      </x:c>
      <x:c r="I26" s="110">
        <x:f>I25/$E$25</x:f>
        <x:v>0.32096630151762051</x:v>
      </x:c>
      <x:c r="J26" s="64" t="s">
        <x:v>67</x:v>
      </x:c>
      <x:c r="K26" s="65">
        <x:f>K25/$E$25</x:f>
        <x:v>0.01681734622276605</x:v>
      </x:c>
    </x:row>
    <x:row r="27" spans="1:13" ht="30.949999999999999" customHeight="1">
      <x:c r="A27" s="319" t="s">
        <x:v>113</x:v>
      </x:c>
      <x:c r="B27" s="54" t="s">
        <x:v>17</x:v>
      </x:c>
      <x:c r="C27" s="277">
        <x:f>3300000/31</x:f>
        <x:v>106451.6129032258</x:v>
      </x:c>
      <x:c r="D27" s="277"/>
      <x:c r="E27" s="55" t="s">
        <x:v>12</x:v>
      </x:c>
      <x:c r="F27" s="263">
        <x:f>13000*5.25</x:f>
        <x:v>68250</x:v>
      </x:c>
      <x:c r="G27" s="263"/>
      <x:c r="H27" s="111" t="s">
        <x:v>69</x:v>
      </x:c>
      <x:c r="I27" s="112">
        <x:f>SUM(C27:D34,F27:G32)</x:f>
        <x:v>630491.93548387091</x:v>
      </x:c>
      <x:c r="M27" s="66"/>
    </x:row>
    <x:row r="28" spans="1:13" ht="30.949999999999999" customHeight="1">
      <x:c r="A28" s="320"/>
      <x:c r="B28" s="54" t="s">
        <x:v>161</x:v>
      </x:c>
      <x:c r="C28" s="314">
        <x:f>3300000/31</x:f>
        <x:v>106451.6129032258</x:v>
      </x:c>
      <x:c r="D28" s="315"/>
      <x:c r="E28" s="148" t="s">
        <x:v>37</x:v>
      </x:c>
      <x:c r="F28" s="316">
        <x:f>13000*9.5</x:f>
        <x:v>123500</x:v>
      </x:c>
      <x:c r="G28" s="316"/>
      <x:c r="H28" s="111" t="s">
        <x:v>152</x:v>
      </x:c>
      <x:c r="I28" s="113">
        <x:f>I27/$A$25</x:f>
        <x:v>0.13250361168565894</x:v>
      </x:c>
      <x:c r="M28" s="66"/>
    </x:row>
    <x:row r="29" spans="1:13" ht="30.949999999999999" customHeight="1">
      <x:c r="A29" s="320"/>
      <x:c r="B29" s="54" t="s">
        <x:v>38</x:v>
      </x:c>
      <x:c r="C29" s="277">
        <x:f>3300000/31</x:f>
        <x:v>106451.6129032258</x:v>
      </x:c>
      <x:c r="D29" s="277"/>
      <x:c r="E29" s="54" t="s">
        <x:v>147</x:v>
      </x:c>
      <x:c r="F29" s="263"/>
      <x:c r="G29" s="263"/>
      <x:c r="H29" s="111" t="s">
        <x:v>156</x:v>
      </x:c>
      <x:c r="I29" s="112">
        <x:f>SUM('1:8'!$I$27)</x:f>
        <x:v>4302185.4838709673</x:v>
      </x:c>
      <x:c r="M29" s="66" t="s">
        <x:v>49</x:v>
      </x:c>
    </x:row>
    <x:row r="30" spans="1:13" ht="30.949999999999999" customHeight="1">
      <x:c r="A30" s="320"/>
      <x:c r="B30" s="55" t="s">
        <x:v>28</x:v>
      </x:c>
      <x:c r="C30" s="277">
        <x:f>1500000/31</x:f>
        <x:v>48387.096774193546</x:v>
      </x:c>
      <x:c r="D30" s="277"/>
      <x:c r="E30" s="55"/>
      <x:c r="F30" s="311"/>
      <x:c r="G30" s="312"/>
      <x:c r="H30" s="111" t="s">
        <x:v>67</x:v>
      </x:c>
      <x:c r="I30" s="113">
        <x:f>I29/$I$27</x:f>
        <x:v>6.8235376881851089</x:v>
      </x:c>
      <x:c r="M30" s="66"/>
    </x:row>
    <x:row r="31" spans="1:7" customHeight="1">
      <x:c r="A31" s="320"/>
      <x:c r="B31" s="147"/>
      <x:c r="C31" s="309"/>
      <x:c r="D31" s="310"/>
      <x:c r="E31" s="55" t="s">
        <x:v>10</x:v>
      </x:c>
      <x:c r="F31" s="311">
        <x:v>71000</x:v>
      </x:c>
      <x:c r="G31" s="312"/>
    </x:row>
    <x:row r="32" spans="1:7" customHeight="1">
      <x:c r="A32" s="320"/>
      <x:c r="B32" s="147"/>
      <x:c r="C32" s="309"/>
      <x:c r="D32" s="310"/>
      <x:c r="E32" s="55" t="s">
        <x:v>79</x:v>
      </x:c>
      <x:c r="F32" s="311"/>
      <x:c r="G32" s="312"/>
    </x:row>
    <x:row r="33" spans="1:4" customHeight="1">
      <x:c r="A33" s="320"/>
      <x:c r="B33" s="54"/>
      <x:c r="C33" s="309"/>
      <x:c r="D33" s="310"/>
    </x:row>
    <x:row r="34" spans="1:4" customHeight="1">
      <x:c r="A34" s="321"/>
      <x:c r="B34" s="54"/>
      <x:c r="C34" s="311"/>
      <x:c r="D34" s="312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D14:E15"/>
    <x:mergeCell ref="B18:B19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1:O34"/>
  <x:sheetViews>
    <x:sheetView tabSelected="1" topLeftCell="A1" zoomScale="85" zoomScaleNormal="85" zoomScaleSheetLayoutView="75" workbookViewId="0">
      <x:selection activeCell="F28" activeCellId="0" sqref="F28:G28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122</x:v>
      </x:c>
      <x:c r="D1" s="68"/>
      <x:c r="E1" s="68">
        <x:v>1</x:v>
      </x:c>
      <x:c r="F1" s="68">
        <x:v>9</x:v>
      </x:c>
      <x:c r="G1" s="68" t="s">
        <x:v>30</x:v>
      </x:c>
      <x:c r="H1" s="52" t="s">
        <x:v>96</x:v>
      </x:c>
      <x:c r="I1" s="52">
        <x:f>F1-K1</x:f>
        <x:v>9</x:v>
      </x:c>
      <x:c r="J1" s="52" t="s">
        <x:v>89</x:v>
      </x:c>
      <x:c r="K1" s="52"/>
    </x:row>
    <x:row r="2" spans="1:11" ht="20.100000000000001" customHeight="1">
      <x:c r="A2" s="272" t="s">
        <x:v>50</x:v>
      </x:c>
      <x:c r="B2" s="273"/>
      <x:c r="C2" s="276">
        <x:f>SUM(C4:D7)</x:f>
        <x:v>4970400</x:v>
      </x:c>
      <x:c r="D2" s="276"/>
      <x:c r="E2" s="279" t="s">
        <x:v>20</x:v>
      </x:c>
      <x:c r="F2" s="280"/>
      <x:c r="G2" s="268">
        <x:v>148200</x:v>
      </x:c>
      <x:c r="H2" s="266" t="s">
        <x:v>54</x:v>
      </x:c>
      <x:c r="I2" s="267"/>
      <x:c r="J2" s="264" t="s">
        <x:v>143</x:v>
      </x:c>
      <x:c r="K2" s="265"/>
    </x:row>
    <x:row r="3" spans="1:11" ht="20.100000000000001" customHeight="1">
      <x:c r="A3" s="274"/>
      <x:c r="B3" s="275"/>
      <x:c r="C3" s="277"/>
      <x:c r="D3" s="277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1" ht="30.949999999999999" customHeight="1">
      <x:c r="A4" s="270" t="s">
        <x:v>41</x:v>
      </x:c>
      <x:c r="B4" s="271"/>
      <x:c r="C4" s="263">
        <x:v>4185600</x:v>
      </x:c>
      <x:c r="D4" s="263"/>
      <x:c r="E4" s="278" t="s">
        <x:v>160</x:v>
      </x:c>
      <x:c r="F4" s="278"/>
      <x:c r="G4" s="133">
        <x:f>INT(C4*0.0275)</x:f>
        <x:v>115104</x:v>
      </x:c>
      <x:c r="H4" s="54" t="s">
        <x:v>19</x:v>
      </x:c>
      <x:c r="I4" s="124">
        <x:f>433132+343992</x:f>
        <x:v>777124</x:v>
      </x:c>
      <x:c r="J4" s="80" t="s">
        <x:v>24</x:v>
      </x:c>
      <x:c r="K4" s="58"/>
    </x:row>
    <x:row r="5" spans="1:11" ht="30.949999999999999" customHeight="1">
      <x:c r="A5" s="270" t="s">
        <x:v>52</x:v>
      </x:c>
      <x:c r="B5" s="271"/>
      <x:c r="C5" s="263">
        <x:v>784800</x:v>
      </x:c>
      <x:c r="D5" s="263"/>
      <x:c r="E5" s="262" t="s">
        <x:v>136</x:v>
      </x:c>
      <x:c r="F5" s="262"/>
      <x:c r="G5" s="133">
        <x:f>INT(C5*0.01)</x:f>
        <x:v>7848</x:v>
      </x:c>
      <x:c r="H5" s="54" t="s">
        <x:v>54</x:v>
      </x:c>
      <x:c r="I5" s="124">
        <x:f>46900+7300+12050+18350</x:f>
        <x:v>84600</x:v>
      </x:c>
      <x:c r="J5" s="81"/>
      <x:c r="K5" s="58"/>
    </x:row>
    <x:row r="6" spans="1:11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830000</x:v>
      </x:c>
      <x:c r="H6" s="54"/>
      <x:c r="I6" s="124"/>
      <x:c r="J6" s="81" t="s">
        <x:v>99</x:v>
      </x:c>
      <x:c r="K6" s="58"/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4">
        <x:v>456700</x:v>
      </x:c>
      <x:c r="J7" s="81" t="s">
        <x:v>106</x:v>
      </x:c>
      <x:c r="K7" s="58"/>
    </x:row>
    <x:row r="8" spans="1:11" ht="21.949999999999999" customHeight="1">
      <x:c r="A8" s="261" t="s">
        <x:v>98</x:v>
      </x:c>
      <x:c r="B8" s="262"/>
      <x:c r="C8" s="263">
        <x:v>103000</x:v>
      </x:c>
      <x:c r="D8" s="263"/>
      <x:c r="E8" s="289" t="s">
        <x:v>114</x:v>
      </x:c>
      <x:c r="F8" s="290"/>
      <x:c r="G8" s="295">
        <x:f>C5+G2-G6-C22</x:f>
        <x:v>103000</x:v>
      </x:c>
      <x:c r="H8" s="54" t="s">
        <x:v>14</x:v>
      </x:c>
      <x:c r="I8" s="124">
        <x:v>65000</x:v>
      </x:c>
      <x:c r="J8" s="81"/>
      <x:c r="K8" s="58"/>
    </x:row>
    <x:row r="9" spans="1:11" ht="21.949999999999999" customHeight="1">
      <x:c r="A9" s="261"/>
      <x:c r="B9" s="262"/>
      <x:c r="C9" s="263"/>
      <x:c r="D9" s="263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30.949999999999999" customHeight="1">
      <x:c r="A10" s="261" t="s">
        <x:v>120</x:v>
      </x:c>
      <x:c r="B10" s="262"/>
      <x:c r="C10" s="263"/>
      <x:c r="D10" s="263"/>
      <x:c r="E10" s="262" t="s">
        <x:v>101</x:v>
      </x:c>
      <x:c r="F10" s="262"/>
      <x:c r="G10" s="55"/>
      <x:c r="H10" s="54"/>
      <x:c r="I10" s="124"/>
      <x:c r="J10" s="54" t="s">
        <x:v>23</x:v>
      </x:c>
      <x:c r="K10" s="58"/>
    </x:row>
    <x:row r="11" spans="1:11" ht="33" customHeight="1">
      <x:c r="A11" s="261" t="s">
        <x:v>115</x:v>
      </x:c>
      <x:c r="B11" s="262"/>
      <x:c r="C11" s="301"/>
      <x:c r="D11" s="301"/>
      <x:c r="E11" s="301"/>
      <x:c r="F11" s="301"/>
      <x:c r="G11" s="301"/>
      <x:c r="H11" s="54" t="s">
        <x:v>151</x:v>
      </x:c>
      <x:c r="I11" s="58"/>
      <x:c r="J11" s="54" t="s">
        <x:v>125</x:v>
      </x:c>
      <x:c r="K11" s="135"/>
    </x:row>
    <x:row r="12" spans="1:13" ht="21.949999999999999" customHeight="1">
      <x:c r="A12" s="59" t="s">
        <x:v>21</x:v>
      </x:c>
      <x:c r="B12" s="299" t="s">
        <x:v>8</x:v>
      </x:c>
      <x:c r="C12" s="79">
        <x:v>10</x:v>
      </x:c>
      <x:c r="D12" s="289" t="s">
        <x:v>83</x:v>
      </x:c>
      <x:c r="E12" s="290"/>
      <x:c r="F12" s="293">
        <x:v>17</x:v>
      </x:c>
      <x:c r="G12" s="294"/>
      <x:c r="H12" s="54" t="s">
        <x:v>58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56</x:v>
      </x:c>
      <x:c r="B13" s="300"/>
      <x:c r="C13" s="134">
        <x:f>SUM('1:9'!$C$12)</x:f>
        <x:v>168</x:v>
      </x:c>
      <x:c r="D13" s="281"/>
      <x:c r="E13" s="282"/>
      <x:c r="F13" s="291">
        <x:f>SUM('1:9'!$F$12)</x:f>
        <x:v>211</x:v>
      </x:c>
      <x:c r="G13" s="292"/>
      <x:c r="H13" s="54" t="s">
        <x:v>92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21</x:v>
      </x:c>
      <x:c r="B14" s="299" t="s">
        <x:v>84</x:v>
      </x:c>
      <x:c r="C14" s="79">
        <x:v>18</x:v>
      </x:c>
      <x:c r="D14" s="289" t="s">
        <x:v>73</x:v>
      </x:c>
      <x:c r="E14" s="290"/>
      <x:c r="F14" s="293">
        <x:v>17</x:v>
      </x:c>
      <x:c r="G14" s="294"/>
      <x:c r="H14" s="54" t="s">
        <x:v>61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56</x:v>
      </x:c>
      <x:c r="B15" s="300"/>
      <x:c r="C15" s="134">
        <x:f>SUM('1:9'!$C$14)</x:f>
        <x:v>220</x:v>
      </x:c>
      <x:c r="D15" s="281"/>
      <x:c r="E15" s="282"/>
      <x:c r="F15" s="291">
        <x:f>SUM('1:9'!$F$14)</x:f>
        <x:v>122</x:v>
      </x:c>
      <x:c r="G15" s="292"/>
      <x:c r="H15" s="54" t="s">
        <x:v>64</x:v>
      </x:c>
      <x:c r="I15" s="58">
        <x:v>120500</x:v>
      </x:c>
      <x:c r="J15" s="54" t="s">
        <x:v>143</x:v>
      </x:c>
      <x:c r="K15" s="58"/>
      <x:c r="L15" s="60"/>
      <x:c r="M15" s="11"/>
    </x:row>
    <x:row r="16" spans="1:13" ht="21.949999999999999" customHeight="1">
      <x:c r="A16" s="59" t="s">
        <x:v>21</x:v>
      </x:c>
      <x:c r="B16" s="299" t="s">
        <x:v>51</x:v>
      </x:c>
      <x:c r="C16" s="79">
        <x:v>2</x:v>
      </x:c>
      <x:c r="D16" s="289" t="s">
        <x:v>81</x:v>
      </x:c>
      <x:c r="E16" s="290"/>
      <x:c r="F16" s="287">
        <x:v>15</x:v>
      </x:c>
      <x:c r="G16" s="287"/>
      <x:c r="H16" s="54"/>
      <x:c r="I16" s="58"/>
      <x:c r="J16" s="54" t="s">
        <x:v>105</x:v>
      </x:c>
      <x:c r="K16" s="58">
        <x:f>344940+50900+2430</x:f>
        <x:v>398270</x:v>
      </x:c>
      <x:c r="L16" s="60"/>
      <x:c r="M16" s="11"/>
    </x:row>
    <x:row r="17" spans="1:13" ht="21.949999999999999" customHeight="1">
      <x:c r="A17" s="59" t="s">
        <x:v>56</x:v>
      </x:c>
      <x:c r="B17" s="300"/>
      <x:c r="C17" s="134">
        <x:f>SUM('1:9'!$C$16)</x:f>
        <x:v>49</x:v>
      </x:c>
      <x:c r="D17" s="281"/>
      <x:c r="E17" s="282"/>
      <x:c r="F17" s="288">
        <x:f>SUM('1:9'!$F$16)</x:f>
        <x:v>105</x:v>
      </x:c>
      <x:c r="G17" s="288"/>
      <x:c r="H17" s="54" t="s">
        <x:v>18</x:v>
      </x:c>
      <x:c r="I17" s="58"/>
      <x:c r="J17" s="54" t="s">
        <x:v>97</x:v>
      </x:c>
      <x:c r="K17" s="58"/>
      <x:c r="L17" s="60"/>
      <x:c r="M17" s="11"/>
    </x:row>
    <x:row r="18" spans="1:13" ht="21.949999999999999" customHeight="1">
      <x:c r="A18" s="59" t="s">
        <x:v>21</x:v>
      </x:c>
      <x:c r="B18" s="299" t="s">
        <x:v>107</x:v>
      </x:c>
      <x:c r="C18" s="79"/>
      <x:c r="D18" s="289" t="s">
        <x:v>29</x:v>
      </x:c>
      <x:c r="E18" s="290"/>
      <x:c r="F18" s="297">
        <x:v>4</x:v>
      </x:c>
      <x:c r="G18" s="29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56</x:v>
      </x:c>
      <x:c r="B19" s="300"/>
      <x:c r="C19" s="134">
        <x:f>SUM('1:9'!$C$18)</x:f>
        <x:v>271</x:v>
      </x:c>
      <x:c r="D19" s="281"/>
      <x:c r="E19" s="282"/>
      <x:c r="F19" s="288">
        <x:f>SUM('1:9'!$F$18)</x:f>
        <x:v>35</x:v>
      </x:c>
      <x:c r="G19" s="288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108</x:v>
      </x:c>
      <x:c r="E20" s="262"/>
      <x:c r="F20" s="287">
        <x:v>64</x:v>
      </x:c>
      <x:c r="G20" s="287"/>
      <x:c r="H20" s="58"/>
      <x:c r="J20" s="54"/>
      <x:c r="K20" s="58"/>
      <x:c r="L20" s="60"/>
      <x:c r="M20" s="11"/>
    </x:row>
    <x:row r="21" spans="4:13" ht="21.949999999999999" customHeight="1">
      <x:c r="D21" s="262" t="s">
        <x:v>128</x:v>
      </x:c>
      <x:c r="E21" s="262"/>
      <x:c r="F21" s="288">
        <x:f>SUM('1:9'!$F$20)</x:f>
        <x:v>527</x:v>
      </x:c>
      <x:c r="G21" s="288"/>
      <x:c r="H21" s="58"/>
      <x:c r="J21" s="54"/>
      <x:c r="K21" s="58"/>
      <x:c r="L21" s="60"/>
      <x:c r="M21" s="11"/>
    </x:row>
    <x:row r="22" spans="1:13" ht="32.100000000000001" customHeight="1">
      <x:c r="A22" s="261" t="s">
        <x:v>121</x:v>
      </x:c>
      <x:c r="B22" s="262"/>
      <x:c r="C22" s="286"/>
      <x:c r="D22" s="286"/>
      <x:c r="E22" s="286"/>
      <x:c r="F22" s="286"/>
      <x:c r="G22" s="286"/>
      <x:c r="H22" s="54"/>
      <x:c r="J22" s="54"/>
      <x:c r="K22" s="58"/>
      <x:c r="L22" s="60"/>
      <x:c r="M22" s="11"/>
    </x:row>
    <x:row r="23" spans="1:15" ht="34.149999999999999" customHeight="1">
      <x:c r="A23" s="261" t="s">
        <x:v>59</x:v>
      </x:c>
      <x:c r="B23" s="262"/>
      <x:c r="C23" s="317"/>
      <x:c r="D23" s="318"/>
      <x:c r="E23" s="318"/>
      <x:c r="F23" s="318"/>
      <x:c r="G23" s="318"/>
      <x:c r="H23" s="107" t="s">
        <x:v>95</x:v>
      </x:c>
      <x:c r="I23" s="108">
        <x:f>SUM(I4:I22)</x:f>
        <x:v>1503924</x:v>
      </x:c>
      <x:c r="J23" s="61" t="s">
        <x:v>70</x:v>
      </x:c>
      <x:c r="K23" s="62">
        <x:f>SUM(K4:K22)</x:f>
        <x:v>398270</x:v>
      </x:c>
      <x:c r="M23" s="88" t="s">
        <x:v>102</x:v>
      </x:c>
      <x:c r="N23" s="284">
        <x:f>C5+C6</x:f>
        <x:v>784800</x:v>
      </x:c>
      <x:c r="O23" s="285"/>
    </x:row>
    <x:row r="24" spans="1:11" ht="34.149999999999999" customHeight="1">
      <x:c r="A24" s="261" t="s">
        <x:v>152</x:v>
      </x:c>
      <x:c r="B24" s="262"/>
      <x:c r="C24" s="262" t="s">
        <x:v>86</x:v>
      </x:c>
      <x:c r="D24" s="262"/>
      <x:c r="E24" s="262" t="s">
        <x:v>62</x:v>
      </x:c>
      <x:c r="F24" s="262"/>
      <x:c r="G24" s="262"/>
      <x:c r="H24" s="107" t="s">
        <x:v>152</x:v>
      </x:c>
      <x:c r="I24" s="109">
        <x:f>I23/A25</x:f>
        <x:v>0.30257605021728634</x:v>
      </x:c>
      <x:c r="J24" s="61" t="s">
        <x:v>152</x:v>
      </x:c>
      <x:c r="K24" s="63">
        <x:f>K23/A25</x:f>
        <x:v>0.080128359890552073</x:v>
      </x:c>
    </x:row>
    <x:row r="25" spans="1:11" ht="34.149999999999999" customHeight="1">
      <x:c r="A25" s="313">
        <x:f>C2</x:f>
        <x:v>4970400</x:v>
      </x:c>
      <x:c r="B25" s="277"/>
      <x:c r="C25" s="277">
        <x:f>E25/I1</x:f>
        <x:v>4384288.888888889</x:v>
      </x:c>
      <x:c r="D25" s="277"/>
      <x:c r="E25" s="277">
        <x:f>SUM('1:9'!$A$25)</x:f>
        <x:v>39458600</x:v>
      </x:c>
      <x:c r="F25" s="277"/>
      <x:c r="G25" s="277"/>
      <x:c r="H25" s="107" t="s">
        <x:v>156</x:v>
      </x:c>
      <x:c r="I25" s="108">
        <x:f>SUM('1:9'!$I$23)</x:f>
        <x:v>12573474</x:v>
      </x:c>
      <x:c r="J25" s="61" t="s">
        <x:v>156</x:v>
      </x:c>
      <x:c r="K25" s="62">
        <x:f>SUM('1:9'!$K$23)</x:f>
        <x:v>978270</x:v>
      </x:c>
    </x:row>
    <x:row r="26" spans="1:11" ht="34.149999999999999" customHeight="1">
      <x:c r="A26" s="261" t="s">
        <x:v>68</x:v>
      </x:c>
      <x:c r="B26" s="262"/>
      <x:c r="C26" s="262"/>
      <x:c r="D26" s="262"/>
      <x:c r="E26" s="263"/>
      <x:c r="F26" s="263"/>
      <x:c r="G26" s="263"/>
      <x:c r="H26" s="107" t="s">
        <x:v>67</x:v>
      </x:c>
      <x:c r="I26" s="110">
        <x:f>I25/$E$25</x:f>
        <x:v>0.31864977470057226</x:v>
      </x:c>
      <x:c r="J26" s="64" t="s">
        <x:v>67</x:v>
      </x:c>
      <x:c r="K26" s="65">
        <x:f>K25/$E$25</x:f>
        <x:v>0.02479231396957824</x:v>
      </x:c>
    </x:row>
    <x:row r="27" spans="1:13" ht="30.949999999999999" customHeight="1">
      <x:c r="A27" s="319" t="s">
        <x:v>113</x:v>
      </x:c>
      <x:c r="B27" s="54" t="s">
        <x:v>17</x:v>
      </x:c>
      <x:c r="C27" s="277">
        <x:f>3300000/31</x:f>
        <x:v>106451.6129032258</x:v>
      </x:c>
      <x:c r="D27" s="277"/>
      <x:c r="E27" s="55" t="s">
        <x:v>12</x:v>
      </x:c>
      <x:c r="F27" s="263">
        <x:f>13000*5</x:f>
        <x:v>65000</x:v>
      </x:c>
      <x:c r="G27" s="263"/>
      <x:c r="H27" s="111" t="s">
        <x:v>69</x:v>
      </x:c>
      <x:c r="I27" s="112">
        <x:f>SUM(C27:D34,F27:G32)</x:f>
        <x:v>633741.93548387091</x:v>
      </x:c>
      <x:c r="M27" s="66"/>
    </x:row>
    <x:row r="28" spans="1:13" ht="30.949999999999999" customHeight="1">
      <x:c r="A28" s="320"/>
      <x:c r="B28" s="54" t="s">
        <x:v>161</x:v>
      </x:c>
      <x:c r="C28" s="314">
        <x:f>3300000/31</x:f>
        <x:v>106451.6129032258</x:v>
      </x:c>
      <x:c r="D28" s="315"/>
      <x:c r="E28" s="148" t="s">
        <x:v>37</x:v>
      </x:c>
      <x:c r="F28" s="316">
        <x:f>13000*10</x:f>
        <x:v>130000</x:v>
      </x:c>
      <x:c r="G28" s="316"/>
      <x:c r="H28" s="111" t="s">
        <x:v>152</x:v>
      </x:c>
      <x:c r="I28" s="113">
        <x:f>I27/$A$25</x:f>
        <x:v>0.12750320607674853</x:v>
      </x:c>
      <x:c r="M28" s="66"/>
    </x:row>
    <x:row r="29" spans="1:13" ht="30.949999999999999" customHeight="1">
      <x:c r="A29" s="320"/>
      <x:c r="B29" s="54" t="s">
        <x:v>38</x:v>
      </x:c>
      <x:c r="C29" s="277">
        <x:f>3300000/31</x:f>
        <x:v>106451.6129032258</x:v>
      </x:c>
      <x:c r="D29" s="277"/>
      <x:c r="E29" s="54" t="s">
        <x:v>147</x:v>
      </x:c>
      <x:c r="F29" s="263"/>
      <x:c r="G29" s="263"/>
      <x:c r="H29" s="111" t="s">
        <x:v>156</x:v>
      </x:c>
      <x:c r="I29" s="112">
        <x:f>SUM('1:9'!$I$27)</x:f>
        <x:v>4935927.4193548383</x:v>
      </x:c>
      <x:c r="M29" s="66"/>
    </x:row>
    <x:row r="30" spans="1:13" ht="30.949999999999999" customHeight="1">
      <x:c r="A30" s="320"/>
      <x:c r="B30" s="55" t="s">
        <x:v>28</x:v>
      </x:c>
      <x:c r="C30" s="277">
        <x:f>1500000/31</x:f>
        <x:v>48387.096774193546</x:v>
      </x:c>
      <x:c r="D30" s="277"/>
      <x:c r="E30" s="55"/>
      <x:c r="F30" s="311"/>
      <x:c r="G30" s="312"/>
      <x:c r="H30" s="111" t="s">
        <x:v>67</x:v>
      </x:c>
      <x:c r="I30" s="113">
        <x:f>I29/$I$27</x:f>
        <x:v>7.7885447419322</x:v>
      </x:c>
      <x:c r="M30" s="66"/>
    </x:row>
    <x:row r="31" spans="1:7" customHeight="1">
      <x:c r="A31" s="320"/>
      <x:c r="B31" s="147"/>
      <x:c r="C31" s="309"/>
      <x:c r="D31" s="310"/>
      <x:c r="E31" s="55" t="s">
        <x:v>10</x:v>
      </x:c>
      <x:c r="F31" s="311"/>
      <x:c r="G31" s="312"/>
    </x:row>
    <x:row r="32" spans="1:7" customHeight="1">
      <x:c r="A32" s="320"/>
      <x:c r="B32" s="147"/>
      <x:c r="C32" s="309"/>
      <x:c r="D32" s="310"/>
      <x:c r="E32" s="55" t="s">
        <x:v>79</x:v>
      </x:c>
      <x:c r="F32" s="311">
        <x:v>71000</x:v>
      </x:c>
      <x:c r="G32" s="312"/>
    </x:row>
    <x:row r="33" spans="1:4" customHeight="1">
      <x:c r="A33" s="320"/>
      <x:c r="B33" s="54"/>
      <x:c r="C33" s="309"/>
      <x:c r="D33" s="310"/>
    </x:row>
    <x:row r="34" spans="1:4" customHeight="1">
      <x:c r="A34" s="321"/>
      <x:c r="B34" s="54"/>
      <x:c r="C34" s="311"/>
      <x:c r="D34" s="312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D14:E15"/>
    <x:mergeCell ref="B18:B19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/>
  <x:dimension ref="A1:O34"/>
  <x:sheetViews>
    <x:sheetView tabSelected="1" topLeftCell="A1" zoomScale="85" zoomScaleNormal="85" zoomScaleSheetLayoutView="75" workbookViewId="0">
      <x:selection activeCell="R20" activeCellId="0" sqref="R20:R20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9.375" style="53" bestFit="1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122</x:v>
      </x:c>
      <x:c r="D1" s="68"/>
      <x:c r="E1" s="68">
        <x:v>1</x:v>
      </x:c>
      <x:c r="F1" s="68">
        <x:v>10</x:v>
      </x:c>
      <x:c r="G1" s="68" t="s">
        <x:v>9</x:v>
      </x:c>
      <x:c r="H1" s="52" t="s">
        <x:v>96</x:v>
      </x:c>
      <x:c r="I1" s="52">
        <x:f>F1-K1</x:f>
        <x:v>10</x:v>
      </x:c>
      <x:c r="J1" s="52" t="s">
        <x:v>89</x:v>
      </x:c>
      <x:c r="K1" s="52"/>
    </x:row>
    <x:row r="2" spans="1:11" ht="20.100000000000001" customHeight="1">
      <x:c r="A2" s="272" t="s">
        <x:v>50</x:v>
      </x:c>
      <x:c r="B2" s="273"/>
      <x:c r="C2" s="276">
        <x:f>SUM(C4:D7)</x:f>
        <x:v>4283100</x:v>
      </x:c>
      <x:c r="D2" s="276"/>
      <x:c r="E2" s="279" t="s">
        <x:v>20</x:v>
      </x:c>
      <x:c r="F2" s="280"/>
      <x:c r="G2" s="268">
        <x:v>113000</x:v>
      </x:c>
      <x:c r="H2" s="266" t="s">
        <x:v>54</x:v>
      </x:c>
      <x:c r="I2" s="267"/>
      <x:c r="J2" s="264" t="s">
        <x:v>143</x:v>
      </x:c>
      <x:c r="K2" s="265"/>
    </x:row>
    <x:row r="3" spans="1:11" ht="20.100000000000001" customHeight="1">
      <x:c r="A3" s="274"/>
      <x:c r="B3" s="275"/>
      <x:c r="C3" s="277"/>
      <x:c r="D3" s="277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1" ht="30.949999999999999" customHeight="1">
      <x:c r="A4" s="270" t="s">
        <x:v>41</x:v>
      </x:c>
      <x:c r="B4" s="271"/>
      <x:c r="C4" s="263">
        <x:v>3629000</x:v>
      </x:c>
      <x:c r="D4" s="263"/>
      <x:c r="E4" s="278" t="s">
        <x:v>160</x:v>
      </x:c>
      <x:c r="F4" s="278"/>
      <x:c r="G4" s="133">
        <x:f>INT(C4*0.0275)</x:f>
        <x:v>99797</x:v>
      </x:c>
      <x:c r="H4" s="54" t="s">
        <x:v>19</x:v>
      </x:c>
      <x:c r="I4" s="124">
        <x:f>221556+219776+322092+687984+452000</x:f>
        <x:v>1903408</x:v>
      </x:c>
      <x:c r="J4" s="80" t="s">
        <x:v>24</x:v>
      </x:c>
      <x:c r="K4" s="58"/>
    </x:row>
    <x:row r="5" spans="1:11" ht="30.949999999999999" customHeight="1">
      <x:c r="A5" s="270" t="s">
        <x:v>52</x:v>
      </x:c>
      <x:c r="B5" s="271"/>
      <x:c r="C5" s="263">
        <x:v>654100</x:v>
      </x:c>
      <x:c r="D5" s="263"/>
      <x:c r="E5" s="262" t="s">
        <x:v>136</x:v>
      </x:c>
      <x:c r="F5" s="262"/>
      <x:c r="G5" s="133">
        <x:f>INT(C5*0.01)</x:f>
        <x:v>6541</x:v>
      </x:c>
      <x:c r="H5" s="54" t="s">
        <x:v>54</x:v>
      </x:c>
      <x:c r="I5" s="124">
        <x:f>30300+18350+45430+49440+29656+39380+100000+46900+30932</x:f>
        <x:v>390388</x:v>
      </x:c>
      <x:c r="J5" s="81"/>
      <x:c r="K5" s="58"/>
    </x:row>
    <x:row r="6" spans="1:11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720000</x:v>
      </x:c>
      <x:c r="H6" s="54"/>
      <x:c r="I6" s="124"/>
      <x:c r="J6" s="81" t="s">
        <x:v>99</x:v>
      </x:c>
      <x:c r="K6" s="58"/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4"/>
      <x:c r="J7" s="81" t="s">
        <x:v>106</x:v>
      </x:c>
      <x:c r="K7" s="58"/>
    </x:row>
    <x:row r="8" spans="1:11" ht="21.949999999999999" customHeight="1">
      <x:c r="A8" s="261" t="s">
        <x:v>98</x:v>
      </x:c>
      <x:c r="B8" s="262"/>
      <x:c r="C8" s="263">
        <x:v>44400</x:v>
      </x:c>
      <x:c r="D8" s="263"/>
      <x:c r="E8" s="289" t="s">
        <x:v>114</x:v>
      </x:c>
      <x:c r="F8" s="290"/>
      <x:c r="G8" s="295">
        <x:f>C5+G2-G6-C22</x:f>
        <x:v>47100</x:v>
      </x:c>
      <x:c r="H8" s="54" t="s">
        <x:v>14</x:v>
      </x:c>
      <x:c r="I8" s="124"/>
      <x:c r="J8" s="81"/>
      <x:c r="K8" s="58"/>
    </x:row>
    <x:row r="9" spans="1:11" ht="21.949999999999999" customHeight="1">
      <x:c r="A9" s="261"/>
      <x:c r="B9" s="262"/>
      <x:c r="C9" s="263"/>
      <x:c r="D9" s="263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30.949999999999999" customHeight="1">
      <x:c r="A10" s="261" t="s">
        <x:v>120</x:v>
      </x:c>
      <x:c r="B10" s="262"/>
      <x:c r="C10" s="263">
        <x:v>161700</x:v>
      </x:c>
      <x:c r="D10" s="263"/>
      <x:c r="E10" s="262" t="s">
        <x:v>101</x:v>
      </x:c>
      <x:c r="F10" s="262"/>
      <x:c r="G10" s="55"/>
      <x:c r="H10" s="54"/>
      <x:c r="I10" s="124"/>
      <x:c r="J10" s="54" t="s">
        <x:v>23</x:v>
      </x:c>
      <x:c r="K10" s="58"/>
    </x:row>
    <x:row r="11" spans="1:11" ht="33" customHeight="1">
      <x:c r="A11" s="261" t="s">
        <x:v>115</x:v>
      </x:c>
      <x:c r="B11" s="262"/>
      <x:c r="C11" s="301" t="s">
        <x:v>123</x:v>
      </x:c>
      <x:c r="D11" s="301"/>
      <x:c r="E11" s="301"/>
      <x:c r="F11" s="301"/>
      <x:c r="G11" s="301"/>
      <x:c r="H11" s="54" t="s">
        <x:v>151</x:v>
      </x:c>
      <x:c r="I11" s="58"/>
      <x:c r="J11" s="54" t="s">
        <x:v>125</x:v>
      </x:c>
      <x:c r="K11" s="135"/>
    </x:row>
    <x:row r="12" spans="1:13" ht="21.949999999999999" customHeight="1">
      <x:c r="A12" s="59" t="s">
        <x:v>21</x:v>
      </x:c>
      <x:c r="B12" s="299" t="s">
        <x:v>8</x:v>
      </x:c>
      <x:c r="C12" s="79">
        <x:v>19</x:v>
      </x:c>
      <x:c r="D12" s="289" t="s">
        <x:v>83</x:v>
      </x:c>
      <x:c r="E12" s="290"/>
      <x:c r="F12" s="293">
        <x:v>24</x:v>
      </x:c>
      <x:c r="G12" s="294"/>
      <x:c r="H12" s="54" t="s">
        <x:v>58</x:v>
      </x:c>
      <x:c r="J12" s="54"/>
      <x:c r="K12" s="58"/>
      <x:c r="L12" s="60"/>
      <x:c r="M12" s="11"/>
    </x:row>
    <x:row r="13" spans="1:13" ht="21.949999999999999" customHeight="1">
      <x:c r="A13" s="59" t="s">
        <x:v>56</x:v>
      </x:c>
      <x:c r="B13" s="300"/>
      <x:c r="C13" s="134">
        <x:f>SUM('1:10'!$C$12)</x:f>
        <x:v>187</x:v>
      </x:c>
      <x:c r="D13" s="281"/>
      <x:c r="E13" s="282"/>
      <x:c r="F13" s="291">
        <x:f>SUM('1:10'!$F$12)</x:f>
        <x:v>235</x:v>
      </x:c>
      <x:c r="G13" s="292"/>
      <x:c r="H13" s="54" t="s">
        <x:v>92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21</x:v>
      </x:c>
      <x:c r="B14" s="299" t="s">
        <x:v>84</x:v>
      </x:c>
      <x:c r="C14" s="79">
        <x:v>32</x:v>
      </x:c>
      <x:c r="D14" s="289" t="s">
        <x:v>73</x:v>
      </x:c>
      <x:c r="E14" s="290"/>
      <x:c r="F14" s="293">
        <x:v>9</x:v>
      </x:c>
      <x:c r="G14" s="294"/>
      <x:c r="H14" s="54" t="s">
        <x:v>61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56</x:v>
      </x:c>
      <x:c r="B15" s="300"/>
      <x:c r="C15" s="134">
        <x:f>SUM('1:10'!$C$14)</x:f>
        <x:v>252</x:v>
      </x:c>
      <x:c r="D15" s="281"/>
      <x:c r="E15" s="282"/>
      <x:c r="F15" s="291">
        <x:f>SUM('1:10'!$F$14)</x:f>
        <x:v>131</x:v>
      </x:c>
      <x:c r="G15" s="292"/>
      <x:c r="H15" s="54" t="s">
        <x:v>64</x:v>
      </x:c>
      <x:c r="I15" s="58">
        <x:f>4800+4900+11000+11000+34000+5000+5500+4200+13000+40500+7800+13000</x:f>
        <x:v>154700</x:v>
      </x:c>
      <x:c r="J15" s="54" t="s">
        <x:v>143</x:v>
      </x:c>
      <x:c r="K15" s="58"/>
      <x:c r="L15" s="60"/>
      <x:c r="M15" s="11"/>
    </x:row>
    <x:row r="16" spans="1:13" ht="21.949999999999999" customHeight="1">
      <x:c r="A16" s="59" t="s">
        <x:v>21</x:v>
      </x:c>
      <x:c r="B16" s="299" t="s">
        <x:v>51</x:v>
      </x:c>
      <x:c r="C16" s="79">
        <x:v>7</x:v>
      </x:c>
      <x:c r="D16" s="289" t="s">
        <x:v>81</x:v>
      </x:c>
      <x:c r="E16" s="290"/>
      <x:c r="F16" s="287">
        <x:v>15</x:v>
      </x:c>
      <x:c r="G16" s="287"/>
      <x:c r="H16" s="54"/>
      <x:c r="I16" s="58"/>
      <x:c r="J16" s="54" t="s">
        <x:v>105</x:v>
      </x:c>
      <x:c r="K16" s="58"/>
      <x:c r="L16" s="60"/>
      <x:c r="M16" s="11"/>
    </x:row>
    <x:row r="17" spans="1:13" ht="21.949999999999999" customHeight="1">
      <x:c r="A17" s="59" t="s">
        <x:v>56</x:v>
      </x:c>
      <x:c r="B17" s="300"/>
      <x:c r="C17" s="134">
        <x:f>SUM('1:10'!$C$16)</x:f>
        <x:v>56</x:v>
      </x:c>
      <x:c r="D17" s="281"/>
      <x:c r="E17" s="282"/>
      <x:c r="F17" s="288">
        <x:f>F19</x:f>
        <x:v>38</x:v>
      </x:c>
      <x:c r="G17" s="288"/>
      <x:c r="H17" s="54" t="s">
        <x:v>18</x:v>
      </x:c>
      <x:c r="I17" s="58"/>
      <x:c r="J17" s="54" t="s">
        <x:v>97</x:v>
      </x:c>
      <x:c r="K17" s="58"/>
      <x:c r="L17" s="60"/>
      <x:c r="M17" s="11"/>
    </x:row>
    <x:row r="18" spans="1:13" ht="21.949999999999999" customHeight="1">
      <x:c r="A18" s="59" t="s">
        <x:v>21</x:v>
      </x:c>
      <x:c r="B18" s="299" t="s">
        <x:v>107</x:v>
      </x:c>
      <x:c r="C18" s="79">
        <x:v>33</x:v>
      </x:c>
      <x:c r="D18" s="289" t="s">
        <x:v>29</x:v>
      </x:c>
      <x:c r="E18" s="290"/>
      <x:c r="F18" s="297">
        <x:v>3</x:v>
      </x:c>
      <x:c r="G18" s="29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56</x:v>
      </x:c>
      <x:c r="B19" s="300"/>
      <x:c r="C19" s="134">
        <x:f>SUM('1:10'!$C$18)</x:f>
        <x:v>304</x:v>
      </x:c>
      <x:c r="D19" s="281"/>
      <x:c r="E19" s="282"/>
      <x:c r="F19" s="288">
        <x:f>SUM('1:10'!$F$18)</x:f>
        <x:v>38</x:v>
      </x:c>
      <x:c r="G19" s="288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108</x:v>
      </x:c>
      <x:c r="E20" s="262"/>
      <x:c r="F20" s="287">
        <x:v>57</x:v>
      </x:c>
      <x:c r="G20" s="287"/>
      <x:c r="H20" s="58"/>
      <x:c r="J20" s="54"/>
      <x:c r="K20" s="58"/>
      <x:c r="L20" s="60"/>
      <x:c r="M20" s="11"/>
    </x:row>
    <x:row r="21" spans="4:13" ht="21.949999999999999" customHeight="1">
      <x:c r="D21" s="262" t="s">
        <x:v>128</x:v>
      </x:c>
      <x:c r="E21" s="262"/>
      <x:c r="F21" s="288">
        <x:f>SUM('1:10'!$F$20)</x:f>
        <x:v>584</x:v>
      </x:c>
      <x:c r="G21" s="288"/>
      <x:c r="H21" s="58"/>
      <x:c r="J21" s="54"/>
      <x:c r="K21" s="58"/>
      <x:c r="L21" s="60"/>
      <x:c r="M21" s="11"/>
    </x:row>
    <x:row r="22" spans="1:13" ht="32.100000000000001" customHeight="1">
      <x:c r="A22" s="261" t="s">
        <x:v>121</x:v>
      </x:c>
      <x:c r="B22" s="262"/>
      <x:c r="C22" s="286"/>
      <x:c r="D22" s="286"/>
      <x:c r="E22" s="286"/>
      <x:c r="F22" s="286"/>
      <x:c r="G22" s="286"/>
      <x:c r="H22" s="54"/>
      <x:c r="J22" s="54"/>
      <x:c r="K22" s="58"/>
      <x:c r="L22" s="60"/>
      <x:c r="M22" s="11"/>
    </x:row>
    <x:row r="23" spans="1:15" ht="34.149999999999999" customHeight="1">
      <x:c r="A23" s="261" t="s">
        <x:v>59</x:v>
      </x:c>
      <x:c r="B23" s="262"/>
      <x:c r="C23" s="317"/>
      <x:c r="D23" s="318"/>
      <x:c r="E23" s="318"/>
      <x:c r="F23" s="318"/>
      <x:c r="G23" s="318"/>
      <x:c r="H23" s="107" t="s">
        <x:v>95</x:v>
      </x:c>
      <x:c r="I23" s="108">
        <x:f>SUM(I4:I22)</x:f>
        <x:v>2448496</x:v>
      </x:c>
      <x:c r="J23" s="61" t="s">
        <x:v>70</x:v>
      </x:c>
      <x:c r="K23" s="62">
        <x:f>SUM(K4:K22)</x:f>
        <x:v>0</x:v>
      </x:c>
      <x:c r="M23" s="88" t="s">
        <x:v>102</x:v>
      </x:c>
      <x:c r="N23" s="284">
        <x:f>C5+C6</x:f>
        <x:v>654100</x:v>
      </x:c>
      <x:c r="O23" s="285"/>
    </x:row>
    <x:row r="24" spans="1:11" ht="34.149999999999999" customHeight="1">
      <x:c r="A24" s="261" t="s">
        <x:v>152</x:v>
      </x:c>
      <x:c r="B24" s="262"/>
      <x:c r="C24" s="262" t="s">
        <x:v>86</x:v>
      </x:c>
      <x:c r="D24" s="262"/>
      <x:c r="E24" s="262" t="s">
        <x:v>62</x:v>
      </x:c>
      <x:c r="F24" s="262"/>
      <x:c r="G24" s="262"/>
      <x:c r="H24" s="107" t="s">
        <x:v>152</x:v>
      </x:c>
      <x:c r="I24" s="109">
        <x:f>I23/A25</x:f>
        <x:v>0.57166444864700805</x:v>
      </x:c>
      <x:c r="J24" s="61" t="s">
        <x:v>152</x:v>
      </x:c>
      <x:c r="K24" s="63">
        <x:f>K23/A25</x:f>
        <x:v>0</x:v>
      </x:c>
    </x:row>
    <x:row r="25" spans="1:11" ht="34.149999999999999" customHeight="1">
      <x:c r="A25" s="313">
        <x:f>C2</x:f>
        <x:v>4283100</x:v>
      </x:c>
      <x:c r="B25" s="277"/>
      <x:c r="C25" s="277">
        <x:f>E25/I1</x:f>
        <x:v>4374170</x:v>
      </x:c>
      <x:c r="D25" s="277"/>
      <x:c r="E25" s="277">
        <x:f>SUM('1:10'!$A$25)</x:f>
        <x:v>43741700</x:v>
      </x:c>
      <x:c r="F25" s="277"/>
      <x:c r="G25" s="277"/>
      <x:c r="H25" s="107" t="s">
        <x:v>156</x:v>
      </x:c>
      <x:c r="I25" s="108">
        <x:f>SUM('1:10'!$I$23)</x:f>
        <x:v>15021970</x:v>
      </x:c>
      <x:c r="J25" s="61" t="s">
        <x:v>156</x:v>
      </x:c>
      <x:c r="K25" s="62">
        <x:f>SUM('1:10'!$K$21)</x:f>
        <x:v>0</x:v>
      </x:c>
    </x:row>
    <x:row r="26" spans="1:11" ht="34.149999999999999" customHeight="1">
      <x:c r="A26" s="261" t="s">
        <x:v>68</x:v>
      </x:c>
      <x:c r="B26" s="262"/>
      <x:c r="C26" s="262"/>
      <x:c r="D26" s="262"/>
      <x:c r="E26" s="263"/>
      <x:c r="F26" s="263"/>
      <x:c r="G26" s="263"/>
      <x:c r="H26" s="107" t="s">
        <x:v>67</x:v>
      </x:c>
      <x:c r="I26" s="110">
        <x:f>I25/$E$25</x:f>
        <x:v>0.34342446681313255</x:v>
      </x:c>
      <x:c r="J26" s="64" t="s">
        <x:v>67</x:v>
      </x:c>
      <x:c r="K26" s="65">
        <x:f>K25/$E$25</x:f>
        <x:v>0</x:v>
      </x:c>
    </x:row>
    <x:row r="27" spans="1:13" ht="30.949999999999999" customHeight="1">
      <x:c r="A27" s="319" t="s">
        <x:v>113</x:v>
      </x:c>
      <x:c r="B27" s="54" t="s">
        <x:v>17</x:v>
      </x:c>
      <x:c r="C27" s="277">
        <x:f>3300000/31</x:f>
        <x:v>106451.6129032258</x:v>
      </x:c>
      <x:c r="D27" s="277"/>
      <x:c r="E27" s="55" t="s">
        <x:v>12</x:v>
      </x:c>
      <x:c r="F27" s="263"/>
      <x:c r="G27" s="263"/>
      <x:c r="H27" s="111" t="s">
        <x:v>69</x:v>
      </x:c>
      <x:c r="I27" s="112">
        <x:f>SUM(C27:D34,F27:G32)</x:f>
        <x:v>704741.93548387091</x:v>
      </x:c>
      <x:c r="M27" s="66"/>
    </x:row>
    <x:row r="28" spans="1:13" ht="30.949999999999999" customHeight="1">
      <x:c r="A28" s="320"/>
      <x:c r="B28" s="54" t="s">
        <x:v>161</x:v>
      </x:c>
      <x:c r="C28" s="314">
        <x:f>3300000/31</x:f>
        <x:v>106451.6129032258</x:v>
      </x:c>
      <x:c r="D28" s="315"/>
      <x:c r="E28" s="148" t="s">
        <x:v>37</x:v>
      </x:c>
      <x:c r="F28" s="316">
        <x:f>13000*9.5</x:f>
        <x:v>123500</x:v>
      </x:c>
      <x:c r="G28" s="316"/>
      <x:c r="H28" s="111" t="s">
        <x:v>152</x:v>
      </x:c>
      <x:c r="I28" s="113">
        <x:f>I27/$A$25</x:f>
        <x:v>0.16454015444044523</x:v>
      </x:c>
      <x:c r="M28" s="66"/>
    </x:row>
    <x:row r="29" spans="1:13" ht="30.949999999999999" customHeight="1">
      <x:c r="A29" s="320"/>
      <x:c r="B29" s="54" t="s">
        <x:v>38</x:v>
      </x:c>
      <x:c r="C29" s="277">
        <x:f>3300000/31</x:f>
        <x:v>106451.6129032258</x:v>
      </x:c>
      <x:c r="D29" s="277"/>
      <x:c r="E29" s="54" t="s">
        <x:v>147</x:v>
      </x:c>
      <x:c r="F29" s="263">
        <x:f>13000*10.5</x:f>
        <x:v>136500</x:v>
      </x:c>
      <x:c r="G29" s="263"/>
      <x:c r="H29" s="111" t="s">
        <x:v>156</x:v>
      </x:c>
      <x:c r="I29" s="112">
        <x:f>SUM('1:10'!$I$25)</x:f>
        <x:v>79639622</x:v>
      </x:c>
      <x:c r="M29" s="66"/>
    </x:row>
    <x:row r="30" spans="1:13" ht="30.949999999999999" customHeight="1">
      <x:c r="A30" s="320"/>
      <x:c r="B30" s="55" t="s">
        <x:v>28</x:v>
      </x:c>
      <x:c r="C30" s="277">
        <x:f>1500000/31</x:f>
        <x:v>48387.096774193546</x:v>
      </x:c>
      <x:c r="D30" s="277"/>
      <x:c r="E30" s="55"/>
      <x:c r="F30" s="311"/>
      <x:c r="G30" s="312"/>
      <x:c r="H30" s="111" t="s">
        <x:v>67</x:v>
      </x:c>
      <x:c r="I30" s="113">
        <x:f>I29/$I$27</x:f>
        <x:v>113.00536833432508</x:v>
      </x:c>
      <x:c r="M30" s="66"/>
    </x:row>
    <x:row r="31" spans="1:7" customHeight="1">
      <x:c r="A31" s="320"/>
      <x:c r="B31" s="147"/>
      <x:c r="C31" s="309"/>
      <x:c r="D31" s="310"/>
      <x:c r="E31" s="55" t="s">
        <x:v>10</x:v>
      </x:c>
      <x:c r="F31" s="311"/>
      <x:c r="G31" s="312"/>
    </x:row>
    <x:row r="32" spans="1:7" customHeight="1">
      <x:c r="A32" s="320"/>
      <x:c r="B32" s="147"/>
      <x:c r="C32" s="309"/>
      <x:c r="D32" s="310"/>
      <x:c r="E32" s="55" t="s">
        <x:v>79</x:v>
      </x:c>
      <x:c r="F32" s="311">
        <x:v>77000</x:v>
      </x:c>
      <x:c r="G32" s="312"/>
    </x:row>
    <x:row r="33" spans="1:4" customHeight="1">
      <x:c r="A33" s="320"/>
      <x:c r="B33" s="54"/>
      <x:c r="C33" s="309"/>
      <x:c r="D33" s="310"/>
    </x:row>
    <x:row r="34" spans="1:4" customHeight="1">
      <x:c r="A34" s="321"/>
      <x:c r="B34" s="54"/>
      <x:c r="C34" s="311"/>
      <x:c r="D34" s="312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D14:E15"/>
    <x:mergeCell ref="B18:B19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/>
  <x:dimension ref="A1:P34"/>
  <x:sheetViews>
    <x:sheetView tabSelected="1" topLeftCell="A1" zoomScale="85" zoomScaleNormal="85" zoomScaleSheetLayoutView="75" workbookViewId="0">
      <x:selection activeCell="M27" activeCellId="0" sqref="M27:M27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122</x:v>
      </x:c>
      <x:c r="D1" s="68"/>
      <x:c r="E1" s="68">
        <x:v>1</x:v>
      </x:c>
      <x:c r="F1" s="68">
        <x:v>11</x:v>
      </x:c>
      <x:c r="G1" s="68" t="s">
        <x:v>145</x:v>
      </x:c>
      <x:c r="H1" s="52" t="s">
        <x:v>96</x:v>
      </x:c>
      <x:c r="I1" s="52">
        <x:f>F1-K1</x:f>
        <x:v>11</x:v>
      </x:c>
      <x:c r="J1" s="52" t="s">
        <x:v>89</x:v>
      </x:c>
      <x:c r="K1" s="52"/>
    </x:row>
    <x:row r="2" spans="1:11" ht="20.100000000000001" customHeight="1">
      <x:c r="A2" s="272" t="s">
        <x:v>50</x:v>
      </x:c>
      <x:c r="B2" s="273"/>
      <x:c r="C2" s="276">
        <x:f>SUM(C4:D7)</x:f>
        <x:v>3788800</x:v>
      </x:c>
      <x:c r="D2" s="276"/>
      <x:c r="E2" s="279" t="s">
        <x:v>20</x:v>
      </x:c>
      <x:c r="F2" s="280"/>
      <x:c r="G2" s="268">
        <x:v>44400</x:v>
      </x:c>
      <x:c r="H2" s="266" t="s">
        <x:v>54</x:v>
      </x:c>
      <x:c r="I2" s="267"/>
      <x:c r="J2" s="264" t="s">
        <x:v>143</x:v>
      </x:c>
      <x:c r="K2" s="265"/>
    </x:row>
    <x:row r="3" spans="1:11" ht="20.100000000000001" customHeight="1">
      <x:c r="A3" s="274"/>
      <x:c r="B3" s="275"/>
      <x:c r="C3" s="277"/>
      <x:c r="D3" s="277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1" ht="30.949999999999999" customHeight="1">
      <x:c r="A4" s="270" t="s">
        <x:v>41</x:v>
      </x:c>
      <x:c r="B4" s="271"/>
      <x:c r="C4" s="263">
        <x:v>2868900</x:v>
      </x:c>
      <x:c r="D4" s="263"/>
      <x:c r="E4" s="278" t="s">
        <x:v>160</x:v>
      </x:c>
      <x:c r="F4" s="278"/>
      <x:c r="G4" s="133">
        <x:f>INT(C4*0.0275)</x:f>
        <x:v>78894</x:v>
      </x:c>
      <x:c r="H4" s="54" t="s">
        <x:v>19</x:v>
      </x:c>
      <x:c r="I4" s="124"/>
      <x:c r="J4" s="80" t="s">
        <x:v>24</x:v>
      </x:c>
      <x:c r="K4" s="58"/>
    </x:row>
    <x:row r="5" spans="1:11" ht="30.949999999999999" customHeight="1">
      <x:c r="A5" s="270" t="s">
        <x:v>52</x:v>
      </x:c>
      <x:c r="B5" s="271"/>
      <x:c r="C5" s="263">
        <x:v>919900</x:v>
      </x:c>
      <x:c r="D5" s="263"/>
      <x:c r="E5" s="262" t="s">
        <x:v>136</x:v>
      </x:c>
      <x:c r="F5" s="262"/>
      <x:c r="G5" s="133">
        <x:f>INT(C5*0.01)</x:f>
        <x:v>9199</x:v>
      </x:c>
      <x:c r="H5" s="54" t="s">
        <x:v>54</x:v>
      </x:c>
      <x:c r="I5" s="124"/>
      <x:c r="J5" s="81"/>
      <x:c r="K5" s="58"/>
    </x:row>
    <x:row r="6" spans="1:11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900000</x:v>
      </x:c>
      <x:c r="H6" s="54"/>
      <x:c r="I6" s="124"/>
      <x:c r="J6" s="81" t="s">
        <x:v>99</x:v>
      </x:c>
      <x:c r="K6" s="58"/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4"/>
      <x:c r="J7" s="81" t="s">
        <x:v>106</x:v>
      </x:c>
      <x:c r="K7" s="58"/>
    </x:row>
    <x:row r="8" spans="1:11" ht="21.949999999999999" customHeight="1">
      <x:c r="A8" s="261" t="s">
        <x:v>98</x:v>
      </x:c>
      <x:c r="B8" s="262"/>
      <x:c r="C8" s="263">
        <x:v>140900</x:v>
      </x:c>
      <x:c r="D8" s="263"/>
      <x:c r="E8" s="289" t="s">
        <x:v>114</x:v>
      </x:c>
      <x:c r="F8" s="290"/>
      <x:c r="G8" s="295">
        <x:f>C5+G2-G6-C22</x:f>
        <x:v>64300</x:v>
      </x:c>
      <x:c r="H8" s="54" t="s">
        <x:v>14</x:v>
      </x:c>
      <x:c r="I8" s="124"/>
      <x:c r="J8" s="81"/>
      <x:c r="K8" s="58"/>
    </x:row>
    <x:row r="9" spans="1:11" ht="21.949999999999999" customHeight="1">
      <x:c r="A9" s="261"/>
      <x:c r="B9" s="262"/>
      <x:c r="C9" s="263"/>
      <x:c r="D9" s="263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30.949999999999999" customHeight="1">
      <x:c r="A10" s="261" t="s">
        <x:v>120</x:v>
      </x:c>
      <x:c r="B10" s="262"/>
      <x:c r="C10" s="263">
        <x:v>70000</x:v>
      </x:c>
      <x:c r="D10" s="263"/>
      <x:c r="E10" s="262" t="s">
        <x:v>101</x:v>
      </x:c>
      <x:c r="F10" s="262"/>
      <x:c r="G10" s="55"/>
      <x:c r="H10" s="54"/>
      <x:c r="I10" s="124"/>
      <x:c r="J10" s="54" t="s">
        <x:v>23</x:v>
      </x:c>
      <x:c r="K10" s="58"/>
    </x:row>
    <x:row r="11" spans="1:16" ht="33" customHeight="1">
      <x:c r="A11" s="261" t="s">
        <x:v>115</x:v>
      </x:c>
      <x:c r="B11" s="262"/>
      <x:c r="C11" s="301" t="s">
        <x:v>91</x:v>
      </x:c>
      <x:c r="D11" s="301"/>
      <x:c r="E11" s="301"/>
      <x:c r="F11" s="301"/>
      <x:c r="G11" s="301"/>
      <x:c r="H11" s="54" t="s">
        <x:v>151</x:v>
      </x:c>
      <x:c r="I11" s="58"/>
      <x:c r="J11" s="54" t="s">
        <x:v>125</x:v>
      </x:c>
      <x:c r="K11" s="135"/>
      <x:c r="M11" s="52"/>
      <x:c r="N11" s="52"/>
      <x:c r="O11" s="52"/>
      <x:c r="P11" s="52"/>
    </x:row>
    <x:row r="12" spans="1:12" ht="21.949999999999999" customHeight="1">
      <x:c r="A12" s="59" t="s">
        <x:v>21</x:v>
      </x:c>
      <x:c r="B12" s="299" t="s">
        <x:v>8</x:v>
      </x:c>
      <x:c r="C12" s="79">
        <x:v>22</x:v>
      </x:c>
      <x:c r="D12" s="289" t="s">
        <x:v>83</x:v>
      </x:c>
      <x:c r="E12" s="290"/>
      <x:c r="F12" s="293">
        <x:v>24</x:v>
      </x:c>
      <x:c r="G12" s="294"/>
      <x:c r="H12" s="54" t="s">
        <x:v>58</x:v>
      </x:c>
      <x:c r="I12" s="58"/>
      <x:c r="J12" s="54"/>
      <x:c r="K12" s="58"/>
      <x:c r="L12" s="60"/>
    </x:row>
    <x:row r="13" spans="1:12" ht="21.949999999999999" customHeight="1">
      <x:c r="A13" s="59" t="s">
        <x:v>56</x:v>
      </x:c>
      <x:c r="B13" s="300"/>
      <x:c r="C13" s="134">
        <x:f>SUM('1:11'!$C$12)</x:f>
        <x:v>209</x:v>
      </x:c>
      <x:c r="D13" s="281"/>
      <x:c r="E13" s="282"/>
      <x:c r="F13" s="291">
        <x:f>SUM('1:11'!$F$12)</x:f>
        <x:v>259</x:v>
      </x:c>
      <x:c r="G13" s="292"/>
      <x:c r="H13" s="54" t="s">
        <x:v>92</x:v>
      </x:c>
      <x:c r="I13" s="58"/>
      <x:c r="J13" s="54"/>
      <x:c r="K13" s="58"/>
      <x:c r="L13" s="60"/>
    </x:row>
    <x:row r="14" spans="1:13" ht="21.949999999999999" customHeight="1">
      <x:c r="A14" s="59" t="s">
        <x:v>21</x:v>
      </x:c>
      <x:c r="B14" s="299" t="s">
        <x:v>84</x:v>
      </x:c>
      <x:c r="C14" s="79">
        <x:v>23</x:v>
      </x:c>
      <x:c r="D14" s="289" t="s">
        <x:v>73</x:v>
      </x:c>
      <x:c r="E14" s="290"/>
      <x:c r="F14" s="293">
        <x:v>19</x:v>
      </x:c>
      <x:c r="G14" s="294"/>
      <x:c r="H14" s="54" t="s">
        <x:v>61</x:v>
      </x:c>
      <x:c r="I14" s="58"/>
      <x:c r="J14" s="54"/>
      <x:c r="K14" s="58"/>
      <x:c r="L14" s="60"/>
      <x:c r="M14" s="53" t="s">
        <x:v>39</x:v>
      </x:c>
    </x:row>
    <x:row r="15" spans="1:12" ht="21.949999999999999" customHeight="1">
      <x:c r="A15" s="59" t="s">
        <x:v>56</x:v>
      </x:c>
      <x:c r="B15" s="300"/>
      <x:c r="C15" s="134">
        <x:f>SUM('1:11'!$C$14)</x:f>
        <x:v>275</x:v>
      </x:c>
      <x:c r="D15" s="281"/>
      <x:c r="E15" s="282"/>
      <x:c r="F15" s="291">
        <x:f>SUM('1:11'!$F$14)</x:f>
        <x:v>150</x:v>
      </x:c>
      <x:c r="G15" s="292"/>
      <x:c r="H15" s="54" t="s">
        <x:v>64</x:v>
      </x:c>
      <x:c r="I15" s="58"/>
      <x:c r="J15" s="54" t="s">
        <x:v>143</x:v>
      </x:c>
      <x:c r="K15" s="58"/>
      <x:c r="L15" s="60"/>
    </x:row>
    <x:row r="16" spans="1:12" ht="21.949999999999999" customHeight="1">
      <x:c r="A16" s="59" t="s">
        <x:v>21</x:v>
      </x:c>
      <x:c r="B16" s="299" t="s">
        <x:v>51</x:v>
      </x:c>
      <x:c r="C16" s="79">
        <x:v>7</x:v>
      </x:c>
      <x:c r="D16" s="289" t="s">
        <x:v>81</x:v>
      </x:c>
      <x:c r="E16" s="290"/>
      <x:c r="F16" s="287">
        <x:v>8</x:v>
      </x:c>
      <x:c r="G16" s="287"/>
      <x:c r="H16" s="54"/>
      <x:c r="I16" s="58"/>
      <x:c r="J16" s="54" t="s">
        <x:v>105</x:v>
      </x:c>
      <x:c r="K16" s="58"/>
      <x:c r="L16" s="60"/>
    </x:row>
    <x:row r="17" spans="1:12" ht="21.949999999999999" customHeight="1">
      <x:c r="A17" s="59" t="s">
        <x:v>56</x:v>
      </x:c>
      <x:c r="B17" s="300"/>
      <x:c r="C17" s="134">
        <x:f>SUM('1:11'!$C$16)</x:f>
        <x:v>63</x:v>
      </x:c>
      <x:c r="D17" s="281"/>
      <x:c r="E17" s="282"/>
      <x:c r="F17" s="288">
        <x:f>SUM('1:11'!$F$16)</x:f>
        <x:v>128</x:v>
      </x:c>
      <x:c r="G17" s="288"/>
      <x:c r="H17" s="54" t="s">
        <x:v>18</x:v>
      </x:c>
      <x:c r="I17" s="58"/>
      <x:c r="J17" s="54" t="s">
        <x:v>97</x:v>
      </x:c>
      <x:c r="K17" s="58"/>
      <x:c r="L17" s="60"/>
    </x:row>
    <x:row r="18" spans="1:12" ht="21.949999999999999" customHeight="1">
      <x:c r="A18" s="59" t="s">
        <x:v>21</x:v>
      </x:c>
      <x:c r="B18" s="299" t="s">
        <x:v>107</x:v>
      </x:c>
      <x:c r="C18" s="79">
        <x:v>32</x:v>
      </x:c>
      <x:c r="D18" s="289" t="s">
        <x:v>29</x:v>
      </x:c>
      <x:c r="E18" s="290"/>
      <x:c r="F18" s="297">
        <x:v>2</x:v>
      </x:c>
      <x:c r="G18" s="298"/>
      <x:c r="H18" s="54"/>
      <x:c r="I18" s="58"/>
      <x:c r="J18" s="54"/>
      <x:c r="K18" s="58"/>
      <x:c r="L18" s="60"/>
    </x:row>
    <x:row r="19" spans="1:12" ht="21.949999999999999" customHeight="1">
      <x:c r="A19" s="59" t="s">
        <x:v>56</x:v>
      </x:c>
      <x:c r="B19" s="300"/>
      <x:c r="C19" s="134">
        <x:f>SUM('1:11'!$C$18)</x:f>
        <x:v>336</x:v>
      </x:c>
      <x:c r="D19" s="281"/>
      <x:c r="E19" s="282"/>
      <x:c r="F19" s="288">
        <x:f>SUM('1:11'!$F$18)</x:f>
        <x:v>40</x:v>
      </x:c>
      <x:c r="G19" s="288"/>
      <x:c r="H19" s="58"/>
      <x:c r="I19" s="58"/>
      <x:c r="J19" s="54"/>
      <x:c r="K19" s="58"/>
      <x:c r="L19" s="60"/>
    </x:row>
    <x:row r="20" spans="4:12" ht="21.949999999999999" customHeight="1">
      <x:c r="D20" s="262" t="s">
        <x:v>108</x:v>
      </x:c>
      <x:c r="E20" s="262"/>
      <x:c r="F20" s="287">
        <x:v>50</x:v>
      </x:c>
      <x:c r="G20" s="287"/>
      <x:c r="H20" s="58"/>
      <x:c r="J20" s="54"/>
      <x:c r="K20" s="58"/>
      <x:c r="L20" s="60"/>
    </x:row>
    <x:row r="21" spans="4:12" ht="21.949999999999999" customHeight="1">
      <x:c r="D21" s="262" t="s">
        <x:v>128</x:v>
      </x:c>
      <x:c r="E21" s="262"/>
      <x:c r="F21" s="288">
        <x:f>SUM('1:11'!$F$20)</x:f>
        <x:v>634</x:v>
      </x:c>
      <x:c r="G21" s="288"/>
      <x:c r="H21" s="58"/>
      <x:c r="J21" s="54"/>
      <x:c r="K21" s="58"/>
      <x:c r="L21" s="60"/>
    </x:row>
    <x:row r="22" spans="1:12" ht="32.100000000000001" customHeight="1">
      <x:c r="A22" s="261" t="s">
        <x:v>121</x:v>
      </x:c>
      <x:c r="B22" s="262"/>
      <x:c r="C22" s="286"/>
      <x:c r="D22" s="286"/>
      <x:c r="E22" s="286"/>
      <x:c r="F22" s="286"/>
      <x:c r="G22" s="286"/>
      <x:c r="H22" s="54"/>
      <x:c r="J22" s="54"/>
      <x:c r="K22" s="58"/>
      <x:c r="L22" s="60"/>
    </x:row>
    <x:row r="23" spans="1:15" ht="34.149999999999999" customHeight="1">
      <x:c r="A23" s="261" t="s">
        <x:v>59</x:v>
      </x:c>
      <x:c r="B23" s="262"/>
      <x:c r="C23" s="317"/>
      <x:c r="D23" s="318"/>
      <x:c r="E23" s="318"/>
      <x:c r="F23" s="318"/>
      <x:c r="G23" s="318"/>
      <x:c r="H23" s="107" t="s">
        <x:v>95</x:v>
      </x:c>
      <x:c r="I23" s="108">
        <x:f>SUM(I4:I22)</x:f>
        <x:v>0</x:v>
      </x:c>
      <x:c r="J23" s="61" t="s">
        <x:v>70</x:v>
      </x:c>
      <x:c r="K23" s="62">
        <x:f>SUM(K4:K22)</x:f>
        <x:v>0</x:v>
      </x:c>
      <x:c r="M23" s="88" t="s">
        <x:v>102</x:v>
      </x:c>
      <x:c r="N23" s="284">
        <x:f>C5+C6</x:f>
        <x:v>919900</x:v>
      </x:c>
      <x:c r="O23" s="285"/>
    </x:row>
    <x:row r="24" spans="1:11" ht="34.149999999999999" customHeight="1">
      <x:c r="A24" s="261" t="s">
        <x:v>152</x:v>
      </x:c>
      <x:c r="B24" s="262"/>
      <x:c r="C24" s="262" t="s">
        <x:v>86</x:v>
      </x:c>
      <x:c r="D24" s="262"/>
      <x:c r="E24" s="262" t="s">
        <x:v>62</x:v>
      </x:c>
      <x:c r="F24" s="262"/>
      <x:c r="G24" s="262"/>
      <x:c r="H24" s="107" t="s">
        <x:v>152</x:v>
      </x:c>
      <x:c r="I24" s="109">
        <x:f>I23/A25</x:f>
        <x:v>0</x:v>
      </x:c>
      <x:c r="J24" s="61" t="s">
        <x:v>152</x:v>
      </x:c>
      <x:c r="K24" s="63">
        <x:f>K23/A25</x:f>
        <x:v>0</x:v>
      </x:c>
    </x:row>
    <x:row r="25" spans="1:11" ht="34.149999999999999" customHeight="1">
      <x:c r="A25" s="313">
        <x:f>C2</x:f>
        <x:v>3788800</x:v>
      </x:c>
      <x:c r="B25" s="277"/>
      <x:c r="C25" s="277">
        <x:f>E25/I1</x:f>
        <x:v>4320954.5454545459</x:v>
      </x:c>
      <x:c r="D25" s="277"/>
      <x:c r="E25" s="277">
        <x:f>SUM('1:11'!$A$25)</x:f>
        <x:v>47530500</x:v>
      </x:c>
      <x:c r="F25" s="277"/>
      <x:c r="G25" s="277"/>
      <x:c r="H25" s="107" t="s">
        <x:v>156</x:v>
      </x:c>
      <x:c r="I25" s="108">
        <x:f>SUM('1:11'!$I$23)</x:f>
        <x:v>15021970</x:v>
      </x:c>
      <x:c r="J25" s="61" t="s">
        <x:v>156</x:v>
      </x:c>
      <x:c r="K25" s="62">
        <x:f>SUM('1:11'!$K$21)</x:f>
        <x:v>0</x:v>
      </x:c>
    </x:row>
    <x:row r="26" spans="1:11" ht="34.149999999999999" customHeight="1">
      <x:c r="A26" s="261" t="s">
        <x:v>68</x:v>
      </x:c>
      <x:c r="B26" s="262"/>
      <x:c r="C26" s="262"/>
      <x:c r="D26" s="262"/>
      <x:c r="E26" s="263"/>
      <x:c r="F26" s="263"/>
      <x:c r="G26" s="263"/>
      <x:c r="H26" s="107" t="s">
        <x:v>67</x:v>
      </x:c>
      <x:c r="I26" s="110">
        <x:f>I25/$E$25</x:f>
        <x:v>0.31604906323308191</x:v>
      </x:c>
      <x:c r="J26" s="64" t="s">
        <x:v>67</x:v>
      </x:c>
      <x:c r="K26" s="65">
        <x:f>K25/$E$25</x:f>
        <x:v>0</x:v>
      </x:c>
    </x:row>
    <x:row r="27" spans="1:9" ht="30.949999999999999" customHeight="1">
      <x:c r="A27" s="319" t="s">
        <x:v>113</x:v>
      </x:c>
      <x:c r="B27" s="54" t="s">
        <x:v>17</x:v>
      </x:c>
      <x:c r="C27" s="277">
        <x:f>3300000/31</x:f>
        <x:v>106451.6129032258</x:v>
      </x:c>
      <x:c r="D27" s="277"/>
      <x:c r="E27" s="55" t="s">
        <x:v>12</x:v>
      </x:c>
      <x:c r="F27" s="263"/>
      <x:c r="G27" s="263"/>
      <x:c r="H27" s="111" t="s">
        <x:v>69</x:v>
      </x:c>
      <x:c r="I27" s="112">
        <x:f>SUM(C27:D34,F27:G32)</x:f>
        <x:v>621241.93548387091</x:v>
      </x:c>
    </x:row>
    <x:row r="28" spans="1:9" ht="30.949999999999999" customHeight="1">
      <x:c r="A28" s="320"/>
      <x:c r="B28" s="54" t="s">
        <x:v>161</x:v>
      </x:c>
      <x:c r="C28" s="314">
        <x:f>3300000/31</x:f>
        <x:v>106451.6129032258</x:v>
      </x:c>
      <x:c r="D28" s="315"/>
      <x:c r="E28" s="148" t="s">
        <x:v>37</x:v>
      </x:c>
      <x:c r="F28" s="316">
        <x:f>13000*9.5</x:f>
        <x:v>123500</x:v>
      </x:c>
      <x:c r="G28" s="316"/>
      <x:c r="H28" s="111" t="s">
        <x:v>152</x:v>
      </x:c>
      <x:c r="I28" s="113">
        <x:f>I27/$A$25</x:f>
        <x:v>0.16396799395161288</x:v>
      </x:c>
    </x:row>
    <x:row r="29" spans="1:9" ht="30.949999999999999" customHeight="1">
      <x:c r="A29" s="320"/>
      <x:c r="B29" s="54" t="s">
        <x:v>38</x:v>
      </x:c>
      <x:c r="C29" s="277">
        <x:f>3300000/31</x:f>
        <x:v>106451.6129032258</x:v>
      </x:c>
      <x:c r="D29" s="277"/>
      <x:c r="E29" s="54" t="s">
        <x:v>147</x:v>
      </x:c>
      <x:c r="F29" s="263">
        <x:f>13000*10</x:f>
        <x:v>130000</x:v>
      </x:c>
      <x:c r="G29" s="263"/>
      <x:c r="H29" s="111" t="s">
        <x:v>156</x:v>
      </x:c>
      <x:c r="I29" s="112">
        <x:f>SUM('1:11'!$I$25)</x:f>
        <x:v>94661592</x:v>
      </x:c>
    </x:row>
    <x:row r="30" spans="1:9" ht="30.949999999999999" customHeight="1">
      <x:c r="A30" s="320"/>
      <x:c r="B30" s="55" t="s">
        <x:v>28</x:v>
      </x:c>
      <x:c r="C30" s="277">
        <x:f>1500000/31</x:f>
        <x:v>48387.096774193546</x:v>
      </x:c>
      <x:c r="D30" s="277"/>
      <x:c r="E30" s="55"/>
      <x:c r="F30" s="311"/>
      <x:c r="G30" s="312"/>
      <x:c r="H30" s="111" t="s">
        <x:v>67</x:v>
      </x:c>
      <x:c r="I30" s="113">
        <x:f>I29/$I$27</x:f>
        <x:v>152.37476189734403</x:v>
      </x:c>
    </x:row>
    <x:row r="31" spans="1:7" customHeight="1">
      <x:c r="A31" s="320"/>
      <x:c r="B31" s="147"/>
      <x:c r="C31" s="309"/>
      <x:c r="D31" s="310"/>
      <x:c r="E31" s="55" t="s">
        <x:v>10</x:v>
      </x:c>
      <x:c r="F31" s="311"/>
      <x:c r="G31" s="312"/>
    </x:row>
    <x:row r="32" spans="1:7" customHeight="1">
      <x:c r="A32" s="320"/>
      <x:c r="B32" s="147"/>
      <x:c r="C32" s="309"/>
      <x:c r="D32" s="310"/>
      <x:c r="E32" s="55" t="s">
        <x:v>79</x:v>
      </x:c>
      <x:c r="F32" s="311"/>
      <x:c r="G32" s="312"/>
    </x:row>
    <x:row r="33" spans="1:3" customHeight="1">
      <x:c r="A33" s="320"/>
      <x:c r="B33" s="54"/>
      <x:c r="C33" s="132"/>
    </x:row>
    <x:row r="34" spans="1:4" customHeight="1">
      <x:c r="A34" s="321"/>
      <x:c r="B34" s="54"/>
      <x:c r="C34" s="309"/>
      <x:c r="D34" s="310"/>
    </x:row>
  </x:sheetData>
  <x:mergeCells count="73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D14:E15"/>
    <x:mergeCell ref="B18:B19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4"/>
  <x:dimension ref="A1:O34"/>
  <x:sheetViews>
    <x:sheetView tabSelected="1" topLeftCell="A2" zoomScale="85" zoomScaleNormal="85" zoomScaleSheetLayoutView="75" workbookViewId="0">
      <x:selection activeCell="K16" activeCellId="0" sqref="K16:K16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122</x:v>
      </x:c>
      <x:c r="D1" s="68"/>
      <x:c r="E1" s="68">
        <x:v>1</x:v>
      </x:c>
      <x:c r="F1" s="68">
        <x:v>12</x:v>
      </x:c>
      <x:c r="G1" s="68" t="s">
        <x:v>26</x:v>
      </x:c>
      <x:c r="H1" s="52" t="s">
        <x:v>96</x:v>
      </x:c>
      <x:c r="I1" s="52">
        <x:f>F1-K1</x:f>
        <x:v>12</x:v>
      </x:c>
      <x:c r="J1" s="52" t="s">
        <x:v>89</x:v>
      </x:c>
      <x:c r="K1" s="52"/>
    </x:row>
    <x:row r="2" spans="1:11" ht="20.100000000000001" customHeight="1">
      <x:c r="A2" s="272" t="s">
        <x:v>50</x:v>
      </x:c>
      <x:c r="B2" s="273"/>
      <x:c r="C2" s="276">
        <x:f>SUM(C4:D7)</x:f>
        <x:v>4048800</x:v>
      </x:c>
      <x:c r="D2" s="276"/>
      <x:c r="E2" s="279" t="s">
        <x:v>20</x:v>
      </x:c>
      <x:c r="F2" s="280"/>
      <x:c r="G2" s="268">
        <x:v>140900</x:v>
      </x:c>
      <x:c r="H2" s="266" t="s">
        <x:v>54</x:v>
      </x:c>
      <x:c r="I2" s="267"/>
      <x:c r="J2" s="264" t="s">
        <x:v>143</x:v>
      </x:c>
      <x:c r="K2" s="265"/>
    </x:row>
    <x:row r="3" spans="1:11" ht="20.100000000000001" customHeight="1">
      <x:c r="A3" s="274"/>
      <x:c r="B3" s="275"/>
      <x:c r="C3" s="277"/>
      <x:c r="D3" s="277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1" ht="30.949999999999999" customHeight="1">
      <x:c r="A4" s="270" t="s">
        <x:v>41</x:v>
      </x:c>
      <x:c r="B4" s="271"/>
      <x:c r="C4" s="263">
        <x:v>3564100</x:v>
      </x:c>
      <x:c r="D4" s="263"/>
      <x:c r="E4" s="278" t="s">
        <x:v>160</x:v>
      </x:c>
      <x:c r="F4" s="278"/>
      <x:c r="G4" s="133">
        <x:f>INT(C4*0.0275)</x:f>
        <x:v>98012</x:v>
      </x:c>
      <x:c r="H4" s="54" t="s">
        <x:v>19</x:v>
      </x:c>
      <x:c r="I4" s="124">
        <x:f>329094+193612+452000</x:f>
        <x:v>974706</x:v>
      </x:c>
      <x:c r="J4" s="80" t="s">
        <x:v>24</x:v>
      </x:c>
      <x:c r="K4" s="58"/>
    </x:row>
    <x:row r="5" spans="1:11" ht="30.949999999999999" customHeight="1">
      <x:c r="A5" s="270" t="s">
        <x:v>52</x:v>
      </x:c>
      <x:c r="B5" s="271"/>
      <x:c r="C5" s="263">
        <x:v>484700</x:v>
      </x:c>
      <x:c r="D5" s="263"/>
      <x:c r="E5" s="262" t="s">
        <x:v>136</x:v>
      </x:c>
      <x:c r="F5" s="262"/>
      <x:c r="G5" s="133">
        <x:f>INT(C5*0.01)</x:f>
        <x:v>4847</x:v>
      </x:c>
      <x:c r="H5" s="54" t="s">
        <x:v>54</x:v>
      </x:c>
      <x:c r="I5" s="124">
        <x:f>45430+44000+39380+93800+50000+18710</x:f>
        <x:v>291320</x:v>
      </x:c>
      <x:c r="J5" s="81"/>
      <x:c r="K5" s="58"/>
    </x:row>
    <x:row r="6" spans="1:11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550000</x:v>
      </x:c>
      <x:c r="H6" s="54"/>
      <x:c r="I6" s="124"/>
      <x:c r="J6" s="81" t="s">
        <x:v>99</x:v>
      </x:c>
      <x:c r="K6" s="58"/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4">
        <x:f>455830-29400</x:f>
        <x:v>426430</x:v>
      </x:c>
      <x:c r="J7" s="81" t="s">
        <x:v>106</x:v>
      </x:c>
      <x:c r="K7" s="58">
        <x:v>12500</x:v>
      </x:c>
    </x:row>
    <x:row r="8" spans="1:11" ht="21.949999999999999" customHeight="1">
      <x:c r="A8" s="261" t="s">
        <x:v>98</x:v>
      </x:c>
      <x:c r="B8" s="262"/>
      <x:c r="C8" s="263">
        <x:v>75600</x:v>
      </x:c>
      <x:c r="D8" s="263"/>
      <x:c r="E8" s="289" t="s">
        <x:v>114</x:v>
      </x:c>
      <x:c r="F8" s="290"/>
      <x:c r="G8" s="295">
        <x:f>C5+G2-G6-C22</x:f>
        <x:v>75600</x:v>
      </x:c>
      <x:c r="H8" s="54" t="s">
        <x:v>14</x:v>
      </x:c>
      <x:c r="I8" s="124"/>
      <x:c r="J8" s="81"/>
      <x:c r="K8" s="58"/>
    </x:row>
    <x:row r="9" spans="1:11" ht="21.949999999999999" customHeight="1">
      <x:c r="A9" s="261"/>
      <x:c r="B9" s="262"/>
      <x:c r="C9" s="263"/>
      <x:c r="D9" s="263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30.949999999999999" customHeight="1">
      <x:c r="A10" s="261" t="s">
        <x:v>120</x:v>
      </x:c>
      <x:c r="B10" s="262"/>
      <x:c r="C10" s="263">
        <x:f>48500+60000</x:f>
        <x:v>108500</x:v>
      </x:c>
      <x:c r="D10" s="263"/>
      <x:c r="E10" s="262" t="s">
        <x:v>101</x:v>
      </x:c>
      <x:c r="F10" s="262"/>
      <x:c r="G10" s="55"/>
      <x:c r="H10" s="54"/>
      <x:c r="I10" s="124"/>
      <x:c r="J10" s="54" t="s">
        <x:v>23</x:v>
      </x:c>
      <x:c r="K10" s="58">
        <x:v>14300</x:v>
      </x:c>
    </x:row>
    <x:row r="11" spans="1:11" ht="33" customHeight="1">
      <x:c r="A11" s="261" t="s">
        <x:v>115</x:v>
      </x:c>
      <x:c r="B11" s="262"/>
      <x:c r="C11" s="358" t="s">
        <x:v>123</x:v>
      </x:c>
      <x:c r="D11" s="301"/>
      <x:c r="E11" s="301"/>
      <x:c r="F11" s="301"/>
      <x:c r="G11" s="301"/>
      <x:c r="H11" s="54" t="s">
        <x:v>151</x:v>
      </x:c>
      <x:c r="I11" s="58"/>
      <x:c r="J11" s="54" t="s">
        <x:v>125</x:v>
      </x:c>
      <x:c r="K11" s="135"/>
    </x:row>
    <x:row r="12" spans="1:13" ht="21.949999999999999" customHeight="1">
      <x:c r="A12" s="59" t="s">
        <x:v>21</x:v>
      </x:c>
      <x:c r="B12" s="299" t="s">
        <x:v>8</x:v>
      </x:c>
      <x:c r="C12" s="79">
        <x:v>15</x:v>
      </x:c>
      <x:c r="D12" s="289" t="s">
        <x:v>83</x:v>
      </x:c>
      <x:c r="E12" s="290"/>
      <x:c r="F12" s="293">
        <x:v>14</x:v>
      </x:c>
      <x:c r="G12" s="294"/>
      <x:c r="H12" s="54" t="s">
        <x:v>58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56</x:v>
      </x:c>
      <x:c r="B13" s="300"/>
      <x:c r="C13" s="134">
        <x:f>SUM('1:12'!$C$12)</x:f>
        <x:v>224</x:v>
      </x:c>
      <x:c r="D13" s="281"/>
      <x:c r="E13" s="282"/>
      <x:c r="F13" s="291">
        <x:f>SUM('1:12'!$F$12)</x:f>
        <x:v>273</x:v>
      </x:c>
      <x:c r="G13" s="292"/>
      <x:c r="H13" s="54" t="s">
        <x:v>92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21</x:v>
      </x:c>
      <x:c r="B14" s="299" t="s">
        <x:v>84</x:v>
      </x:c>
      <x:c r="C14" s="79">
        <x:v>24</x:v>
      </x:c>
      <x:c r="D14" s="289" t="s">
        <x:v>73</x:v>
      </x:c>
      <x:c r="E14" s="290"/>
      <x:c r="F14" s="293">
        <x:v>7</x:v>
      </x:c>
      <x:c r="G14" s="294"/>
      <x:c r="H14" s="54" t="s">
        <x:v>61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56</x:v>
      </x:c>
      <x:c r="B15" s="300"/>
      <x:c r="C15" s="134">
        <x:f>SUM('1:12'!$C$14)</x:f>
        <x:v>299</x:v>
      </x:c>
      <x:c r="D15" s="281"/>
      <x:c r="E15" s="282"/>
      <x:c r="F15" s="291">
        <x:f>SUM('1:12'!$F$14)</x:f>
        <x:v>157</x:v>
      </x:c>
      <x:c r="G15" s="292"/>
      <x:c r="H15" s="54" t="s">
        <x:v>64</x:v>
      </x:c>
      <x:c r="I15" s="58">
        <x:f>9800+40800+5900+19200+20000+8900</x:f>
        <x:v>104600</x:v>
      </x:c>
      <x:c r="J15" s="54" t="s">
        <x:v>143</x:v>
      </x:c>
      <x:c r="K15" s="58"/>
      <x:c r="L15" s="60"/>
      <x:c r="M15" s="11"/>
    </x:row>
    <x:row r="16" spans="1:13" ht="21.949999999999999" customHeight="1">
      <x:c r="A16" s="59" t="s">
        <x:v>21</x:v>
      </x:c>
      <x:c r="B16" s="299" t="s">
        <x:v>51</x:v>
      </x:c>
      <x:c r="C16" s="79">
        <x:v>6</x:v>
      </x:c>
      <x:c r="D16" s="289" t="s">
        <x:v>81</x:v>
      </x:c>
      <x:c r="E16" s="290"/>
      <x:c r="F16" s="287">
        <x:v>14</x:v>
      </x:c>
      <x:c r="G16" s="287"/>
      <x:c r="H16" s="54"/>
      <x:c r="I16" s="58"/>
      <x:c r="J16" s="54" t="s">
        <x:v>105</x:v>
      </x:c>
      <x:c r="K16" s="58">
        <x:v>34020</x:v>
      </x:c>
      <x:c r="L16" s="60"/>
      <x:c r="M16" s="11"/>
    </x:row>
    <x:row r="17" spans="1:13" ht="21.949999999999999" customHeight="1">
      <x:c r="A17" s="59" t="s">
        <x:v>56</x:v>
      </x:c>
      <x:c r="B17" s="300"/>
      <x:c r="C17" s="134">
        <x:f>SUM('1:12'!$C$16)</x:f>
        <x:v>69</x:v>
      </x:c>
      <x:c r="D17" s="281"/>
      <x:c r="E17" s="282"/>
      <x:c r="F17" s="288">
        <x:f>SUM('1:12'!$F$16)</x:f>
        <x:v>142</x:v>
      </x:c>
      <x:c r="G17" s="288"/>
      <x:c r="H17" s="54" t="s">
        <x:v>18</x:v>
      </x:c>
      <x:c r="I17" s="58"/>
      <x:c r="J17" s="54" t="s">
        <x:v>97</x:v>
      </x:c>
      <x:c r="K17" s="58"/>
      <x:c r="L17" s="60"/>
      <x:c r="M17" s="11"/>
    </x:row>
    <x:row r="18" spans="1:13" ht="21.949999999999999" customHeight="1">
      <x:c r="A18" s="59" t="s">
        <x:v>21</x:v>
      </x:c>
      <x:c r="B18" s="299" t="s">
        <x:v>107</x:v>
      </x:c>
      <x:c r="C18" s="79">
        <x:v>29</x:v>
      </x:c>
      <x:c r="D18" s="289" t="s">
        <x:v>29</x:v>
      </x:c>
      <x:c r="E18" s="290"/>
      <x:c r="F18" s="297">
        <x:v>1</x:v>
      </x:c>
      <x:c r="G18" s="29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56</x:v>
      </x:c>
      <x:c r="B19" s="300"/>
      <x:c r="C19" s="134">
        <x:f>SUM('1:12'!$C$18)</x:f>
        <x:v>365</x:v>
      </x:c>
      <x:c r="D19" s="281"/>
      <x:c r="E19" s="282"/>
      <x:c r="F19" s="288">
        <x:f>SUM('1:12'!$F$18)</x:f>
        <x:v>41</x:v>
      </x:c>
      <x:c r="G19" s="288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108</x:v>
      </x:c>
      <x:c r="E20" s="262"/>
      <x:c r="F20" s="329">
        <x:v>54</x:v>
      </x:c>
      <x:c r="G20" s="330"/>
      <x:c r="H20" s="58"/>
      <x:c r="J20" s="54"/>
      <x:c r="K20" s="58"/>
      <x:c r="L20" s="60"/>
      <x:c r="M20" s="11"/>
    </x:row>
    <x:row r="21" spans="4:13" ht="21.949999999999999" customHeight="1">
      <x:c r="D21" s="262" t="s">
        <x:v>128</x:v>
      </x:c>
      <x:c r="E21" s="262"/>
      <x:c r="F21" s="288">
        <x:f>SUM('1:12'!$F$20)</x:f>
        <x:v>688</x:v>
      </x:c>
      <x:c r="G21" s="288"/>
      <x:c r="H21" s="58"/>
      <x:c r="J21" s="54"/>
      <x:c r="K21" s="58"/>
      <x:c r="L21" s="60"/>
      <x:c r="M21" s="11"/>
    </x:row>
    <x:row r="22" spans="1:13" ht="32.100000000000001" customHeight="1">
      <x:c r="A22" s="261" t="s">
        <x:v>121</x:v>
      </x:c>
      <x:c r="B22" s="262"/>
      <x:c r="C22" s="286"/>
      <x:c r="D22" s="286"/>
      <x:c r="E22" s="286"/>
      <x:c r="F22" s="286"/>
      <x:c r="G22" s="286"/>
      <x:c r="H22" s="54"/>
      <x:c r="J22" s="54"/>
      <x:c r="K22" s="58"/>
      <x:c r="L22" s="60"/>
      <x:c r="M22" s="11"/>
    </x:row>
    <x:row r="23" spans="1:15" ht="34.149999999999999" customHeight="1">
      <x:c r="A23" s="261" t="s">
        <x:v>59</x:v>
      </x:c>
      <x:c r="B23" s="262"/>
      <x:c r="C23" s="317"/>
      <x:c r="D23" s="317"/>
      <x:c r="E23" s="317"/>
      <x:c r="F23" s="317"/>
      <x:c r="G23" s="317"/>
      <x:c r="H23" s="107" t="s">
        <x:v>95</x:v>
      </x:c>
      <x:c r="I23" s="108">
        <x:f>SUM(I4:I22)</x:f>
        <x:v>1797056</x:v>
      </x:c>
      <x:c r="J23" s="61" t="s">
        <x:v>70</x:v>
      </x:c>
      <x:c r="K23" s="62">
        <x:f>SUM(K4:K22)</x:f>
        <x:v>60820</x:v>
      </x:c>
      <x:c r="M23" s="88" t="s">
        <x:v>102</x:v>
      </x:c>
      <x:c r="N23" s="284">
        <x:f>C5+C6</x:f>
        <x:v>484700</x:v>
      </x:c>
      <x:c r="O23" s="285"/>
    </x:row>
    <x:row r="24" spans="1:11" ht="34.149999999999999" customHeight="1">
      <x:c r="A24" s="261" t="s">
        <x:v>152</x:v>
      </x:c>
      <x:c r="B24" s="262"/>
      <x:c r="C24" s="262" t="s">
        <x:v>86</x:v>
      </x:c>
      <x:c r="D24" s="262"/>
      <x:c r="E24" s="262" t="s">
        <x:v>62</x:v>
      </x:c>
      <x:c r="F24" s="262"/>
      <x:c r="G24" s="262"/>
      <x:c r="H24" s="107" t="s">
        <x:v>152</x:v>
      </x:c>
      <x:c r="I24" s="109">
        <x:f>I23/A25</x:f>
        <x:v>0.44384904169136535</x:v>
      </x:c>
      <x:c r="J24" s="61" t="s">
        <x:v>152</x:v>
      </x:c>
      <x:c r="K24" s="63">
        <x:f>K23/A25</x:f>
        <x:v>0.015021734835012844</x:v>
      </x:c>
    </x:row>
    <x:row r="25" spans="1:11" ht="34.149999999999999" customHeight="1">
      <x:c r="A25" s="313">
        <x:f>C2</x:f>
        <x:v>4048800</x:v>
      </x:c>
      <x:c r="B25" s="277"/>
      <x:c r="C25" s="277">
        <x:f>E25/I1</x:f>
        <x:v>4298275</x:v>
      </x:c>
      <x:c r="D25" s="277"/>
      <x:c r="E25" s="277">
        <x:f>SUM('1:12'!$A$25)</x:f>
        <x:v>51579300</x:v>
      </x:c>
      <x:c r="F25" s="277"/>
      <x:c r="G25" s="277"/>
      <x:c r="H25" s="107" t="s">
        <x:v>156</x:v>
      </x:c>
      <x:c r="I25" s="108">
        <x:f>SUM('1:12'!$I$23)</x:f>
        <x:v>16819026</x:v>
      </x:c>
      <x:c r="J25" s="61" t="s">
        <x:v>156</x:v>
      </x:c>
      <x:c r="K25" s="62">
        <x:f>SUM('1:12'!$K$21)</x:f>
        <x:v>0</x:v>
      </x:c>
    </x:row>
    <x:row r="26" spans="1:11" ht="34.149999999999999" customHeight="1">
      <x:c r="A26" s="261" t="s">
        <x:v>68</x:v>
      </x:c>
      <x:c r="B26" s="262"/>
      <x:c r="C26" s="262"/>
      <x:c r="D26" s="262"/>
      <x:c r="E26" s="263"/>
      <x:c r="F26" s="263"/>
      <x:c r="G26" s="263"/>
      <x:c r="H26" s="107" t="s">
        <x:v>67</x:v>
      </x:c>
      <x:c r="I26" s="110">
        <x:f>I25/$E$25</x:f>
        <x:v>0.32608092781406495</x:v>
      </x:c>
      <x:c r="J26" s="64" t="s">
        <x:v>67</x:v>
      </x:c>
      <x:c r="K26" s="65">
        <x:f>K25/$E$25</x:f>
        <x:v>0</x:v>
      </x:c>
    </x:row>
    <x:row r="27" spans="1:13" ht="30.949999999999999" customHeight="1">
      <x:c r="A27" s="319" t="s">
        <x:v>113</x:v>
      </x:c>
      <x:c r="B27" s="54" t="s">
        <x:v>17</x:v>
      </x:c>
      <x:c r="C27" s="277">
        <x:f>3300000/31</x:f>
        <x:v>106451.6129032258</x:v>
      </x:c>
      <x:c r="D27" s="277"/>
      <x:c r="E27" s="55" t="s">
        <x:v>12</x:v>
      </x:c>
      <x:c r="F27" s="356">
        <x:f>13000*5</x:f>
        <x:v>65000</x:v>
      </x:c>
      <x:c r="G27" s="356"/>
      <x:c r="H27" s="111" t="s">
        <x:v>69</x:v>
      </x:c>
      <x:c r="I27" s="112">
        <x:f>SUM(C27:D34,F27:G32)</x:f>
        <x:v>569241.93548387091</x:v>
      </x:c>
      <x:c r="M27" s="66"/>
    </x:row>
    <x:row r="28" spans="1:13" ht="30.949999999999999" customHeight="1">
      <x:c r="A28" s="320"/>
      <x:c r="B28" s="54" t="s">
        <x:v>161</x:v>
      </x:c>
      <x:c r="C28" s="314">
        <x:f>3300000/31</x:f>
        <x:v>106451.6129032258</x:v>
      </x:c>
      <x:c r="D28" s="315"/>
      <x:c r="E28" s="148" t="s">
        <x:v>37</x:v>
      </x:c>
      <x:c r="F28" s="359">
        <x:f>13000*10.5</x:f>
        <x:v>136500</x:v>
      </x:c>
      <x:c r="G28" s="359"/>
      <x:c r="H28" s="111" t="s">
        <x:v>152</x:v>
      </x:c>
      <x:c r="I28" s="113">
        <x:f>I27/$A$25</x:f>
        <x:v>0.1405952221606083</x:v>
      </x:c>
      <x:c r="M28" s="66"/>
    </x:row>
    <x:row r="29" spans="1:13" ht="30.949999999999999" customHeight="1">
      <x:c r="A29" s="320"/>
      <x:c r="B29" s="54" t="s">
        <x:v>38</x:v>
      </x:c>
      <x:c r="C29" s="277">
        <x:f>3300000/31</x:f>
        <x:v>106451.6129032258</x:v>
      </x:c>
      <x:c r="D29" s="277"/>
      <x:c r="E29" s="54" t="s">
        <x:v>147</x:v>
      </x:c>
      <x:c r="F29" s="263"/>
      <x:c r="G29" s="263"/>
      <x:c r="H29" s="111" t="s">
        <x:v>156</x:v>
      </x:c>
      <x:c r="I29" s="112">
        <x:f>SUM('1:12'!$I$25)</x:f>
        <x:v>111480618</x:v>
      </x:c>
      <x:c r="M29" s="66"/>
    </x:row>
    <x:row r="30" spans="1:13" ht="30.949999999999999" customHeight="1">
      <x:c r="A30" s="320"/>
      <x:c r="B30" s="55" t="s">
        <x:v>28</x:v>
      </x:c>
      <x:c r="C30" s="357">
        <x:f>1500000/31</x:f>
        <x:v>48387.096774193546</x:v>
      </x:c>
      <x:c r="D30" s="357"/>
      <x:c r="E30" s="55"/>
      <x:c r="F30" s="311"/>
      <x:c r="G30" s="312"/>
      <x:c r="H30" s="111" t="s">
        <x:v>67</x:v>
      </x:c>
      <x:c r="I30" s="113">
        <x:f>I29/$I$27</x:f>
        <x:v>195.84048723542915</x:v>
      </x:c>
      <x:c r="M30" s="66"/>
    </x:row>
    <x:row r="31" spans="1:7" customHeight="1">
      <x:c r="A31" s="320"/>
      <x:c r="B31" s="147"/>
      <x:c r="C31" s="309"/>
      <x:c r="D31" s="310"/>
      <x:c r="E31" s="55" t="s">
        <x:v>10</x:v>
      </x:c>
      <x:c r="F31" s="311"/>
      <x:c r="G31" s="312"/>
    </x:row>
    <x:row r="32" spans="1:7" customHeight="1">
      <x:c r="A32" s="320"/>
      <x:c r="B32" s="147"/>
      <x:c r="C32" s="309"/>
      <x:c r="D32" s="310"/>
      <x:c r="E32" s="55" t="s">
        <x:v>79</x:v>
      </x:c>
      <x:c r="F32" s="311"/>
      <x:c r="G32" s="312"/>
    </x:row>
    <x:row r="33" spans="1:4" customHeight="1">
      <x:c r="A33" s="320"/>
      <x:c r="B33" s="54"/>
      <x:c r="C33" s="309"/>
      <x:c r="D33" s="310"/>
    </x:row>
    <x:row r="34" spans="1:4" customHeight="1">
      <x:c r="A34" s="321"/>
      <x:c r="B34" s="54"/>
      <x:c r="C34" s="311"/>
      <x:c r="D34" s="312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A27:A34"/>
    <x:mergeCell ref="C32:D32"/>
    <x:mergeCell ref="C33:D33"/>
    <x:mergeCell ref="C34:D34"/>
    <x:mergeCell ref="F31:G31"/>
    <x:mergeCell ref="F30:G30"/>
    <x:mergeCell ref="C30:D30"/>
    <x:mergeCell ref="C31:D31"/>
    <x:mergeCell ref="C28:D28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0:B10"/>
    <x:mergeCell ref="C10:D10"/>
    <x:mergeCell ref="E10:F10"/>
    <x:mergeCell ref="A11:B11"/>
    <x:mergeCell ref="E2:F3"/>
    <x:mergeCell ref="A4:B4"/>
    <x:mergeCell ref="C4:D4"/>
    <x:mergeCell ref="E4:F4"/>
    <x:mergeCell ref="A2:B3"/>
    <x:mergeCell ref="C2:D3"/>
    <x:mergeCell ref="A5:B5"/>
    <x:mergeCell ref="C5:D5"/>
    <x:mergeCell ref="E5:F5"/>
    <x:mergeCell ref="A8:B9"/>
    <x:mergeCell ref="C8:D9"/>
    <x:mergeCell ref="A6:B7"/>
    <x:mergeCell ref="N23:O23"/>
    <x:mergeCell ref="G6:G7"/>
    <x:mergeCell ref="G8:G9"/>
    <x:mergeCell ref="C11:G11"/>
    <x:mergeCell ref="F18:G18"/>
    <x:mergeCell ref="F19:G19"/>
    <x:mergeCell ref="D18:E19"/>
    <x:mergeCell ref="D16:E17"/>
    <x:mergeCell ref="D21:E21"/>
    <x:mergeCell ref="F21:G21"/>
    <x:mergeCell ref="C29:D29"/>
    <x:mergeCell ref="F29:G29"/>
    <x:mergeCell ref="C26:D26"/>
    <x:mergeCell ref="E26:G26"/>
    <x:mergeCell ref="J2:K2"/>
    <x:mergeCell ref="H2:I2"/>
    <x:mergeCell ref="G2:G3"/>
    <x:mergeCell ref="C6:D7"/>
    <x:mergeCell ref="E6:F7"/>
    <x:mergeCell ref="E8:F9"/>
    <x:mergeCell ref="F28:G28"/>
    <x:mergeCell ref="D14:E15"/>
    <x:mergeCell ref="B18:B19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5"/>
  <x:dimension ref="A1:O34"/>
  <x:sheetViews>
    <x:sheetView tabSelected="1" topLeftCell="A1" zoomScale="85" zoomScaleNormal="85" zoomScaleSheetLayoutView="75" workbookViewId="0">
      <x:selection activeCell="J33" activeCellId="0" sqref="J33:J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122</x:v>
      </x:c>
      <x:c r="D1" s="68"/>
      <x:c r="E1" s="68">
        <x:v>1</x:v>
      </x:c>
      <x:c r="F1" s="68">
        <x:v>13</x:v>
      </x:c>
      <x:c r="G1" s="68" t="s">
        <x:v>25</x:v>
      </x:c>
      <x:c r="H1" s="52" t="s">
        <x:v>96</x:v>
      </x:c>
      <x:c r="I1" s="52">
        <x:f>F1-K1</x:f>
        <x:v>13</x:v>
      </x:c>
      <x:c r="J1" s="52" t="s">
        <x:v>89</x:v>
      </x:c>
      <x:c r="K1" s="52"/>
    </x:row>
    <x:row r="2" spans="1:11" ht="20.100000000000001" customHeight="1">
      <x:c r="A2" s="272" t="s">
        <x:v>50</x:v>
      </x:c>
      <x:c r="B2" s="273"/>
      <x:c r="C2" s="276">
        <x:f>SUM(C4:D7)</x:f>
        <x:v>3626500</x:v>
      </x:c>
      <x:c r="D2" s="276"/>
      <x:c r="E2" s="279" t="s">
        <x:v>20</x:v>
      </x:c>
      <x:c r="F2" s="280"/>
      <x:c r="G2" s="268">
        <x:v>75600</x:v>
      </x:c>
      <x:c r="H2" s="266" t="s">
        <x:v>54</x:v>
      </x:c>
      <x:c r="I2" s="267"/>
      <x:c r="J2" s="264" t="s">
        <x:v>143</x:v>
      </x:c>
      <x:c r="K2" s="265"/>
    </x:row>
    <x:row r="3" spans="1:11" ht="20.100000000000001" customHeight="1">
      <x:c r="A3" s="274"/>
      <x:c r="B3" s="275"/>
      <x:c r="C3" s="277"/>
      <x:c r="D3" s="277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1" ht="30.949999999999999" customHeight="1">
      <x:c r="A4" s="270" t="s">
        <x:v>41</x:v>
      </x:c>
      <x:c r="B4" s="271"/>
      <x:c r="C4" s="263">
        <x:v>3079100</x:v>
      </x:c>
      <x:c r="D4" s="263"/>
      <x:c r="E4" s="278" t="s">
        <x:v>160</x:v>
      </x:c>
      <x:c r="F4" s="278"/>
      <x:c r="G4" s="133">
        <x:f>INT(C4*0.0275)</x:f>
        <x:v>84675</x:v>
      </x:c>
      <x:c r="H4" s="54" t="s">
        <x:v>19</x:v>
      </x:c>
      <x:c r="I4" s="124">
        <x:f>324426+201596+216342+452000+687984-35010-10302-30342-17964</x:f>
        <x:v>1788730</x:v>
      </x:c>
      <x:c r="J4" s="80" t="s">
        <x:v>24</x:v>
      </x:c>
      <x:c r="K4" s="58">
        <x:v>266000</x:v>
      </x:c>
    </x:row>
    <x:row r="5" spans="1:11" ht="30.949999999999999" customHeight="1">
      <x:c r="A5" s="270" t="s">
        <x:v>52</x:v>
      </x:c>
      <x:c r="B5" s="271"/>
      <x:c r="C5" s="263">
        <x:v>547400</x:v>
      </x:c>
      <x:c r="D5" s="263"/>
      <x:c r="E5" s="262" t="s">
        <x:v>136</x:v>
      </x:c>
      <x:c r="F5" s="262"/>
      <x:c r="G5" s="133">
        <x:f>INT(C5*0.01)</x:f>
        <x:v>5474</x:v>
      </x:c>
      <x:c r="H5" s="54" t="s">
        <x:v>54</x:v>
      </x:c>
      <x:c r="I5" s="124">
        <x:f>44000+12050+7420</x:f>
        <x:v>63470</x:v>
      </x:c>
      <x:c r="J5" s="81"/>
      <x:c r="K5" s="58"/>
    </x:row>
    <x:row r="6" spans="1:11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550000</x:v>
      </x:c>
      <x:c r="H6" s="54"/>
      <x:c r="I6" s="124"/>
      <x:c r="J6" s="81" t="s">
        <x:v>99</x:v>
      </x:c>
      <x:c r="K6" s="58"/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4">
        <x:v>74300</x:v>
      </x:c>
      <x:c r="J7" s="81" t="s">
        <x:v>106</x:v>
      </x:c>
      <x:c r="K7" s="58"/>
    </x:row>
    <x:row r="8" spans="1:11" ht="21.949999999999999" customHeight="1">
      <x:c r="A8" s="261" t="s">
        <x:v>98</x:v>
      </x:c>
      <x:c r="B8" s="262"/>
      <x:c r="C8" s="263">
        <x:v>73000</x:v>
      </x:c>
      <x:c r="D8" s="263"/>
      <x:c r="E8" s="289" t="s">
        <x:v>114</x:v>
      </x:c>
      <x:c r="F8" s="290"/>
      <x:c r="G8" s="295">
        <x:f>C5+G2-G6-C22</x:f>
        <x:v>73000</x:v>
      </x:c>
      <x:c r="H8" s="54" t="s">
        <x:v>14</x:v>
      </x:c>
      <x:c r="I8" s="124"/>
      <x:c r="J8" s="81"/>
      <x:c r="K8" s="58"/>
    </x:row>
    <x:row r="9" spans="1:11" ht="21.949999999999999" customHeight="1">
      <x:c r="A9" s="261"/>
      <x:c r="B9" s="262"/>
      <x:c r="C9" s="263"/>
      <x:c r="D9" s="263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30.949999999999999" customHeight="1">
      <x:c r="A10" s="261" t="s">
        <x:v>120</x:v>
      </x:c>
      <x:c r="B10" s="262"/>
      <x:c r="C10" s="263">
        <x:v>59000</x:v>
      </x:c>
      <x:c r="D10" s="263"/>
      <x:c r="E10" s="262" t="s">
        <x:v>101</x:v>
      </x:c>
      <x:c r="F10" s="262"/>
      <x:c r="G10" s="55"/>
      <x:c r="H10" s="54"/>
      <x:c r="I10" s="124"/>
      <x:c r="J10" s="54" t="s">
        <x:v>23</x:v>
      </x:c>
      <x:c r="K10" s="58"/>
    </x:row>
    <x:row r="11" spans="1:11" ht="33" customHeight="1">
      <x:c r="A11" s="261" t="s">
        <x:v>115</x:v>
      </x:c>
      <x:c r="B11" s="262"/>
      <x:c r="C11" s="301" t="s">
        <x:v>80</x:v>
      </x:c>
      <x:c r="D11" s="301"/>
      <x:c r="E11" s="301"/>
      <x:c r="F11" s="301"/>
      <x:c r="G11" s="301"/>
      <x:c r="H11" s="54" t="s">
        <x:v>151</x:v>
      </x:c>
      <x:c r="I11" s="58"/>
      <x:c r="J11" s="54" t="s">
        <x:v>125</x:v>
      </x:c>
      <x:c r="K11" s="135"/>
    </x:row>
    <x:row r="12" spans="1:13" ht="21.949999999999999" customHeight="1">
      <x:c r="A12" s="59" t="s">
        <x:v>21</x:v>
      </x:c>
      <x:c r="B12" s="299" t="s">
        <x:v>8</x:v>
      </x:c>
      <x:c r="C12" s="79">
        <x:v>14</x:v>
      </x:c>
      <x:c r="D12" s="289" t="s">
        <x:v>83</x:v>
      </x:c>
      <x:c r="E12" s="290"/>
      <x:c r="F12" s="293">
        <x:v>10</x:v>
      </x:c>
      <x:c r="G12" s="294"/>
      <x:c r="H12" s="54" t="s">
        <x:v>58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56</x:v>
      </x:c>
      <x:c r="B13" s="300"/>
      <x:c r="C13" s="134">
        <x:f>SUM('1:13'!$C$12)</x:f>
        <x:v>238</x:v>
      </x:c>
      <x:c r="D13" s="281"/>
      <x:c r="E13" s="282"/>
      <x:c r="F13" s="291">
        <x:f>SUM('1:13'!$F$12)</x:f>
        <x:v>283</x:v>
      </x:c>
      <x:c r="G13" s="292"/>
      <x:c r="H13" s="54" t="s">
        <x:v>92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21</x:v>
      </x:c>
      <x:c r="B14" s="299" t="s">
        <x:v>84</x:v>
      </x:c>
      <x:c r="C14" s="79">
        <x:v>20</x:v>
      </x:c>
      <x:c r="D14" s="289" t="s">
        <x:v>73</x:v>
      </x:c>
      <x:c r="E14" s="290"/>
      <x:c r="F14" s="293">
        <x:v>5</x:v>
      </x:c>
      <x:c r="G14" s="294"/>
      <x:c r="H14" s="54" t="s">
        <x:v>61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56</x:v>
      </x:c>
      <x:c r="B15" s="300"/>
      <x:c r="C15" s="134">
        <x:f>SUM('1:13'!$C$14)</x:f>
        <x:v>319</x:v>
      </x:c>
      <x:c r="D15" s="281"/>
      <x:c r="E15" s="282"/>
      <x:c r="F15" s="291">
        <x:f>SUM('1:13'!$F$14)</x:f>
        <x:v>162</x:v>
      </x:c>
      <x:c r="G15" s="292"/>
      <x:c r="H15" s="54" t="s">
        <x:v>64</x:v>
      </x:c>
      <x:c r="I15" s="58">
        <x:f>9800+5900+27200+19200+52000</x:f>
        <x:v>114100</x:v>
      </x:c>
      <x:c r="J15" s="54" t="s">
        <x:v>143</x:v>
      </x:c>
      <x:c r="K15" s="58"/>
      <x:c r="L15" s="60"/>
      <x:c r="M15" s="11"/>
    </x:row>
    <x:row r="16" spans="1:13" ht="21.949999999999999" customHeight="1">
      <x:c r="A16" s="59" t="s">
        <x:v>21</x:v>
      </x:c>
      <x:c r="B16" s="299" t="s">
        <x:v>51</x:v>
      </x:c>
      <x:c r="C16" s="79">
        <x:v>6</x:v>
      </x:c>
      <x:c r="D16" s="289" t="s">
        <x:v>81</x:v>
      </x:c>
      <x:c r="E16" s="290"/>
      <x:c r="F16" s="287">
        <x:v>10</x:v>
      </x:c>
      <x:c r="G16" s="287"/>
      <x:c r="H16" s="54"/>
      <x:c r="I16" s="58"/>
      <x:c r="J16" s="54" t="s">
        <x:v>105</x:v>
      </x:c>
      <x:c r="K16" s="58">
        <x:v>40840</x:v>
      </x:c>
      <x:c r="L16" s="60"/>
      <x:c r="M16" s="11"/>
    </x:row>
    <x:row r="17" spans="1:13" ht="21.949999999999999" customHeight="1">
      <x:c r="A17" s="59" t="s">
        <x:v>56</x:v>
      </x:c>
      <x:c r="B17" s="300"/>
      <x:c r="C17" s="134">
        <x:f>SUM('1:13'!$C$16)</x:f>
        <x:v>75</x:v>
      </x:c>
      <x:c r="D17" s="281"/>
      <x:c r="E17" s="282"/>
      <x:c r="F17" s="288">
        <x:f>SUM('1:13'!$F$16)</x:f>
        <x:v>152</x:v>
      </x:c>
      <x:c r="G17" s="288"/>
      <x:c r="H17" s="54" t="s">
        <x:v>18</x:v>
      </x:c>
      <x:c r="I17" s="58"/>
      <x:c r="J17" s="54" t="s">
        <x:v>97</x:v>
      </x:c>
      <x:c r="K17" s="58"/>
      <x:c r="L17" s="60"/>
      <x:c r="M17" s="11"/>
    </x:row>
    <x:row r="18" spans="1:13" ht="21.949999999999999" customHeight="1">
      <x:c r="A18" s="59" t="s">
        <x:v>21</x:v>
      </x:c>
      <x:c r="B18" s="299" t="s">
        <x:v>107</x:v>
      </x:c>
      <x:c r="C18" s="79">
        <x:v>18</x:v>
      </x:c>
      <x:c r="D18" s="289" t="s">
        <x:v>29</x:v>
      </x:c>
      <x:c r="E18" s="290"/>
      <x:c r="F18" s="297">
        <x:v>1</x:v>
      </x:c>
      <x:c r="G18" s="29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56</x:v>
      </x:c>
      <x:c r="B19" s="300"/>
      <x:c r="C19" s="134">
        <x:f>SUM('1:13'!$C$18)</x:f>
        <x:v>383</x:v>
      </x:c>
      <x:c r="D19" s="281"/>
      <x:c r="E19" s="282"/>
      <x:c r="F19" s="288">
        <x:f>SUM('1:13'!$F$18)</x:f>
        <x:v>42</x:v>
      </x:c>
      <x:c r="G19" s="288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108</x:v>
      </x:c>
      <x:c r="E20" s="262"/>
      <x:c r="F20" s="287"/>
      <x:c r="G20" s="287"/>
      <x:c r="H20" s="58"/>
      <x:c r="J20" s="54"/>
      <x:c r="K20" s="58"/>
      <x:c r="L20" s="60"/>
      <x:c r="M20" s="11"/>
    </x:row>
    <x:row r="21" spans="4:13" ht="21.949999999999999" customHeight="1">
      <x:c r="D21" s="262" t="s">
        <x:v>128</x:v>
      </x:c>
      <x:c r="E21" s="262"/>
      <x:c r="F21" s="288">
        <x:f>SUM('1:13'!$F$20)</x:f>
        <x:v>688</x:v>
      </x:c>
      <x:c r="G21" s="288"/>
      <x:c r="H21" s="58"/>
      <x:c r="J21" s="54"/>
      <x:c r="K21" s="58"/>
      <x:c r="L21" s="60"/>
      <x:c r="M21" s="11"/>
    </x:row>
    <x:row r="22" spans="1:13" ht="32.100000000000001" customHeight="1">
      <x:c r="A22" s="261" t="s">
        <x:v>121</x:v>
      </x:c>
      <x:c r="B22" s="262"/>
      <x:c r="C22" s="286"/>
      <x:c r="D22" s="286"/>
      <x:c r="E22" s="286"/>
      <x:c r="F22" s="286"/>
      <x:c r="G22" s="286"/>
      <x:c r="H22" s="54"/>
      <x:c r="J22" s="54"/>
      <x:c r="K22" s="58"/>
      <x:c r="L22" s="60"/>
      <x:c r="M22" s="11"/>
    </x:row>
    <x:row r="23" spans="1:15" ht="34.149999999999999" customHeight="1">
      <x:c r="A23" s="261" t="s">
        <x:v>59</x:v>
      </x:c>
      <x:c r="B23" s="262"/>
      <x:c r="C23" s="317"/>
      <x:c r="D23" s="318"/>
      <x:c r="E23" s="318"/>
      <x:c r="F23" s="318"/>
      <x:c r="G23" s="318"/>
      <x:c r="H23" s="107" t="s">
        <x:v>95</x:v>
      </x:c>
      <x:c r="I23" s="108">
        <x:f>SUM(I4:I22)</x:f>
        <x:v>2040600</x:v>
      </x:c>
      <x:c r="J23" s="61" t="s">
        <x:v>70</x:v>
      </x:c>
      <x:c r="K23" s="62">
        <x:f>SUM(K4:K22)</x:f>
        <x:v>306840</x:v>
      </x:c>
      <x:c r="M23" s="88" t="s">
        <x:v>102</x:v>
      </x:c>
      <x:c r="N23" s="284">
        <x:f>C5+C6</x:f>
        <x:v>547400</x:v>
      </x:c>
      <x:c r="O23" s="285"/>
    </x:row>
    <x:row r="24" spans="1:11" ht="34.149999999999999" customHeight="1">
      <x:c r="A24" s="261" t="s">
        <x:v>152</x:v>
      </x:c>
      <x:c r="B24" s="262"/>
      <x:c r="C24" s="262" t="s">
        <x:v>86</x:v>
      </x:c>
      <x:c r="D24" s="262"/>
      <x:c r="E24" s="262" t="s">
        <x:v>62</x:v>
      </x:c>
      <x:c r="F24" s="262"/>
      <x:c r="G24" s="262"/>
      <x:c r="H24" s="107" t="s">
        <x:v>152</x:v>
      </x:c>
      <x:c r="I24" s="109">
        <x:f>I23/A25</x:f>
        <x:v>0.56269130015166136</x:v>
      </x:c>
      <x:c r="J24" s="61" t="s">
        <x:v>152</x:v>
      </x:c>
      <x:c r="K24" s="63">
        <x:f>K23/A25</x:f>
        <x:v>0.084610505997518265</x:v>
      </x:c>
    </x:row>
    <x:row r="25" spans="1:11" ht="34.149999999999999" customHeight="1">
      <x:c r="A25" s="313">
        <x:f>C2</x:f>
        <x:v>3626500</x:v>
      </x:c>
      <x:c r="B25" s="277"/>
      <x:c r="C25" s="277">
        <x:f>E25/I1</x:f>
        <x:v>4246600</x:v>
      </x:c>
      <x:c r="D25" s="277"/>
      <x:c r="E25" s="277">
        <x:f>SUM('1:13'!$A$25)</x:f>
        <x:v>55205800</x:v>
      </x:c>
      <x:c r="F25" s="277"/>
      <x:c r="G25" s="277"/>
      <x:c r="H25" s="107" t="s">
        <x:v>156</x:v>
      </x:c>
      <x:c r="I25" s="108">
        <x:f>SUM('1:13'!$I$23)</x:f>
        <x:v>18859626</x:v>
      </x:c>
      <x:c r="J25" s="61" t="s">
        <x:v>156</x:v>
      </x:c>
      <x:c r="K25" s="62">
        <x:f>SUM('1:13'!$K$21)</x:f>
        <x:v>0</x:v>
      </x:c>
    </x:row>
    <x:row r="26" spans="1:11" ht="34.149999999999999" customHeight="1">
      <x:c r="A26" s="261" t="s">
        <x:v>68</x:v>
      </x:c>
      <x:c r="B26" s="262"/>
      <x:c r="C26" s="262"/>
      <x:c r="D26" s="262"/>
      <x:c r="E26" s="263"/>
      <x:c r="F26" s="263"/>
      <x:c r="G26" s="263"/>
      <x:c r="H26" s="107" t="s">
        <x:v>67</x:v>
      </x:c>
      <x:c r="I26" s="110">
        <x:f>I25/$E$25</x:f>
        <x:v>0.34162399602940269</x:v>
      </x:c>
      <x:c r="J26" s="64" t="s">
        <x:v>67</x:v>
      </x:c>
      <x:c r="K26" s="65">
        <x:f>K25/$E$25</x:f>
        <x:v>0</x:v>
      </x:c>
    </x:row>
    <x:row r="27" spans="1:13" ht="30.949999999999999" customHeight="1">
      <x:c r="A27" s="319" t="s">
        <x:v>113</x:v>
      </x:c>
      <x:c r="B27" s="54" t="s">
        <x:v>17</x:v>
      </x:c>
      <x:c r="C27" s="277">
        <x:f>3300000/31</x:f>
        <x:v>106451.6129032258</x:v>
      </x:c>
      <x:c r="D27" s="277"/>
      <x:c r="E27" s="55" t="s">
        <x:v>12</x:v>
      </x:c>
      <x:c r="F27" s="263">
        <x:f>13000*5</x:f>
        <x:v>65000</x:v>
      </x:c>
      <x:c r="G27" s="263"/>
      <x:c r="H27" s="111" t="s">
        <x:v>69</x:v>
      </x:c>
      <x:c r="I27" s="112">
        <x:f>SUM(C27:D34,F27:G32)</x:f>
        <x:v>635741.93548387091</x:v>
      </x:c>
      <x:c r="M27" s="66"/>
    </x:row>
    <x:row r="28" spans="1:13" ht="30.949999999999999" customHeight="1">
      <x:c r="A28" s="320"/>
      <x:c r="B28" s="54" t="s">
        <x:v>161</x:v>
      </x:c>
      <x:c r="C28" s="314">
        <x:f>3300000/31</x:f>
        <x:v>106451.6129032258</x:v>
      </x:c>
      <x:c r="D28" s="315"/>
      <x:c r="E28" s="148" t="s">
        <x:v>37</x:v>
      </x:c>
      <x:c r="F28" s="316"/>
      <x:c r="G28" s="316"/>
      <x:c r="H28" s="111" t="s">
        <x:v>152</x:v>
      </x:c>
      <x:c r="I28" s="113">
        <x:f>I27/$A$25</x:f>
        <x:v>0.17530454583865185</x:v>
      </x:c>
      <x:c r="M28" s="66"/>
    </x:row>
    <x:row r="29" spans="1:13" ht="30.949999999999999" customHeight="1">
      <x:c r="A29" s="320"/>
      <x:c r="B29" s="54" t="s">
        <x:v>38</x:v>
      </x:c>
      <x:c r="C29" s="277">
        <x:f>3300000/31</x:f>
        <x:v>106451.6129032258</x:v>
      </x:c>
      <x:c r="D29" s="277"/>
      <x:c r="E29" s="54" t="s">
        <x:v>147</x:v>
      </x:c>
      <x:c r="F29" s="263"/>
      <x:c r="G29" s="263"/>
      <x:c r="H29" s="111" t="s">
        <x:v>156</x:v>
      </x:c>
      <x:c r="I29" s="112">
        <x:f>SUM('1:13'!$I$25)</x:f>
        <x:v>130340244</x:v>
      </x:c>
      <x:c r="M29" s="66"/>
    </x:row>
    <x:row r="30" spans="1:13" ht="30.949999999999999" customHeight="1">
      <x:c r="A30" s="320"/>
      <x:c r="B30" s="55" t="s">
        <x:v>28</x:v>
      </x:c>
      <x:c r="C30" s="277">
        <x:f>1500000/31</x:f>
        <x:v>48387.096774193546</x:v>
      </x:c>
      <x:c r="D30" s="277"/>
      <x:c r="E30" s="55"/>
      <x:c r="F30" s="311"/>
      <x:c r="G30" s="312"/>
      <x:c r="H30" s="111" t="s">
        <x:v>67</x:v>
      </x:c>
      <x:c r="I30" s="113">
        <x:f>I29/$I$27</x:f>
        <x:v>205.0206801298965</x:v>
      </x:c>
      <x:c r="M30" s="66"/>
    </x:row>
    <x:row r="31" spans="1:7" customHeight="1">
      <x:c r="A31" s="320"/>
      <x:c r="B31" s="147"/>
      <x:c r="C31" s="309"/>
      <x:c r="D31" s="310"/>
      <x:c r="E31" s="55" t="s">
        <x:v>10</x:v>
      </x:c>
      <x:c r="F31" s="311"/>
      <x:c r="G31" s="312"/>
    </x:row>
    <x:row r="32" spans="1:7" customHeight="1">
      <x:c r="A32" s="320"/>
      <x:c r="B32" s="147"/>
      <x:c r="C32" s="309"/>
      <x:c r="D32" s="310"/>
      <x:c r="E32" s="55" t="s">
        <x:v>79</x:v>
      </x:c>
      <x:c r="F32" s="311">
        <x:f>132000+71000</x:f>
        <x:v>203000</x:v>
      </x:c>
      <x:c r="G32" s="312"/>
    </x:row>
    <x:row r="33" spans="1:4" customHeight="1">
      <x:c r="A33" s="320"/>
      <x:c r="B33" s="54"/>
      <x:c r="C33" s="309"/>
      <x:c r="D33" s="310"/>
    </x:row>
    <x:row r="34" spans="1:4" customHeight="1">
      <x:c r="A34" s="321"/>
      <x:c r="B34" s="54"/>
      <x:c r="C34" s="311"/>
      <x:c r="D34" s="312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D14:E15"/>
    <x:mergeCell ref="B18:B19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6"/>
  <x:dimension ref="A1:O34"/>
  <x:sheetViews>
    <x:sheetView tabSelected="1" topLeftCell="A1" zoomScale="85" zoomScaleNormal="85" zoomScaleSheetLayoutView="75" workbookViewId="0">
      <x:selection activeCell="K37" activeCellId="0" sqref="K37:K37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122</x:v>
      </x:c>
      <x:c r="D1" s="68"/>
      <x:c r="E1" s="68">
        <x:v>1</x:v>
      </x:c>
      <x:c r="F1" s="68">
        <x:v>14</x:v>
      </x:c>
      <x:c r="G1" s="68" t="s">
        <x:v>33</x:v>
      </x:c>
      <x:c r="H1" s="52" t="s">
        <x:v>96</x:v>
      </x:c>
      <x:c r="I1" s="52">
        <x:f>F1-K1</x:f>
        <x:v>14</x:v>
      </x:c>
      <x:c r="J1" s="52" t="s">
        <x:v>89</x:v>
      </x:c>
      <x:c r="K1" s="52"/>
    </x:row>
    <x:row r="2" spans="1:11" ht="20.100000000000001" customHeight="1">
      <x:c r="A2" s="272" t="s">
        <x:v>50</x:v>
      </x:c>
      <x:c r="B2" s="273"/>
      <x:c r="C2" s="276">
        <x:f>SUM(C4:D7)</x:f>
        <x:v>4049400</x:v>
      </x:c>
      <x:c r="D2" s="276"/>
      <x:c r="E2" s="279" t="s">
        <x:v>20</x:v>
      </x:c>
      <x:c r="F2" s="280"/>
      <x:c r="G2" s="268">
        <x:v>73000</x:v>
      </x:c>
      <x:c r="H2" s="266" t="s">
        <x:v>54</x:v>
      </x:c>
      <x:c r="I2" s="267"/>
      <x:c r="J2" s="264" t="s">
        <x:v>143</x:v>
      </x:c>
      <x:c r="K2" s="265"/>
    </x:row>
    <x:row r="3" spans="1:11" ht="20.100000000000001" customHeight="1">
      <x:c r="A3" s="274"/>
      <x:c r="B3" s="275"/>
      <x:c r="C3" s="277"/>
      <x:c r="D3" s="277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1" ht="30.949999999999999" customHeight="1">
      <x:c r="A4" s="270" t="s">
        <x:v>41</x:v>
      </x:c>
      <x:c r="B4" s="271"/>
      <x:c r="C4" s="263">
        <x:v>3057600</x:v>
      </x:c>
      <x:c r="D4" s="263"/>
      <x:c r="E4" s="278" t="s">
        <x:v>160</x:v>
      </x:c>
      <x:c r="F4" s="278"/>
      <x:c r="G4" s="133">
        <x:f>INT(C4*0.0275)</x:f>
        <x:v>84084</x:v>
      </x:c>
      <x:c r="H4" s="54" t="s">
        <x:v>19</x:v>
      </x:c>
      <x:c r="I4" s="124">
        <x:f>653520+429140+188870+343992</x:f>
        <x:v>1615522</x:v>
      </x:c>
      <x:c r="J4" s="80" t="s">
        <x:v>24</x:v>
      </x:c>
      <x:c r="K4" s="58"/>
    </x:row>
    <x:row r="5" spans="1:11" ht="30.949999999999999" customHeight="1">
      <x:c r="A5" s="270" t="s">
        <x:v>52</x:v>
      </x:c>
      <x:c r="B5" s="271"/>
      <x:c r="C5" s="263">
        <x:v>991800</x:v>
      </x:c>
      <x:c r="D5" s="263"/>
      <x:c r="E5" s="262" t="s">
        <x:v>136</x:v>
      </x:c>
      <x:c r="F5" s="262"/>
      <x:c r="G5" s="133">
        <x:f>INT(C5*0.01)</x:f>
        <x:v>9918</x:v>
      </x:c>
      <x:c r="H5" s="54" t="s">
        <x:v>54</x:v>
      </x:c>
      <x:c r="I5" s="124">
        <x:f>46900+50000+18710+30300</x:f>
        <x:v>145910</x:v>
      </x:c>
      <x:c r="J5" s="81"/>
      <x:c r="K5" s="58"/>
    </x:row>
    <x:row r="6" spans="1:11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1000000</x:v>
      </x:c>
      <x:c r="H6" s="54"/>
      <x:c r="I6" s="124"/>
      <x:c r="J6" s="81" t="s">
        <x:v>99</x:v>
      </x:c>
      <x:c r="K6" s="58"/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4">
        <x:v>38280</x:v>
      </x:c>
      <x:c r="J7" s="81" t="s">
        <x:v>106</x:v>
      </x:c>
      <x:c r="K7" s="58"/>
    </x:row>
    <x:row r="8" spans="1:11" ht="21.949999999999999" customHeight="1">
      <x:c r="A8" s="261" t="s">
        <x:v>98</x:v>
      </x:c>
      <x:c r="B8" s="262"/>
      <x:c r="C8" s="263">
        <x:v>69600</x:v>
      </x:c>
      <x:c r="D8" s="263"/>
      <x:c r="E8" s="289" t="s">
        <x:v>114</x:v>
      </x:c>
      <x:c r="F8" s="290"/>
      <x:c r="G8" s="295">
        <x:f>C5+G2-G6-C22</x:f>
        <x:v>64800</x:v>
      </x:c>
      <x:c r="H8" s="54" t="s">
        <x:v>14</x:v>
      </x:c>
      <x:c r="I8" s="124"/>
      <x:c r="J8" s="81"/>
      <x:c r="K8" s="58"/>
    </x:row>
    <x:row r="9" spans="1:11" ht="21.949999999999999" customHeight="1">
      <x:c r="A9" s="261"/>
      <x:c r="B9" s="262"/>
      <x:c r="C9" s="263"/>
      <x:c r="D9" s="263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30.949999999999999" customHeight="1">
      <x:c r="A10" s="261" t="s">
        <x:v>120</x:v>
      </x:c>
      <x:c r="B10" s="262"/>
      <x:c r="C10" s="263"/>
      <x:c r="D10" s="263"/>
      <x:c r="E10" s="262" t="s">
        <x:v>101</x:v>
      </x:c>
      <x:c r="F10" s="262"/>
      <x:c r="G10" s="55"/>
      <x:c r="H10" s="54"/>
      <x:c r="I10" s="124"/>
      <x:c r="J10" s="54" t="s">
        <x:v>23</x:v>
      </x:c>
      <x:c r="K10" s="58"/>
    </x:row>
    <x:row r="11" spans="1:11" ht="33" customHeight="1">
      <x:c r="A11" s="261" t="s">
        <x:v>115</x:v>
      </x:c>
      <x:c r="B11" s="262"/>
      <x:c r="C11" s="301"/>
      <x:c r="D11" s="301"/>
      <x:c r="E11" s="301"/>
      <x:c r="F11" s="301"/>
      <x:c r="G11" s="301"/>
      <x:c r="H11" s="54" t="s">
        <x:v>151</x:v>
      </x:c>
      <x:c r="I11" s="58"/>
      <x:c r="J11" s="54" t="s">
        <x:v>125</x:v>
      </x:c>
      <x:c r="K11" s="135"/>
    </x:row>
    <x:row r="12" spans="1:13" ht="21.949999999999999" customHeight="1">
      <x:c r="A12" s="59" t="s">
        <x:v>21</x:v>
      </x:c>
      <x:c r="B12" s="299" t="s">
        <x:v>8</x:v>
      </x:c>
      <x:c r="C12" s="79">
        <x:v>13</x:v>
      </x:c>
      <x:c r="D12" s="289" t="s">
        <x:v>83</x:v>
      </x:c>
      <x:c r="E12" s="290"/>
      <x:c r="F12" s="293">
        <x:v>12</x:v>
      </x:c>
      <x:c r="G12" s="294"/>
      <x:c r="H12" s="54" t="s">
        <x:v>58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56</x:v>
      </x:c>
      <x:c r="B13" s="300"/>
      <x:c r="C13" s="134">
        <x:f>SUM('1:14'!$C$12)</x:f>
        <x:v>251</x:v>
      </x:c>
      <x:c r="D13" s="281"/>
      <x:c r="E13" s="282"/>
      <x:c r="F13" s="291">
        <x:f>SUM('1:14'!$F$12)</x:f>
        <x:v>295</x:v>
      </x:c>
      <x:c r="G13" s="292"/>
      <x:c r="H13" s="54" t="s">
        <x:v>92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21</x:v>
      </x:c>
      <x:c r="B14" s="299" t="s">
        <x:v>84</x:v>
      </x:c>
      <x:c r="C14" s="79">
        <x:v>27</x:v>
      </x:c>
      <x:c r="D14" s="289" t="s">
        <x:v>73</x:v>
      </x:c>
      <x:c r="E14" s="290"/>
      <x:c r="F14" s="293">
        <x:v>17</x:v>
      </x:c>
      <x:c r="G14" s="294"/>
      <x:c r="H14" s="54" t="s">
        <x:v>61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56</x:v>
      </x:c>
      <x:c r="B15" s="300"/>
      <x:c r="C15" s="134">
        <x:f>SUM('1:14'!$C$14)</x:f>
        <x:v>346</x:v>
      </x:c>
      <x:c r="D15" s="281"/>
      <x:c r="E15" s="282"/>
      <x:c r="F15" s="291">
        <x:f>SUM('1:14'!$F$14)</x:f>
        <x:v>179</x:v>
      </x:c>
      <x:c r="G15" s="292"/>
      <x:c r="H15" s="54" t="s">
        <x:v>64</x:v>
      </x:c>
      <x:c r="I15" s="58">
        <x:f>5500+5900+34000+10500+10000+5500+38000+14000+3500</x:f>
        <x:v>126900</x:v>
      </x:c>
      <x:c r="J15" s="54" t="s">
        <x:v>143</x:v>
      </x:c>
      <x:c r="K15" s="58"/>
      <x:c r="L15" s="60"/>
      <x:c r="M15" s="11"/>
    </x:row>
    <x:row r="16" spans="1:13" ht="21.949999999999999" customHeight="1">
      <x:c r="A16" s="59" t="s">
        <x:v>21</x:v>
      </x:c>
      <x:c r="B16" s="299" t="s">
        <x:v>51</x:v>
      </x:c>
      <x:c r="C16" s="79">
        <x:v>2</x:v>
      </x:c>
      <x:c r="D16" s="289" t="s">
        <x:v>81</x:v>
      </x:c>
      <x:c r="E16" s="290"/>
      <x:c r="F16" s="287">
        <x:v>8</x:v>
      </x:c>
      <x:c r="G16" s="287"/>
      <x:c r="H16" s="54"/>
      <x:c r="I16" s="58"/>
      <x:c r="J16" s="54" t="s">
        <x:v>105</x:v>
      </x:c>
      <x:c r="K16" s="58"/>
      <x:c r="L16" s="60"/>
      <x:c r="M16" s="11"/>
    </x:row>
    <x:row r="17" spans="1:13" ht="21.949999999999999" customHeight="1">
      <x:c r="A17" s="59" t="s">
        <x:v>56</x:v>
      </x:c>
      <x:c r="B17" s="300"/>
      <x:c r="C17" s="134">
        <x:f>SUM('1:14'!$C$16)</x:f>
        <x:v>77</x:v>
      </x:c>
      <x:c r="D17" s="281"/>
      <x:c r="E17" s="282"/>
      <x:c r="F17" s="288">
        <x:f>SUM('1:14'!$F$16)</x:f>
        <x:v>160</x:v>
      </x:c>
      <x:c r="G17" s="288"/>
      <x:c r="H17" s="54" t="s">
        <x:v>18</x:v>
      </x:c>
      <x:c r="I17" s="58"/>
      <x:c r="J17" s="54" t="s">
        <x:v>97</x:v>
      </x:c>
      <x:c r="K17" s="58"/>
      <x:c r="L17" s="60"/>
      <x:c r="M17" s="11"/>
    </x:row>
    <x:row r="18" spans="1:13" ht="21.949999999999999" customHeight="1">
      <x:c r="A18" s="59" t="s">
        <x:v>21</x:v>
      </x:c>
      <x:c r="B18" s="299" t="s">
        <x:v>107</x:v>
      </x:c>
      <x:c r="C18" s="79">
        <x:v>37</x:v>
      </x:c>
      <x:c r="D18" s="289" t="s">
        <x:v>29</x:v>
      </x:c>
      <x:c r="E18" s="290"/>
      <x:c r="F18" s="297">
        <x:v>4</x:v>
      </x:c>
      <x:c r="G18" s="29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56</x:v>
      </x:c>
      <x:c r="B19" s="300"/>
      <x:c r="C19" s="134">
        <x:f>SUM('1:14'!$C$18)</x:f>
        <x:v>420</x:v>
      </x:c>
      <x:c r="D19" s="281"/>
      <x:c r="E19" s="282"/>
      <x:c r="F19" s="288">
        <x:f>SUM('1:14'!$F$18)</x:f>
        <x:v>46</x:v>
      </x:c>
      <x:c r="G19" s="288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108</x:v>
      </x:c>
      <x:c r="E20" s="262"/>
      <x:c r="F20" s="287">
        <x:v>62</x:v>
      </x:c>
      <x:c r="G20" s="287"/>
      <x:c r="H20" s="58"/>
      <x:c r="J20" s="54"/>
      <x:c r="K20" s="58"/>
      <x:c r="L20" s="60"/>
      <x:c r="M20" s="11"/>
    </x:row>
    <x:row r="21" spans="4:13" ht="21.949999999999999" customHeight="1">
      <x:c r="D21" s="262" t="s">
        <x:v>128</x:v>
      </x:c>
      <x:c r="E21" s="262"/>
      <x:c r="F21" s="288">
        <x:f>SUM('1:14'!$F$20)</x:f>
        <x:v>750</x:v>
      </x:c>
      <x:c r="G21" s="288"/>
      <x:c r="H21" s="58"/>
      <x:c r="J21" s="54"/>
      <x:c r="K21" s="58"/>
      <x:c r="L21" s="60"/>
      <x:c r="M21" s="11"/>
    </x:row>
    <x:row r="22" spans="1:13" ht="32.100000000000001" customHeight="1">
      <x:c r="A22" s="261" t="s">
        <x:v>121</x:v>
      </x:c>
      <x:c r="B22" s="262"/>
      <x:c r="C22" s="286"/>
      <x:c r="D22" s="286"/>
      <x:c r="E22" s="286"/>
      <x:c r="F22" s="286"/>
      <x:c r="G22" s="286"/>
      <x:c r="H22" s="54"/>
      <x:c r="J22" s="54"/>
      <x:c r="K22" s="58"/>
      <x:c r="L22" s="60"/>
      <x:c r="M22" s="11"/>
    </x:row>
    <x:row r="23" spans="1:15" ht="34.149999999999999" customHeight="1">
      <x:c r="A23" s="261" t="s">
        <x:v>59</x:v>
      </x:c>
      <x:c r="B23" s="262"/>
      <x:c r="C23" s="317"/>
      <x:c r="D23" s="318"/>
      <x:c r="E23" s="318"/>
      <x:c r="F23" s="318"/>
      <x:c r="G23" s="318"/>
      <x:c r="H23" s="107" t="s">
        <x:v>95</x:v>
      </x:c>
      <x:c r="I23" s="108">
        <x:f>SUM(I4:I22)</x:f>
        <x:v>1926612</x:v>
      </x:c>
      <x:c r="J23" s="61" t="s">
        <x:v>70</x:v>
      </x:c>
      <x:c r="K23" s="62">
        <x:f>SUM(K4:K22)</x:f>
        <x:v>0</x:v>
      </x:c>
      <x:c r="M23" s="88" t="s">
        <x:v>102</x:v>
      </x:c>
      <x:c r="N23" s="284">
        <x:f>C5+C6</x:f>
        <x:v>991800</x:v>
      </x:c>
      <x:c r="O23" s="285"/>
    </x:row>
    <x:row r="24" spans="1:11" ht="34.149999999999999" customHeight="1">
      <x:c r="A24" s="261" t="s">
        <x:v>152</x:v>
      </x:c>
      <x:c r="B24" s="262"/>
      <x:c r="C24" s="262" t="s">
        <x:v>86</x:v>
      </x:c>
      <x:c r="D24" s="262"/>
      <x:c r="E24" s="262" t="s">
        <x:v>62</x:v>
      </x:c>
      <x:c r="F24" s="262"/>
      <x:c r="G24" s="262"/>
      <x:c r="H24" s="107" t="s">
        <x:v>152</x:v>
      </x:c>
      <x:c r="I24" s="109">
        <x:f>I23/A25</x:f>
        <x:v>0.47577715217069194</x:v>
      </x:c>
      <x:c r="J24" s="61" t="s">
        <x:v>152</x:v>
      </x:c>
      <x:c r="K24" s="63">
        <x:f>K23/A25</x:f>
        <x:v>0</x:v>
      </x:c>
    </x:row>
    <x:row r="25" spans="1:11" ht="34.149999999999999" customHeight="1">
      <x:c r="A25" s="313">
        <x:f>C2</x:f>
        <x:v>4049400</x:v>
      </x:c>
      <x:c r="B25" s="277"/>
      <x:c r="C25" s="277">
        <x:f>E25/I1</x:f>
        <x:v>4232514.2857142854</x:v>
      </x:c>
      <x:c r="D25" s="277"/>
      <x:c r="E25" s="277">
        <x:f>SUM('1:14'!$A$25)</x:f>
        <x:v>59255200</x:v>
      </x:c>
      <x:c r="F25" s="277"/>
      <x:c r="G25" s="277"/>
      <x:c r="H25" s="107" t="s">
        <x:v>156</x:v>
      </x:c>
      <x:c r="I25" s="108">
        <x:f>SUM('1:14'!$I$23)</x:f>
        <x:v>20786238</x:v>
      </x:c>
      <x:c r="J25" s="61" t="s">
        <x:v>156</x:v>
      </x:c>
      <x:c r="K25" s="62">
        <x:f>SUM('1:14'!$K$21)</x:f>
        <x:v>0</x:v>
      </x:c>
    </x:row>
    <x:row r="26" spans="1:11" ht="34.149999999999999" customHeight="1">
      <x:c r="A26" s="261" t="s">
        <x:v>68</x:v>
      </x:c>
      <x:c r="B26" s="262"/>
      <x:c r="C26" s="262"/>
      <x:c r="D26" s="262"/>
      <x:c r="E26" s="263"/>
      <x:c r="F26" s="263"/>
      <x:c r="G26" s="263"/>
      <x:c r="H26" s="107" t="s">
        <x:v>67</x:v>
      </x:c>
      <x:c r="I26" s="110">
        <x:f>I25/$E$25</x:f>
        <x:v>0.35079179548799094</x:v>
      </x:c>
      <x:c r="J26" s="64" t="s">
        <x:v>67</x:v>
      </x:c>
      <x:c r="K26" s="65">
        <x:f>K25/$E$25</x:f>
        <x:v>0</x:v>
      </x:c>
    </x:row>
    <x:row r="27" spans="1:13" ht="30.949999999999999" customHeight="1">
      <x:c r="A27" s="319" t="s">
        <x:v>113</x:v>
      </x:c>
      <x:c r="B27" s="54" t="s">
        <x:v>17</x:v>
      </x:c>
      <x:c r="C27" s="277">
        <x:f>3300000/31</x:f>
        <x:v>106451.6129032258</x:v>
      </x:c>
      <x:c r="D27" s="277"/>
      <x:c r="E27" s="55" t="s">
        <x:v>12</x:v>
      </x:c>
      <x:c r="F27" s="263">
        <x:f>13000*5</x:f>
        <x:v>65000</x:v>
      </x:c>
      <x:c r="G27" s="263"/>
      <x:c r="H27" s="111" t="s">
        <x:v>69</x:v>
      </x:c>
      <x:c r="I27" s="112">
        <x:f>SUM(C27:D34,F27:G32)</x:f>
        <x:v>432741.93548387091</x:v>
      </x:c>
      <x:c r="M27" s="66"/>
    </x:row>
    <x:row r="28" spans="1:13" ht="30.949999999999999" customHeight="1">
      <x:c r="A28" s="320"/>
      <x:c r="B28" s="54" t="s">
        <x:v>161</x:v>
      </x:c>
      <x:c r="C28" s="314">
        <x:f>3300000/31</x:f>
        <x:v>106451.6129032258</x:v>
      </x:c>
      <x:c r="D28" s="315"/>
      <x:c r="E28" s="148" t="s">
        <x:v>37</x:v>
      </x:c>
      <x:c r="F28" s="316"/>
      <x:c r="G28" s="316"/>
      <x:c r="H28" s="111" t="s">
        <x:v>152</x:v>
      </x:c>
      <x:c r="I28" s="113">
        <x:f>I27/$A$25</x:f>
        <x:v>0.10686569256775594</x:v>
      </x:c>
      <x:c r="M28" s="66"/>
    </x:row>
    <x:row r="29" spans="1:13" ht="30.949999999999999" customHeight="1">
      <x:c r="A29" s="320"/>
      <x:c r="B29" s="54" t="s">
        <x:v>38</x:v>
      </x:c>
      <x:c r="C29" s="277">
        <x:f>3300000/31</x:f>
        <x:v>106451.6129032258</x:v>
      </x:c>
      <x:c r="D29" s="277"/>
      <x:c r="E29" s="54" t="s">
        <x:v>147</x:v>
      </x:c>
      <x:c r="F29" s="263"/>
      <x:c r="G29" s="263"/>
      <x:c r="H29" s="111" t="s">
        <x:v>156</x:v>
      </x:c>
      <x:c r="I29" s="112">
        <x:f>SUM('1:14'!$I$25)</x:f>
        <x:v>151126482</x:v>
      </x:c>
      <x:c r="M29" s="66" t="s">
        <x:v>49</x:v>
      </x:c>
    </x:row>
    <x:row r="30" spans="1:13" ht="30.949999999999999" customHeight="1">
      <x:c r="A30" s="320"/>
      <x:c r="B30" s="55" t="s">
        <x:v>28</x:v>
      </x:c>
      <x:c r="C30" s="277">
        <x:f>1500000/31</x:f>
        <x:v>48387.096774193546</x:v>
      </x:c>
      <x:c r="D30" s="277"/>
      <x:c r="E30" s="55"/>
      <x:c r="F30" s="311"/>
      <x:c r="G30" s="312"/>
      <x:c r="H30" s="111" t="s">
        <x:v>67</x:v>
      </x:c>
      <x:c r="I30" s="113">
        <x:f>I29/$I$27</x:f>
        <x:v>349.23003667536346</x:v>
      </x:c>
      <x:c r="M30" s="66"/>
    </x:row>
    <x:row r="31" spans="1:7" customHeight="1">
      <x:c r="A31" s="320"/>
      <x:c r="B31" s="147"/>
      <x:c r="C31" s="309"/>
      <x:c r="D31" s="310"/>
      <x:c r="E31" s="55" t="s">
        <x:v>10</x:v>
      </x:c>
      <x:c r="F31" s="311"/>
      <x:c r="G31" s="312"/>
    </x:row>
    <x:row r="32" spans="1:7" customHeight="1">
      <x:c r="A32" s="320"/>
      <x:c r="B32" s="147"/>
      <x:c r="C32" s="309"/>
      <x:c r="D32" s="310"/>
      <x:c r="E32" s="55" t="s">
        <x:v>79</x:v>
      </x:c>
      <x:c r="F32" s="311"/>
      <x:c r="G32" s="312"/>
    </x:row>
    <x:row r="33" spans="1:4" customHeight="1">
      <x:c r="A33" s="320"/>
      <x:c r="B33" s="54"/>
      <x:c r="C33" s="309"/>
      <x:c r="D33" s="310"/>
    </x:row>
    <x:row r="34" spans="1:4" customHeight="1">
      <x:c r="A34" s="321"/>
      <x:c r="B34" s="54"/>
      <x:c r="C34" s="311"/>
      <x:c r="D34" s="312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D14:E15"/>
    <x:mergeCell ref="B18:B19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7"/>
  <x:dimension ref="A1:O34"/>
  <x:sheetViews>
    <x:sheetView tabSelected="1" topLeftCell="A1" zoomScale="85" zoomScaleNormal="85" zoomScaleSheetLayoutView="75" workbookViewId="0">
      <x:selection activeCell="A1" activeCellId="0" sqref="A1:L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4" width="8.625" style="53" bestFit="1" customWidth="1"/>
    <x:col min="15" max="16384" width="8.625" style="53"/>
  </x:cols>
  <x:sheetData>
    <x:row r="1" spans="1:11" customHeight="1">
      <x:c r="A1" s="51"/>
      <x:c r="B1" s="51"/>
      <x:c r="C1" s="68" t="s">
        <x:v>122</x:v>
      </x:c>
      <x:c r="D1" s="68"/>
      <x:c r="E1" s="68">
        <x:v>1</x:v>
      </x:c>
      <x:c r="F1" s="68">
        <x:v>15</x:v>
      </x:c>
      <x:c r="G1" s="68" t="s">
        <x:v>7</x:v>
      </x:c>
      <x:c r="H1" s="52" t="s">
        <x:v>96</x:v>
      </x:c>
      <x:c r="I1" s="52">
        <x:f>F1-K1</x:f>
        <x:v>15</x:v>
      </x:c>
      <x:c r="J1" s="52" t="s">
        <x:v>89</x:v>
      </x:c>
      <x:c r="K1" s="52"/>
    </x:row>
    <x:row r="2" spans="1:11" ht="20.100000000000001" customHeight="1">
      <x:c r="A2" s="272" t="s">
        <x:v>50</x:v>
      </x:c>
      <x:c r="B2" s="273"/>
      <x:c r="C2" s="276">
        <x:f>SUM(C4:D7)</x:f>
        <x:v>4229700</x:v>
      </x:c>
      <x:c r="D2" s="276"/>
      <x:c r="E2" s="279" t="s">
        <x:v>20</x:v>
      </x:c>
      <x:c r="F2" s="280"/>
      <x:c r="G2" s="268">
        <x:v>69600</x:v>
      </x:c>
      <x:c r="H2" s="266" t="s">
        <x:v>54</x:v>
      </x:c>
      <x:c r="I2" s="267"/>
      <x:c r="J2" s="264" t="s">
        <x:v>143</x:v>
      </x:c>
      <x:c r="K2" s="265"/>
    </x:row>
    <x:row r="3" spans="1:11" ht="20.100000000000001" customHeight="1">
      <x:c r="A3" s="274"/>
      <x:c r="B3" s="275"/>
      <x:c r="C3" s="277"/>
      <x:c r="D3" s="277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1" ht="30.949999999999999" customHeight="1">
      <x:c r="A4" s="270" t="s">
        <x:v>41</x:v>
      </x:c>
      <x:c r="B4" s="271"/>
      <x:c r="C4" s="263">
        <x:v>3769600</x:v>
      </x:c>
      <x:c r="D4" s="263"/>
      <x:c r="E4" s="278" t="s">
        <x:v>160</x:v>
      </x:c>
      <x:c r="F4" s="278"/>
      <x:c r="G4" s="133"/>
      <x:c r="H4" s="54" t="s">
        <x:v>19</x:v>
      </x:c>
      <x:c r="I4" s="124">
        <x:f>343992+618510+233532</x:f>
        <x:v>1196034</x:v>
      </x:c>
      <x:c r="J4" s="80" t="s">
        <x:v>24</x:v>
      </x:c>
      <x:c r="K4" s="58"/>
    </x:row>
    <x:row r="5" spans="1:13" ht="30.949999999999999" customHeight="1">
      <x:c r="A5" s="270" t="s">
        <x:v>52</x:v>
      </x:c>
      <x:c r="B5" s="271"/>
      <x:c r="C5" s="263">
        <x:v>460100</x:v>
      </x:c>
      <x:c r="D5" s="263"/>
      <x:c r="E5" s="262" t="s">
        <x:v>136</x:v>
      </x:c>
      <x:c r="F5" s="262"/>
      <x:c r="G5" s="133">
        <x:f>INT(C5*0.01)</x:f>
        <x:v>4601</x:v>
      </x:c>
      <x:c r="H5" s="54" t="s">
        <x:v>54</x:v>
      </x:c>
      <x:c r="I5" s="124">
        <x:f>45430+44000+46900+50000+16720+28680</x:f>
        <x:v>231730</x:v>
      </x:c>
      <x:c r="J5" s="81"/>
      <x:c r="K5" s="58"/>
      <x:c r="M5" s="136"/>
    </x:row>
    <x:row r="6" spans="1:11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420000</x:v>
      </x:c>
      <x:c r="H6" s="54"/>
      <x:c r="I6" s="124"/>
      <x:c r="J6" s="81" t="s">
        <x:v>99</x:v>
      </x:c>
      <x:c r="K6" s="58"/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4">
        <x:v>133200</x:v>
      </x:c>
      <x:c r="J7" s="81" t="s">
        <x:v>106</x:v>
      </x:c>
      <x:c r="K7" s="58"/>
    </x:row>
    <x:row r="8" spans="1:11" ht="21.949999999999999" customHeight="1">
      <x:c r="A8" s="261" t="s">
        <x:v>98</x:v>
      </x:c>
      <x:c r="B8" s="262"/>
      <x:c r="C8" s="263">
        <x:v>109700</x:v>
      </x:c>
      <x:c r="D8" s="263"/>
      <x:c r="E8" s="289" t="s">
        <x:v>114</x:v>
      </x:c>
      <x:c r="F8" s="290"/>
      <x:c r="G8" s="295">
        <x:f>C5+G2-G6-C22</x:f>
        <x:v>109700</x:v>
      </x:c>
      <x:c r="H8" s="54" t="s">
        <x:v>14</x:v>
      </x:c>
      <x:c r="I8" s="124">
        <x:v>65000</x:v>
      </x:c>
      <x:c r="J8" s="81"/>
      <x:c r="K8" s="58"/>
    </x:row>
    <x:row r="9" spans="1:11" ht="21.949999999999999" customHeight="1">
      <x:c r="A9" s="261"/>
      <x:c r="B9" s="262"/>
      <x:c r="C9" s="263"/>
      <x:c r="D9" s="263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30.949999999999999" customHeight="1">
      <x:c r="A10" s="261" t="s">
        <x:v>120</x:v>
      </x:c>
      <x:c r="B10" s="262"/>
      <x:c r="C10" s="263"/>
      <x:c r="D10" s="263"/>
      <x:c r="E10" s="262" t="s">
        <x:v>101</x:v>
      </x:c>
      <x:c r="F10" s="262"/>
      <x:c r="G10" s="55"/>
      <x:c r="H10" s="54"/>
      <x:c r="I10" s="124"/>
      <x:c r="J10" s="54" t="s">
        <x:v>23</x:v>
      </x:c>
      <x:c r="K10" s="58"/>
    </x:row>
    <x:row r="11" spans="1:11" ht="33" customHeight="1">
      <x:c r="A11" s="261" t="s">
        <x:v>115</x:v>
      </x:c>
      <x:c r="B11" s="262"/>
      <x:c r="C11" s="301"/>
      <x:c r="D11" s="301"/>
      <x:c r="E11" s="301"/>
      <x:c r="F11" s="301"/>
      <x:c r="G11" s="301"/>
      <x:c r="H11" s="54" t="s">
        <x:v>151</x:v>
      </x:c>
      <x:c r="I11" s="58"/>
      <x:c r="J11" s="54" t="s">
        <x:v>125</x:v>
      </x:c>
      <x:c r="K11" s="135"/>
    </x:row>
    <x:row r="12" spans="1:13" ht="21.949999999999999" customHeight="1">
      <x:c r="A12" s="59" t="s">
        <x:v>21</x:v>
      </x:c>
      <x:c r="B12" s="299" t="s">
        <x:v>8</x:v>
      </x:c>
      <x:c r="C12" s="79">
        <x:v>5</x:v>
      </x:c>
      <x:c r="D12" s="289" t="s">
        <x:v>83</x:v>
      </x:c>
      <x:c r="E12" s="290"/>
      <x:c r="F12" s="293">
        <x:v>22</x:v>
      </x:c>
      <x:c r="G12" s="294"/>
      <x:c r="H12" s="54" t="s">
        <x:v>58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56</x:v>
      </x:c>
      <x:c r="B13" s="300"/>
      <x:c r="C13" s="134">
        <x:f>SUM('1:15'!$C$12)</x:f>
        <x:v>256</x:v>
      </x:c>
      <x:c r="D13" s="281"/>
      <x:c r="E13" s="282"/>
      <x:c r="F13" s="291">
        <x:f>SUM('1:15'!$F$12)</x:f>
        <x:v>317</x:v>
      </x:c>
      <x:c r="G13" s="292"/>
      <x:c r="H13" s="54" t="s">
        <x:v>92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21</x:v>
      </x:c>
      <x:c r="B14" s="299" t="s">
        <x:v>84</x:v>
      </x:c>
      <x:c r="C14" s="79">
        <x:v>16</x:v>
      </x:c>
      <x:c r="D14" s="289" t="s">
        <x:v>73</x:v>
      </x:c>
      <x:c r="E14" s="290"/>
      <x:c r="F14" s="293">
        <x:v>14</x:v>
      </x:c>
      <x:c r="G14" s="294"/>
      <x:c r="H14" s="54" t="s">
        <x:v>61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56</x:v>
      </x:c>
      <x:c r="B15" s="300"/>
      <x:c r="C15" s="134">
        <x:f>SUM('1:15'!$C$14)</x:f>
        <x:v>362</x:v>
      </x:c>
      <x:c r="D15" s="281"/>
      <x:c r="E15" s="282"/>
      <x:c r="F15" s="291">
        <x:f>SUM('1:15'!$F$14)</x:f>
        <x:v>193</x:v>
      </x:c>
      <x:c r="G15" s="292"/>
      <x:c r="H15" s="54" t="s">
        <x:v>64</x:v>
      </x:c>
      <x:c r="I15" s="58">
        <x:f>9800+5900+54400+19200+10000</x:f>
        <x:v>99300</x:v>
      </x:c>
      <x:c r="J15" s="54" t="s">
        <x:v>143</x:v>
      </x:c>
      <x:c r="K15" s="58"/>
      <x:c r="L15" s="60"/>
      <x:c r="M15" s="11"/>
    </x:row>
    <x:row r="16" spans="1:13" ht="21.949999999999999" customHeight="1">
      <x:c r="A16" s="59" t="s">
        <x:v>21</x:v>
      </x:c>
      <x:c r="B16" s="299" t="s">
        <x:v>51</x:v>
      </x:c>
      <x:c r="C16" s="79">
        <x:v>2</x:v>
      </x:c>
      <x:c r="D16" s="289" t="s">
        <x:v>81</x:v>
      </x:c>
      <x:c r="E16" s="290"/>
      <x:c r="F16" s="287">
        <x:v>13</x:v>
      </x:c>
      <x:c r="G16" s="287"/>
      <x:c r="H16" s="54"/>
      <x:c r="I16" s="58"/>
      <x:c r="J16" s="54" t="s">
        <x:v>105</x:v>
      </x:c>
      <x:c r="K16" s="58"/>
      <x:c r="L16" s="60"/>
      <x:c r="M16" s="11"/>
    </x:row>
    <x:row r="17" spans="1:13" ht="21.949999999999999" customHeight="1">
      <x:c r="A17" s="59" t="s">
        <x:v>56</x:v>
      </x:c>
      <x:c r="B17" s="300"/>
      <x:c r="C17" s="134">
        <x:f>SUM('1:15'!$C$16)</x:f>
        <x:v>79</x:v>
      </x:c>
      <x:c r="D17" s="281"/>
      <x:c r="E17" s="282"/>
      <x:c r="F17" s="288">
        <x:f>SUM('1:15'!$F$16)</x:f>
        <x:v>173</x:v>
      </x:c>
      <x:c r="G17" s="288"/>
      <x:c r="H17" s="54" t="s">
        <x:v>18</x:v>
      </x:c>
      <x:c r="I17" s="58"/>
      <x:c r="J17" s="54" t="s">
        <x:v>97</x:v>
      </x:c>
      <x:c r="K17" s="58"/>
      <x:c r="L17" s="60"/>
      <x:c r="M17" s="11"/>
    </x:row>
    <x:row r="18" spans="1:13" ht="21.949999999999999" customHeight="1">
      <x:c r="A18" s="59" t="s">
        <x:v>21</x:v>
      </x:c>
      <x:c r="B18" s="299" t="s">
        <x:v>107</x:v>
      </x:c>
      <x:c r="C18" s="79">
        <x:v>20</x:v>
      </x:c>
      <x:c r="D18" s="289" t="s">
        <x:v>29</x:v>
      </x:c>
      <x:c r="E18" s="290"/>
      <x:c r="F18" s="297">
        <x:v>2</x:v>
      </x:c>
      <x:c r="G18" s="29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56</x:v>
      </x:c>
      <x:c r="B19" s="300"/>
      <x:c r="C19" s="134">
        <x:f>SUM('1:15'!$C$18)</x:f>
        <x:v>440</x:v>
      </x:c>
      <x:c r="D19" s="281"/>
      <x:c r="E19" s="282"/>
      <x:c r="F19" s="288">
        <x:f>SUM('1:15'!$F$18)</x:f>
        <x:v>48</x:v>
      </x:c>
      <x:c r="G19" s="288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108</x:v>
      </x:c>
      <x:c r="E20" s="262"/>
      <x:c r="F20" s="287">
        <x:v>58</x:v>
      </x:c>
      <x:c r="G20" s="287"/>
      <x:c r="H20" s="58"/>
      <x:c r="J20" s="54"/>
      <x:c r="K20" s="58"/>
      <x:c r="L20" s="60"/>
      <x:c r="M20" s="11"/>
    </x:row>
    <x:row r="21" spans="4:13" ht="21.949999999999999" customHeight="1">
      <x:c r="D21" s="262" t="s">
        <x:v>128</x:v>
      </x:c>
      <x:c r="E21" s="262"/>
      <x:c r="F21" s="288">
        <x:f>SUM('1:15'!$F$20)</x:f>
        <x:v>808</x:v>
      </x:c>
      <x:c r="G21" s="288"/>
      <x:c r="H21" s="58"/>
      <x:c r="J21" s="54"/>
      <x:c r="K21" s="58"/>
      <x:c r="L21" s="60"/>
      <x:c r="M21" s="11"/>
    </x:row>
    <x:row r="22" spans="1:13" ht="32.100000000000001" customHeight="1">
      <x:c r="A22" s="261" t="s">
        <x:v>121</x:v>
      </x:c>
      <x:c r="B22" s="262"/>
      <x:c r="C22" s="286"/>
      <x:c r="D22" s="286"/>
      <x:c r="E22" s="286"/>
      <x:c r="F22" s="286"/>
      <x:c r="G22" s="286"/>
      <x:c r="H22" s="54"/>
      <x:c r="J22" s="54"/>
      <x:c r="K22" s="58"/>
      <x:c r="L22" s="60"/>
      <x:c r="M22" s="11"/>
    </x:row>
    <x:row r="23" spans="1:15" ht="34.149999999999999" customHeight="1">
      <x:c r="A23" s="261" t="s">
        <x:v>59</x:v>
      </x:c>
      <x:c r="B23" s="262"/>
      <x:c r="C23" s="317"/>
      <x:c r="D23" s="318"/>
      <x:c r="E23" s="318"/>
      <x:c r="F23" s="318"/>
      <x:c r="G23" s="318"/>
      <x:c r="H23" s="107" t="s">
        <x:v>95</x:v>
      </x:c>
      <x:c r="I23" s="108">
        <x:f>SUM(I4:I22)</x:f>
        <x:v>1725264</x:v>
      </x:c>
      <x:c r="J23" s="61" t="s">
        <x:v>70</x:v>
      </x:c>
      <x:c r="K23" s="62">
        <x:f>SUM(K4:K22)</x:f>
        <x:v>0</x:v>
      </x:c>
      <x:c r="M23" s="88" t="s">
        <x:v>102</x:v>
      </x:c>
      <x:c r="N23" s="284">
        <x:f>C5+C6</x:f>
        <x:v>460100</x:v>
      </x:c>
      <x:c r="O23" s="285"/>
    </x:row>
    <x:row r="24" spans="1:11" ht="34.149999999999999" customHeight="1">
      <x:c r="A24" s="261" t="s">
        <x:v>152</x:v>
      </x:c>
      <x:c r="B24" s="262"/>
      <x:c r="C24" s="262" t="s">
        <x:v>86</x:v>
      </x:c>
      <x:c r="D24" s="262"/>
      <x:c r="E24" s="262" t="s">
        <x:v>62</x:v>
      </x:c>
      <x:c r="F24" s="262"/>
      <x:c r="G24" s="262"/>
      <x:c r="H24" s="107" t="s">
        <x:v>152</x:v>
      </x:c>
      <x:c r="I24" s="109">
        <x:f>I23/A25</x:f>
        <x:v>0.40789275835165617</x:v>
      </x:c>
      <x:c r="J24" s="61" t="s">
        <x:v>152</x:v>
      </x:c>
      <x:c r="K24" s="63">
        <x:f>K23/A25</x:f>
        <x:v>0</x:v>
      </x:c>
    </x:row>
    <x:row r="25" spans="1:11" ht="34.149999999999999" customHeight="1">
      <x:c r="A25" s="313">
        <x:f>C2</x:f>
        <x:v>4229700</x:v>
      </x:c>
      <x:c r="B25" s="277"/>
      <x:c r="C25" s="277">
        <x:f>E25/I1</x:f>
        <x:v>4232326.666666667</x:v>
      </x:c>
      <x:c r="D25" s="277"/>
      <x:c r="E25" s="277">
        <x:f>SUM('1:15'!$A$25)</x:f>
        <x:v>63484900</x:v>
      </x:c>
      <x:c r="F25" s="277"/>
      <x:c r="G25" s="277"/>
      <x:c r="H25" s="107" t="s">
        <x:v>156</x:v>
      </x:c>
      <x:c r="I25" s="108">
        <x:f>SUM('1:15'!$I$23)</x:f>
        <x:v>22511502</x:v>
      </x:c>
      <x:c r="J25" s="61" t="s">
        <x:v>156</x:v>
      </x:c>
      <x:c r="K25" s="62">
        <x:f>SUM('1:15'!$K$21)</x:f>
        <x:v>0</x:v>
      </x:c>
    </x:row>
    <x:row r="26" spans="1:11" ht="34.149999999999999" customHeight="1">
      <x:c r="A26" s="261" t="s">
        <x:v>68</x:v>
      </x:c>
      <x:c r="B26" s="262"/>
      <x:c r="C26" s="262"/>
      <x:c r="D26" s="262"/>
      <x:c r="E26" s="263"/>
      <x:c r="F26" s="263"/>
      <x:c r="G26" s="263"/>
      <x:c r="H26" s="107" t="s">
        <x:v>67</x:v>
      </x:c>
      <x:c r="I26" s="110">
        <x:f>I25/$E$25</x:f>
        <x:v>0.35459616381218212</x:v>
      </x:c>
      <x:c r="J26" s="64" t="s">
        <x:v>67</x:v>
      </x:c>
      <x:c r="K26" s="65">
        <x:f>K25/$E$25</x:f>
        <x:v>0</x:v>
      </x:c>
    </x:row>
    <x:row r="27" spans="1:13" ht="30.949999999999999" customHeight="1">
      <x:c r="A27" s="319" t="s">
        <x:v>113</x:v>
      </x:c>
      <x:c r="B27" s="54" t="s">
        <x:v>17</x:v>
      </x:c>
      <x:c r="C27" s="277">
        <x:f>3300000/31</x:f>
        <x:v>106451.6129032258</x:v>
      </x:c>
      <x:c r="D27" s="277"/>
      <x:c r="E27" s="55" t="s">
        <x:v>12</x:v>
      </x:c>
      <x:c r="F27" s="263">
        <x:f>13000*4</x:f>
        <x:v>52000</x:v>
      </x:c>
      <x:c r="G27" s="263"/>
      <x:c r="H27" s="111" t="s">
        <x:v>69</x:v>
      </x:c>
      <x:c r="I27" s="112">
        <x:f>SUM(C27:D34,F27:G32)</x:f>
        <x:v>614241.93548387091</x:v>
      </x:c>
      <x:c r="M27" s="66"/>
    </x:row>
    <x:row r="28" spans="1:13" ht="30.949999999999999" customHeight="1">
      <x:c r="A28" s="320"/>
      <x:c r="B28" s="54" t="s">
        <x:v>161</x:v>
      </x:c>
      <x:c r="C28" s="314">
        <x:f>3300000/31</x:f>
        <x:v>106451.6129032258</x:v>
      </x:c>
      <x:c r="D28" s="315"/>
      <x:c r="E28" s="148" t="s">
        <x:v>37</x:v>
      </x:c>
      <x:c r="F28" s="316">
        <x:f>13000*9.5</x:f>
        <x:v>123500</x:v>
      </x:c>
      <x:c r="G28" s="316"/>
      <x:c r="H28" s="111" t="s">
        <x:v>152</x:v>
      </x:c>
      <x:c r="I28" s="113">
        <x:f>I27/$A$25</x:f>
        <x:v>0.14522115882541808</x:v>
      </x:c>
      <x:c r="M28" s="66"/>
    </x:row>
    <x:row r="29" spans="1:13" ht="30.949999999999999" customHeight="1">
      <x:c r="A29" s="320"/>
      <x:c r="B29" s="54" t="s">
        <x:v>38</x:v>
      </x:c>
      <x:c r="C29" s="277">
        <x:f>3300000/31</x:f>
        <x:v>106451.6129032258</x:v>
      </x:c>
      <x:c r="D29" s="277"/>
      <x:c r="E29" s="54" t="s">
        <x:v>147</x:v>
      </x:c>
      <x:c r="F29" s="263"/>
      <x:c r="G29" s="263"/>
      <x:c r="H29" s="111" t="s">
        <x:v>156</x:v>
      </x:c>
      <x:c r="I29" s="112">
        <x:f>SUM('1:15'!$I$25)</x:f>
        <x:v>173637984</x:v>
      </x:c>
      <x:c r="M29" s="66"/>
    </x:row>
    <x:row r="30" spans="1:13" ht="30.949999999999999" customHeight="1">
      <x:c r="A30" s="320"/>
      <x:c r="B30" s="55" t="s">
        <x:v>28</x:v>
      </x:c>
      <x:c r="C30" s="277">
        <x:f>1500000/31</x:f>
        <x:v>48387.096774193546</x:v>
      </x:c>
      <x:c r="D30" s="277"/>
      <x:c r="E30" s="55"/>
      <x:c r="F30" s="311"/>
      <x:c r="G30" s="312"/>
      <x:c r="H30" s="111" t="s">
        <x:v>67</x:v>
      </x:c>
      <x:c r="I30" s="113">
        <x:f>I29/$I$27</x:f>
        <x:v>282.68663204054303</x:v>
      </x:c>
      <x:c r="M30" s="66"/>
    </x:row>
    <x:row r="31" spans="1:7" customHeight="1">
      <x:c r="A31" s="320"/>
      <x:c r="B31" s="147"/>
      <x:c r="C31" s="309"/>
      <x:c r="D31" s="310"/>
      <x:c r="E31" s="55" t="s">
        <x:v>10</x:v>
      </x:c>
      <x:c r="F31" s="311"/>
      <x:c r="G31" s="312"/>
    </x:row>
    <x:row r="32" spans="1:7" customHeight="1">
      <x:c r="A32" s="320"/>
      <x:c r="B32" s="147"/>
      <x:c r="C32" s="309"/>
      <x:c r="D32" s="310"/>
      <x:c r="E32" s="55" t="s">
        <x:v>79</x:v>
      </x:c>
      <x:c r="F32" s="311">
        <x:v>71000</x:v>
      </x:c>
      <x:c r="G32" s="312"/>
    </x:row>
    <x:row r="33" spans="1:4" customHeight="1">
      <x:c r="A33" s="320"/>
      <x:c r="B33" s="54"/>
      <x:c r="C33" s="309"/>
      <x:c r="D33" s="310"/>
    </x:row>
    <x:row r="34" spans="1:4" customHeight="1">
      <x:c r="A34" s="321"/>
      <x:c r="B34" s="54"/>
      <x:c r="C34" s="311"/>
      <x:c r="D34" s="312"/>
    </x:row>
  </x:sheetData>
  <x:mergeCells count="74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32:G32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D14:E15"/>
    <x:mergeCell ref="B18:B19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8"/>
  <x:dimension ref="A1:O34"/>
  <x:sheetViews>
    <x:sheetView tabSelected="1" topLeftCell="A1" zoomScale="85" zoomScaleNormal="85" zoomScaleSheetLayoutView="75" workbookViewId="0">
      <x:selection activeCell="F33" activeCellId="0" sqref="F33:F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12" style="53" bestFit="1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122</x:v>
      </x:c>
      <x:c r="D1" s="68"/>
      <x:c r="E1" s="68">
        <x:v>1</x:v>
      </x:c>
      <x:c r="F1" s="68">
        <x:v>16</x:v>
      </x:c>
      <x:c r="G1" s="68" t="s">
        <x:v>30</x:v>
      </x:c>
      <x:c r="H1" s="52" t="s">
        <x:v>96</x:v>
      </x:c>
      <x:c r="I1" s="52">
        <x:f>F1-K1</x:f>
        <x:v>16</x:v>
      </x:c>
      <x:c r="J1" s="52" t="s">
        <x:v>89</x:v>
      </x:c>
      <x:c r="K1" s="52"/>
    </x:row>
    <x:row r="2" spans="1:11" ht="20.100000000000001" customHeight="1">
      <x:c r="A2" s="272" t="s">
        <x:v>50</x:v>
      </x:c>
      <x:c r="B2" s="273"/>
      <x:c r="C2" s="276">
        <x:f>SUM(C4:D7)</x:f>
        <x:v>4135700</x:v>
      </x:c>
      <x:c r="D2" s="276"/>
      <x:c r="E2" s="279" t="s">
        <x:v>20</x:v>
      </x:c>
      <x:c r="F2" s="280"/>
      <x:c r="G2" s="268">
        <x:v>109700</x:v>
      </x:c>
      <x:c r="H2" s="266" t="s">
        <x:v>54</x:v>
      </x:c>
      <x:c r="I2" s="267"/>
      <x:c r="J2" s="264" t="s">
        <x:v>143</x:v>
      </x:c>
      <x:c r="K2" s="265"/>
    </x:row>
    <x:row r="3" spans="1:11" ht="20.100000000000001" customHeight="1">
      <x:c r="A3" s="274"/>
      <x:c r="B3" s="275"/>
      <x:c r="C3" s="277"/>
      <x:c r="D3" s="277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2" ht="30.949999999999999" customHeight="1">
      <x:c r="A4" s="270" t="s">
        <x:v>41</x:v>
      </x:c>
      <x:c r="B4" s="271"/>
      <x:c r="C4" s="263">
        <x:v>3629700</x:v>
      </x:c>
      <x:c r="D4" s="263"/>
      <x:c r="E4" s="278" t="s">
        <x:v>160</x:v>
      </x:c>
      <x:c r="F4" s="278"/>
      <x:c r="G4" s="133">
        <x:f>INT(C4*0.0275)</x:f>
        <x:v>99816</x:v>
      </x:c>
      <x:c r="H4" s="54" t="s">
        <x:v>19</x:v>
      </x:c>
      <x:c r="I4" s="124">
        <x:f>284748+452000</x:f>
        <x:v>736748</x:v>
      </x:c>
      <x:c r="J4" s="80" t="s">
        <x:v>24</x:v>
      </x:c>
      <x:c r="K4" s="58"/>
      <x:c r="L4" s="97"/>
    </x:row>
    <x:row r="5" spans="1:11" ht="30.949999999999999" customHeight="1">
      <x:c r="A5" s="270" t="s">
        <x:v>52</x:v>
      </x:c>
      <x:c r="B5" s="271"/>
      <x:c r="C5" s="263">
        <x:v>506000</x:v>
      </x:c>
      <x:c r="D5" s="263"/>
      <x:c r="E5" s="262" t="s">
        <x:v>136</x:v>
      </x:c>
      <x:c r="F5" s="262"/>
      <x:c r="G5" s="133">
        <x:f>INT(C5*0.01)</x:f>
        <x:v>5060</x:v>
      </x:c>
      <x:c r="H5" s="54" t="s">
        <x:v>54</x:v>
      </x:c>
      <x:c r="I5" s="124">
        <x:f>50000+46900+39380+29656</x:f>
        <x:v>165936</x:v>
      </x:c>
      <x:c r="J5" s="81"/>
      <x:c r="K5" s="58"/>
    </x:row>
    <x:row r="6" spans="1:11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550000</x:v>
      </x:c>
      <x:c r="H6" s="54"/>
      <x:c r="I6" s="124"/>
      <x:c r="J6" s="81" t="s">
        <x:v>99</x:v>
      </x:c>
      <x:c r="K6" s="58"/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4">
        <x:v>448330</x:v>
      </x:c>
      <x:c r="J7" s="81" t="s">
        <x:v>106</x:v>
      </x:c>
      <x:c r="K7" s="58"/>
    </x:row>
    <x:row r="8" spans="1:11" ht="21.949999999999999" customHeight="1">
      <x:c r="A8" s="261" t="s">
        <x:v>98</x:v>
      </x:c>
      <x:c r="B8" s="262"/>
      <x:c r="C8" s="263">
        <x:v>65700</x:v>
      </x:c>
      <x:c r="D8" s="263"/>
      <x:c r="E8" s="289" t="s">
        <x:v>114</x:v>
      </x:c>
      <x:c r="F8" s="290"/>
      <x:c r="G8" s="295">
        <x:f>C5+G2-G6-C22</x:f>
        <x:v>65700</x:v>
      </x:c>
      <x:c r="H8" s="54" t="s">
        <x:v>14</x:v>
      </x:c>
      <x:c r="I8" s="124">
        <x:v>65000</x:v>
      </x:c>
      <x:c r="J8" s="81"/>
      <x:c r="K8" s="58"/>
    </x:row>
    <x:row r="9" spans="1:11" ht="21.949999999999999" customHeight="1">
      <x:c r="A9" s="261"/>
      <x:c r="B9" s="262"/>
      <x:c r="C9" s="263"/>
      <x:c r="D9" s="263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30.949999999999999" customHeight="1">
      <x:c r="A10" s="261" t="s">
        <x:v>120</x:v>
      </x:c>
      <x:c r="B10" s="262"/>
      <x:c r="C10" s="263"/>
      <x:c r="D10" s="263"/>
      <x:c r="E10" s="262" t="s">
        <x:v>101</x:v>
      </x:c>
      <x:c r="F10" s="262"/>
      <x:c r="G10" s="55"/>
      <x:c r="H10" s="54"/>
      <x:c r="I10" s="124"/>
      <x:c r="J10" s="54" t="s">
        <x:v>23</x:v>
      </x:c>
      <x:c r="K10" s="58"/>
    </x:row>
    <x:row r="11" spans="1:11" ht="33" customHeight="1">
      <x:c r="A11" s="261" t="s">
        <x:v>115</x:v>
      </x:c>
      <x:c r="B11" s="262"/>
      <x:c r="C11" s="301"/>
      <x:c r="D11" s="301"/>
      <x:c r="E11" s="301"/>
      <x:c r="F11" s="301"/>
      <x:c r="G11" s="301"/>
      <x:c r="H11" s="54" t="s">
        <x:v>151</x:v>
      </x:c>
      <x:c r="I11" s="58"/>
      <x:c r="J11" s="54" t="s">
        <x:v>125</x:v>
      </x:c>
      <x:c r="K11" s="135"/>
    </x:row>
    <x:row r="12" spans="1:13" ht="21.949999999999999" customHeight="1">
      <x:c r="A12" s="59" t="s">
        <x:v>21</x:v>
      </x:c>
      <x:c r="B12" s="299" t="s">
        <x:v>8</x:v>
      </x:c>
      <x:c r="C12" s="79">
        <x:v>5</x:v>
      </x:c>
      <x:c r="D12" s="289" t="s">
        <x:v>83</x:v>
      </x:c>
      <x:c r="E12" s="290"/>
      <x:c r="F12" s="293">
        <x:v>8</x:v>
      </x:c>
      <x:c r="G12" s="294"/>
      <x:c r="H12" s="54" t="s">
        <x:v>58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56</x:v>
      </x:c>
      <x:c r="B13" s="300"/>
      <x:c r="C13" s="134">
        <x:f>SUM('1:16'!$C$12)</x:f>
        <x:v>261</x:v>
      </x:c>
      <x:c r="D13" s="281"/>
      <x:c r="E13" s="282"/>
      <x:c r="F13" s="291">
        <x:f>SUM('1:16'!$F$12)</x:f>
        <x:v>325</x:v>
      </x:c>
      <x:c r="G13" s="292"/>
      <x:c r="H13" s="54" t="s">
        <x:v>92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21</x:v>
      </x:c>
      <x:c r="B14" s="299" t="s">
        <x:v>84</x:v>
      </x:c>
      <x:c r="C14" s="79">
        <x:v>24</x:v>
      </x:c>
      <x:c r="D14" s="289" t="s">
        <x:v>73</x:v>
      </x:c>
      <x:c r="E14" s="290"/>
      <x:c r="F14" s="293">
        <x:v>10</x:v>
      </x:c>
      <x:c r="G14" s="294"/>
      <x:c r="H14" s="54" t="s">
        <x:v>61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56</x:v>
      </x:c>
      <x:c r="B15" s="300"/>
      <x:c r="C15" s="134">
        <x:f>SUM('1:16'!$C$14)</x:f>
        <x:v>386</x:v>
      </x:c>
      <x:c r="D15" s="281"/>
      <x:c r="E15" s="282"/>
      <x:c r="F15" s="291">
        <x:f>SUM('1:16'!$F$14)</x:f>
        <x:v>203</x:v>
      </x:c>
      <x:c r="G15" s="292"/>
      <x:c r="H15" s="54" t="s">
        <x:v>64</x:v>
      </x:c>
      <x:c r="I15" s="58">
        <x:v>170600</x:v>
      </x:c>
      <x:c r="J15" s="54" t="s">
        <x:v>143</x:v>
      </x:c>
      <x:c r="K15" s="58"/>
      <x:c r="L15" s="60"/>
      <x:c r="M15" s="11"/>
    </x:row>
    <x:row r="16" spans="1:13" ht="21.949999999999999" customHeight="1">
      <x:c r="A16" s="59" t="s">
        <x:v>21</x:v>
      </x:c>
      <x:c r="B16" s="299" t="s">
        <x:v>51</x:v>
      </x:c>
      <x:c r="C16" s="79">
        <x:v>4</x:v>
      </x:c>
      <x:c r="D16" s="289" t="s">
        <x:v>81</x:v>
      </x:c>
      <x:c r="E16" s="290"/>
      <x:c r="F16" s="287">
        <x:v>13</x:v>
      </x:c>
      <x:c r="G16" s="287"/>
      <x:c r="H16" s="54"/>
      <x:c r="I16" s="58"/>
      <x:c r="J16" s="54" t="s">
        <x:v>105</x:v>
      </x:c>
      <x:c r="K16" s="58"/>
      <x:c r="L16" s="60"/>
      <x:c r="M16" s="11"/>
    </x:row>
    <x:row r="17" spans="1:13" ht="21.949999999999999" customHeight="1">
      <x:c r="A17" s="59" t="s">
        <x:v>56</x:v>
      </x:c>
      <x:c r="B17" s="300"/>
      <x:c r="C17" s="134">
        <x:f>SUM('1:16'!$C$16)</x:f>
        <x:v>83</x:v>
      </x:c>
      <x:c r="D17" s="281"/>
      <x:c r="E17" s="282"/>
      <x:c r="F17" s="288">
        <x:f>SUM('1:16'!$F$16)</x:f>
        <x:v>186</x:v>
      </x:c>
      <x:c r="G17" s="288"/>
      <x:c r="H17" s="54" t="s">
        <x:v>18</x:v>
      </x:c>
      <x:c r="I17" s="58"/>
      <x:c r="J17" s="54" t="s">
        <x:v>97</x:v>
      </x:c>
      <x:c r="K17" s="58"/>
      <x:c r="L17" s="60"/>
      <x:c r="M17" s="11"/>
    </x:row>
    <x:row r="18" spans="1:13" ht="21.949999999999999" customHeight="1">
      <x:c r="A18" s="59" t="s">
        <x:v>21</x:v>
      </x:c>
      <x:c r="B18" s="299" t="s">
        <x:v>107</x:v>
      </x:c>
      <x:c r="C18" s="79">
        <x:v>27</x:v>
      </x:c>
      <x:c r="D18" s="289" t="s">
        <x:v>29</x:v>
      </x:c>
      <x:c r="E18" s="290"/>
      <x:c r="F18" s="297">
        <x:v>0</x:v>
      </x:c>
      <x:c r="G18" s="29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56</x:v>
      </x:c>
      <x:c r="B19" s="300"/>
      <x:c r="C19" s="134">
        <x:f>SUM('1:16'!$C$18)</x:f>
        <x:v>467</x:v>
      </x:c>
      <x:c r="D19" s="281"/>
      <x:c r="E19" s="282"/>
      <x:c r="F19" s="288">
        <x:f>SUM('1:16'!$F$18)</x:f>
        <x:v>48</x:v>
      </x:c>
      <x:c r="G19" s="288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108</x:v>
      </x:c>
      <x:c r="E20" s="262"/>
      <x:c r="F20" s="287">
        <x:v>53</x:v>
      </x:c>
      <x:c r="G20" s="287"/>
      <x:c r="H20" s="58"/>
      <x:c r="J20" s="54"/>
      <x:c r="K20" s="58"/>
      <x:c r="L20" s="60"/>
      <x:c r="M20" s="11"/>
    </x:row>
    <x:row r="21" spans="4:13" ht="21.949999999999999" customHeight="1">
      <x:c r="D21" s="262" t="s">
        <x:v>128</x:v>
      </x:c>
      <x:c r="E21" s="262"/>
      <x:c r="F21" s="288">
        <x:f>SUM('1:16'!$F$20)</x:f>
        <x:v>861</x:v>
      </x:c>
      <x:c r="G21" s="288"/>
      <x:c r="H21" s="58"/>
      <x:c r="J21" s="54"/>
      <x:c r="K21" s="58"/>
      <x:c r="L21" s="60"/>
      <x:c r="M21" s="11"/>
    </x:row>
    <x:row r="22" spans="1:13" ht="32.100000000000001" customHeight="1">
      <x:c r="A22" s="261" t="s">
        <x:v>121</x:v>
      </x:c>
      <x:c r="B22" s="262"/>
      <x:c r="C22" s="286"/>
      <x:c r="D22" s="286"/>
      <x:c r="E22" s="286"/>
      <x:c r="F22" s="286"/>
      <x:c r="G22" s="286"/>
      <x:c r="H22" s="54"/>
      <x:c r="J22" s="54"/>
      <x:c r="K22" s="58"/>
      <x:c r="L22" s="60"/>
      <x:c r="M22" s="11"/>
    </x:row>
    <x:row r="23" spans="1:15" ht="34.149999999999999" customHeight="1">
      <x:c r="A23" s="261" t="s">
        <x:v>59</x:v>
      </x:c>
      <x:c r="B23" s="262"/>
      <x:c r="C23" s="317"/>
      <x:c r="D23" s="318"/>
      <x:c r="E23" s="318"/>
      <x:c r="F23" s="318"/>
      <x:c r="G23" s="318"/>
      <x:c r="H23" s="107" t="s">
        <x:v>95</x:v>
      </x:c>
      <x:c r="I23" s="108">
        <x:f>SUM(I4:I22)</x:f>
        <x:v>1586614</x:v>
      </x:c>
      <x:c r="J23" s="61" t="s">
        <x:v>70</x:v>
      </x:c>
      <x:c r="K23" s="62">
        <x:f>SUM(K4:K22)</x:f>
        <x:v>0</x:v>
      </x:c>
      <x:c r="M23" s="88" t="s">
        <x:v>102</x:v>
      </x:c>
      <x:c r="N23" s="284">
        <x:f>C5+C6</x:f>
        <x:v>506000</x:v>
      </x:c>
      <x:c r="O23" s="285"/>
    </x:row>
    <x:row r="24" spans="1:11" ht="34.149999999999999" customHeight="1">
      <x:c r="A24" s="261" t="s">
        <x:v>152</x:v>
      </x:c>
      <x:c r="B24" s="262"/>
      <x:c r="C24" s="262" t="s">
        <x:v>86</x:v>
      </x:c>
      <x:c r="D24" s="262"/>
      <x:c r="E24" s="262" t="s">
        <x:v>62</x:v>
      </x:c>
      <x:c r="F24" s="262"/>
      <x:c r="G24" s="262"/>
      <x:c r="H24" s="107" t="s">
        <x:v>152</x:v>
      </x:c>
      <x:c r="I24" s="109">
        <x:f>I23/A25</x:f>
        <x:v>0.38363856179123246</x:v>
      </x:c>
      <x:c r="J24" s="61" t="s">
        <x:v>152</x:v>
      </x:c>
      <x:c r="K24" s="63">
        <x:f>K23/A25</x:f>
        <x:v>0</x:v>
      </x:c>
    </x:row>
    <x:row r="25" spans="1:11" ht="34.149999999999999" customHeight="1">
      <x:c r="A25" s="313">
        <x:f>C2</x:f>
        <x:v>4135700</x:v>
      </x:c>
      <x:c r="B25" s="277"/>
      <x:c r="C25" s="277">
        <x:f>E25/I1</x:f>
        <x:v>4226287.5</x:v>
      </x:c>
      <x:c r="D25" s="277"/>
      <x:c r="E25" s="277">
        <x:f>SUM('1:16'!$A$25)</x:f>
        <x:v>67620600</x:v>
      </x:c>
      <x:c r="F25" s="277"/>
      <x:c r="G25" s="277"/>
      <x:c r="H25" s="107" t="s">
        <x:v>156</x:v>
      </x:c>
      <x:c r="I25" s="108">
        <x:f>SUM('1:16'!$I$23)</x:f>
        <x:v>24098116</x:v>
      </x:c>
      <x:c r="J25" s="61" t="s">
        <x:v>156</x:v>
      </x:c>
      <x:c r="K25" s="62">
        <x:f>SUM('1:16'!$K$21)</x:f>
        <x:v>0</x:v>
      </x:c>
    </x:row>
    <x:row r="26" spans="1:11" ht="34.149999999999999" customHeight="1">
      <x:c r="A26" s="261" t="s">
        <x:v>68</x:v>
      </x:c>
      <x:c r="B26" s="262"/>
      <x:c r="C26" s="262"/>
      <x:c r="D26" s="262"/>
      <x:c r="E26" s="263"/>
      <x:c r="F26" s="263"/>
      <x:c r="G26" s="263"/>
      <x:c r="H26" s="107" t="s">
        <x:v>67</x:v>
      </x:c>
      <x:c r="I26" s="110">
        <x:f>I25/$E$25</x:f>
        <x:v>0.35637240722501723</x:v>
      </x:c>
      <x:c r="J26" s="64" t="s">
        <x:v>67</x:v>
      </x:c>
      <x:c r="K26" s="65">
        <x:f>K25/$E$25</x:f>
        <x:v>0</x:v>
      </x:c>
    </x:row>
    <x:row r="27" spans="1:13" ht="30.949999999999999" customHeight="1">
      <x:c r="A27" s="319" t="s">
        <x:v>113</x:v>
      </x:c>
      <x:c r="B27" s="54" t="s">
        <x:v>17</x:v>
      </x:c>
      <x:c r="C27" s="277">
        <x:f>3300000/31</x:f>
        <x:v>106451.6129032258</x:v>
      </x:c>
      <x:c r="D27" s="277"/>
      <x:c r="E27" s="55" t="s">
        <x:v>12</x:v>
      </x:c>
      <x:c r="F27" s="263">
        <x:f>13000*5.25</x:f>
        <x:v>68250</x:v>
      </x:c>
      <x:c r="G27" s="263"/>
      <x:c r="H27" s="111" t="s">
        <x:v>69</x:v>
      </x:c>
      <x:c r="I27" s="112">
        <x:f>SUM(C27:D34,F27:G32)</x:f>
        <x:v>636991.93548387091</x:v>
      </x:c>
      <x:c r="M27" s="66"/>
    </x:row>
    <x:row r="28" spans="1:13" ht="30.949999999999999" customHeight="1">
      <x:c r="A28" s="320"/>
      <x:c r="B28" s="54" t="s">
        <x:v>161</x:v>
      </x:c>
      <x:c r="C28" s="314">
        <x:f>3300000/31</x:f>
        <x:v>106451.6129032258</x:v>
      </x:c>
      <x:c r="D28" s="315"/>
      <x:c r="E28" s="148" t="s">
        <x:v>37</x:v>
      </x:c>
      <x:c r="F28" s="316">
        <x:f>13000*10</x:f>
        <x:v>130000</x:v>
      </x:c>
      <x:c r="G28" s="316"/>
      <x:c r="H28" s="111" t="s">
        <x:v>152</x:v>
      </x:c>
      <x:c r="I28" s="113">
        <x:f>I27/$A$25</x:f>
        <x:v>0.15402276168094178</x:v>
      </x:c>
      <x:c r="M28" s="66"/>
    </x:row>
    <x:row r="29" spans="1:13" ht="30.949999999999999" customHeight="1">
      <x:c r="A29" s="320"/>
      <x:c r="B29" s="54" t="s">
        <x:v>38</x:v>
      </x:c>
      <x:c r="C29" s="277">
        <x:f>3300000/31</x:f>
        <x:v>106451.6129032258</x:v>
      </x:c>
      <x:c r="D29" s="277"/>
      <x:c r="E29" s="54" t="s">
        <x:v>147</x:v>
      </x:c>
      <x:c r="F29" s="263"/>
      <x:c r="G29" s="263"/>
      <x:c r="H29" s="111" t="s">
        <x:v>156</x:v>
      </x:c>
      <x:c r="I29" s="112">
        <x:f>SUM('1:16'!$I$25)</x:f>
        <x:v>197736100</x:v>
      </x:c>
      <x:c r="M29" s="66"/>
    </x:row>
    <x:row r="30" spans="1:13" ht="30.949999999999999" customHeight="1">
      <x:c r="A30" s="320"/>
      <x:c r="B30" s="55" t="s">
        <x:v>28</x:v>
      </x:c>
      <x:c r="C30" s="277">
        <x:f>1500000/31</x:f>
        <x:v>48387.096774193546</x:v>
      </x:c>
      <x:c r="D30" s="277"/>
      <x:c r="E30" s="55"/>
      <x:c r="F30" s="311"/>
      <x:c r="G30" s="312"/>
      <x:c r="H30" s="111" t="s">
        <x:v>67</x:v>
      </x:c>
      <x:c r="I30" s="113">
        <x:f>I29/$I$27</x:f>
        <x:v>310.42166938863357</x:v>
      </x:c>
      <x:c r="M30" s="66"/>
    </x:row>
    <x:row r="31" spans="1:7" customHeight="1">
      <x:c r="A31" s="320"/>
      <x:c r="B31" s="147"/>
      <x:c r="C31" s="309"/>
      <x:c r="D31" s="310"/>
      <x:c r="E31" s="55" t="s">
        <x:v>10</x:v>
      </x:c>
      <x:c r="F31" s="311"/>
      <x:c r="G31" s="312"/>
    </x:row>
    <x:row r="32" spans="1:7" customHeight="1">
      <x:c r="A32" s="320"/>
      <x:c r="B32" s="147"/>
      <x:c r="C32" s="309"/>
      <x:c r="D32" s="310"/>
      <x:c r="E32" s="55" t="s">
        <x:v>79</x:v>
      </x:c>
      <x:c r="F32" s="311">
        <x:v>71000</x:v>
      </x:c>
      <x:c r="G32" s="312"/>
    </x:row>
    <x:row r="33" spans="1:4" customHeight="1">
      <x:c r="A33" s="320"/>
      <x:c r="B33" s="54"/>
      <x:c r="C33" s="309"/>
      <x:c r="D33" s="310"/>
    </x:row>
    <x:row r="34" spans="1:4" customHeight="1">
      <x:c r="A34" s="321"/>
      <x:c r="B34" s="54"/>
      <x:c r="C34" s="311"/>
      <x:c r="D34" s="312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D14:E15"/>
    <x:mergeCell ref="B18:B19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9"/>
  <x:dimension ref="A1:O34"/>
  <x:sheetViews>
    <x:sheetView tabSelected="1" topLeftCell="A1" zoomScale="85" zoomScaleNormal="85" zoomScaleSheetLayoutView="75" workbookViewId="0">
      <x:selection activeCell="F31" activeCellId="0" sqref="F31:G3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122</x:v>
      </x:c>
      <x:c r="D1" s="68"/>
      <x:c r="E1" s="68">
        <x:v>1</x:v>
      </x:c>
      <x:c r="F1" s="68">
        <x:v>17</x:v>
      </x:c>
      <x:c r="G1" s="68" t="s">
        <x:v>9</x:v>
      </x:c>
      <x:c r="H1" s="52" t="s">
        <x:v>96</x:v>
      </x:c>
      <x:c r="I1" s="52">
        <x:f>F1-K1</x:f>
        <x:v>17</x:v>
      </x:c>
      <x:c r="J1" s="52" t="s">
        <x:v>89</x:v>
      </x:c>
      <x:c r="K1" s="52"/>
    </x:row>
    <x:row r="2" spans="1:11" ht="20.100000000000001" customHeight="1">
      <x:c r="A2" s="331" t="s">
        <x:v>50</x:v>
      </x:c>
      <x:c r="B2" s="332"/>
      <x:c r="C2" s="335">
        <x:f>SUM(C4:D7)</x:f>
        <x:v>5198200</x:v>
      </x:c>
      <x:c r="D2" s="336"/>
      <x:c r="E2" s="279" t="s">
        <x:v>20</x:v>
      </x:c>
      <x:c r="F2" s="280"/>
      <x:c r="G2" s="268">
        <x:v>65700</x:v>
      </x:c>
      <x:c r="H2" s="339" t="s">
        <x:v>54</x:v>
      </x:c>
      <x:c r="I2" s="340"/>
      <x:c r="J2" s="264" t="s">
        <x:v>143</x:v>
      </x:c>
      <x:c r="K2" s="328"/>
    </x:row>
    <x:row r="3" spans="1:11" ht="20.100000000000001" customHeight="1">
      <x:c r="A3" s="333"/>
      <x:c r="B3" s="334"/>
      <x:c r="C3" s="337"/>
      <x:c r="D3" s="338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1" ht="30.949999999999999" customHeight="1">
      <x:c r="A4" s="342" t="s">
        <x:v>41</x:v>
      </x:c>
      <x:c r="B4" s="343"/>
      <x:c r="C4" s="311">
        <x:v>3940100</x:v>
      </x:c>
      <x:c r="D4" s="312"/>
      <x:c r="E4" s="344" t="s">
        <x:v>160</x:v>
      </x:c>
      <x:c r="F4" s="345"/>
      <x:c r="G4" s="133">
        <x:f>INT(C4*0.0275)</x:f>
        <x:v>108352</x:v>
      </x:c>
      <x:c r="H4" s="54" t="s">
        <x:v>19</x:v>
      </x:c>
      <x:c r="I4" s="124">
        <x:f>195738+215568+1719960+452000</x:f>
        <x:v>2583266</x:v>
      </x:c>
      <x:c r="J4" s="80" t="s">
        <x:v>24</x:v>
      </x:c>
      <x:c r="K4" s="58"/>
    </x:row>
    <x:row r="5" spans="1:11" ht="30.949999999999999" customHeight="1">
      <x:c r="A5" s="342" t="s">
        <x:v>52</x:v>
      </x:c>
      <x:c r="B5" s="343"/>
      <x:c r="C5" s="311">
        <x:v>1258100</x:v>
      </x:c>
      <x:c r="D5" s="312"/>
      <x:c r="E5" s="293" t="s">
        <x:v>136</x:v>
      </x:c>
      <x:c r="F5" s="294"/>
      <x:c r="G5" s="133">
        <x:f>INT(C5*0.01)</x:f>
        <x:v>12581</x:v>
      </x:c>
      <x:c r="H5" s="54" t="s">
        <x:v>54</x:v>
      </x:c>
      <x:c r="I5" s="124">
        <x:f>37420+26080+59312+50000+16720+46900+7540+12910</x:f>
        <x:v>256882</x:v>
      </x:c>
      <x:c r="J5" s="81"/>
      <x:c r="K5" s="58"/>
    </x:row>
    <x:row r="6" spans="1:11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1261200</x:v>
      </x:c>
      <x:c r="H6" s="54"/>
      <x:c r="I6" s="124"/>
      <x:c r="J6" s="81" t="s">
        <x:v>99</x:v>
      </x:c>
      <x:c r="K6" s="58"/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4"/>
      <x:c r="J7" s="81" t="s">
        <x:v>106</x:v>
      </x:c>
      <x:c r="K7" s="58"/>
    </x:row>
    <x:row r="8" spans="1:11" ht="21.949999999999999" customHeight="1">
      <x:c r="A8" s="349" t="s">
        <x:v>98</x:v>
      </x:c>
      <x:c r="B8" s="290"/>
      <x:c r="C8" s="302">
        <x:v>62500</x:v>
      </x:c>
      <x:c r="D8" s="303"/>
      <x:c r="E8" s="289" t="s">
        <x:v>114</x:v>
      </x:c>
      <x:c r="F8" s="290"/>
      <x:c r="G8" s="295">
        <x:f>C5+G2-G6-C22</x:f>
        <x:v>62600</x:v>
      </x:c>
      <x:c r="H8" s="54" t="s">
        <x:v>14</x:v>
      </x:c>
      <x:c r="I8" s="124"/>
      <x:c r="J8" s="81"/>
      <x:c r="K8" s="58"/>
    </x:row>
    <x:row r="9" spans="1:11" ht="21.949999999999999" customHeight="1">
      <x:c r="A9" s="350"/>
      <x:c r="B9" s="282"/>
      <x:c r="C9" s="304"/>
      <x:c r="D9" s="305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30.949999999999999" customHeight="1">
      <x:c r="A10" s="341" t="s">
        <x:v>120</x:v>
      </x:c>
      <x:c r="B10" s="294"/>
      <x:c r="C10" s="311"/>
      <x:c r="D10" s="312"/>
      <x:c r="E10" s="293" t="s">
        <x:v>101</x:v>
      </x:c>
      <x:c r="F10" s="294"/>
      <x:c r="G10" s="55"/>
      <x:c r="H10" s="54"/>
      <x:c r="I10" s="124"/>
      <x:c r="J10" s="54" t="s">
        <x:v>23</x:v>
      </x:c>
      <x:c r="K10" s="58"/>
    </x:row>
    <x:row r="11" spans="1:11" ht="33" customHeight="1">
      <x:c r="A11" s="341" t="s">
        <x:v>115</x:v>
      </x:c>
      <x:c r="B11" s="294"/>
      <x:c r="C11" s="346"/>
      <x:c r="D11" s="347"/>
      <x:c r="E11" s="347"/>
      <x:c r="F11" s="347"/>
      <x:c r="G11" s="348"/>
      <x:c r="H11" s="54" t="s">
        <x:v>151</x:v>
      </x:c>
      <x:c r="I11" s="58"/>
      <x:c r="J11" s="54" t="s">
        <x:v>125</x:v>
      </x:c>
      <x:c r="K11" s="135"/>
    </x:row>
    <x:row r="12" spans="1:13" ht="21.949999999999999" customHeight="1">
      <x:c r="A12" s="59" t="s">
        <x:v>21</x:v>
      </x:c>
      <x:c r="B12" s="299" t="s">
        <x:v>8</x:v>
      </x:c>
      <x:c r="C12" s="79">
        <x:v>12</x:v>
      </x:c>
      <x:c r="D12" s="289" t="s">
        <x:v>83</x:v>
      </x:c>
      <x:c r="E12" s="290"/>
      <x:c r="F12" s="293">
        <x:v>26</x:v>
      </x:c>
      <x:c r="G12" s="294"/>
      <x:c r="H12" s="54" t="s">
        <x:v>58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56</x:v>
      </x:c>
      <x:c r="B13" s="300"/>
      <x:c r="C13" s="134">
        <x:f>SUM('1:17'!$C$12)</x:f>
        <x:v>273</x:v>
      </x:c>
      <x:c r="D13" s="281"/>
      <x:c r="E13" s="282"/>
      <x:c r="F13" s="291">
        <x:f>SUM('1:17'!$F$12)</x:f>
        <x:v>351</x:v>
      </x:c>
      <x:c r="G13" s="292"/>
      <x:c r="H13" s="54" t="s">
        <x:v>92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21</x:v>
      </x:c>
      <x:c r="B14" s="299" t="s">
        <x:v>84</x:v>
      </x:c>
      <x:c r="C14" s="79">
        <x:v>25</x:v>
      </x:c>
      <x:c r="D14" s="289" t="s">
        <x:v>73</x:v>
      </x:c>
      <x:c r="E14" s="290"/>
      <x:c r="F14" s="293">
        <x:v>19</x:v>
      </x:c>
      <x:c r="G14" s="294"/>
      <x:c r="H14" s="54" t="s">
        <x:v>61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56</x:v>
      </x:c>
      <x:c r="B15" s="300"/>
      <x:c r="C15" s="134">
        <x:f>SUM('1:17'!$C$14)</x:f>
        <x:v>411</x:v>
      </x:c>
      <x:c r="D15" s="281"/>
      <x:c r="E15" s="282"/>
      <x:c r="F15" s="291">
        <x:f>SUM('1:17'!$F$14)</x:f>
        <x:v>222</x:v>
      </x:c>
      <x:c r="G15" s="292"/>
      <x:c r="H15" s="54" t="s">
        <x:v>64</x:v>
      </x:c>
      <x:c r="I15" s="58"/>
      <x:c r="J15" s="54" t="s">
        <x:v>143</x:v>
      </x:c>
      <x:c r="K15" s="58"/>
      <x:c r="L15" s="60"/>
      <x:c r="M15" s="11"/>
    </x:row>
    <x:row r="16" spans="1:13" ht="21.949999999999999" customHeight="1">
      <x:c r="A16" s="59" t="s">
        <x:v>21</x:v>
      </x:c>
      <x:c r="B16" s="299" t="s">
        <x:v>51</x:v>
      </x:c>
      <x:c r="C16" s="79">
        <x:v>9</x:v>
      </x:c>
      <x:c r="D16" s="289" t="s">
        <x:v>81</x:v>
      </x:c>
      <x:c r="E16" s="290"/>
      <x:c r="F16" s="329">
        <x:v>25</x:v>
      </x:c>
      <x:c r="G16" s="330"/>
      <x:c r="H16" s="54"/>
      <x:c r="I16" s="58"/>
      <x:c r="J16" s="54" t="s">
        <x:v>105</x:v>
      </x:c>
      <x:c r="K16" s="58"/>
      <x:c r="L16" s="60"/>
      <x:c r="M16" s="11"/>
    </x:row>
    <x:row r="17" spans="1:13" ht="21.949999999999999" customHeight="1">
      <x:c r="A17" s="59" t="s">
        <x:v>56</x:v>
      </x:c>
      <x:c r="B17" s="300"/>
      <x:c r="C17" s="134">
        <x:f>SUM('1:17'!$C$16)</x:f>
        <x:v>92</x:v>
      </x:c>
      <x:c r="D17" s="281"/>
      <x:c r="E17" s="282"/>
      <x:c r="F17" s="291">
        <x:f>SUM('1:17'!$F$16)</x:f>
        <x:v>211</x:v>
      </x:c>
      <x:c r="G17" s="292"/>
      <x:c r="H17" s="54" t="s">
        <x:v>18</x:v>
      </x:c>
      <x:c r="I17" s="58"/>
      <x:c r="J17" s="54" t="s">
        <x:v>97</x:v>
      </x:c>
      <x:c r="K17" s="58"/>
      <x:c r="L17" s="60"/>
      <x:c r="M17" s="11"/>
    </x:row>
    <x:row r="18" spans="1:13" ht="21.949999999999999" customHeight="1">
      <x:c r="A18" s="59" t="s">
        <x:v>21</x:v>
      </x:c>
      <x:c r="B18" s="299" t="s">
        <x:v>107</x:v>
      </x:c>
      <x:c r="C18" s="79">
        <x:v>35</x:v>
      </x:c>
      <x:c r="D18" s="289" t="s">
        <x:v>29</x:v>
      </x:c>
      <x:c r="E18" s="290"/>
      <x:c r="F18" s="329">
        <x:v>6</x:v>
      </x:c>
      <x:c r="G18" s="33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56</x:v>
      </x:c>
      <x:c r="B19" s="300"/>
      <x:c r="C19" s="134">
        <x:f>SUM('1:17'!$C$18)</x:f>
        <x:v>502</x:v>
      </x:c>
      <x:c r="D19" s="281"/>
      <x:c r="E19" s="282"/>
      <x:c r="F19" s="291">
        <x:f>SUM('1:17'!$F$18)</x:f>
        <x:v>54</x:v>
      </x:c>
      <x:c r="G19" s="292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93" t="s">
        <x:v>108</x:v>
      </x:c>
      <x:c r="E20" s="294"/>
      <x:c r="F20" s="329">
        <x:v>65</x:v>
      </x:c>
      <x:c r="G20" s="330"/>
      <x:c r="H20" s="58"/>
      <x:c r="J20" s="54"/>
      <x:c r="K20" s="58"/>
      <x:c r="L20" s="60"/>
      <x:c r="M20" s="11"/>
    </x:row>
    <x:row r="21" spans="4:13" ht="21.949999999999999" customHeight="1">
      <x:c r="D21" s="293" t="s">
        <x:v>128</x:v>
      </x:c>
      <x:c r="E21" s="294"/>
      <x:c r="F21" s="291">
        <x:f>SUM('1:17'!$F$20)</x:f>
        <x:v>926</x:v>
      </x:c>
      <x:c r="G21" s="292"/>
      <x:c r="H21" s="58"/>
      <x:c r="J21" s="54"/>
      <x:c r="K21" s="58"/>
      <x:c r="L21" s="60"/>
      <x:c r="M21" s="11"/>
    </x:row>
    <x:row r="22" spans="1:13" ht="32.100000000000001" customHeight="1">
      <x:c r="A22" s="341" t="s">
        <x:v>121</x:v>
      </x:c>
      <x:c r="B22" s="294"/>
      <x:c r="C22" s="360"/>
      <x:c r="D22" s="361"/>
      <x:c r="E22" s="361"/>
      <x:c r="F22" s="361"/>
      <x:c r="G22" s="362"/>
      <x:c r="H22" s="54"/>
      <x:c r="J22" s="54"/>
      <x:c r="K22" s="58"/>
      <x:c r="L22" s="60"/>
      <x:c r="M22" s="11"/>
    </x:row>
    <x:row r="23" spans="1:15" ht="34.149999999999999" customHeight="1">
      <x:c r="A23" s="341" t="s">
        <x:v>59</x:v>
      </x:c>
      <x:c r="B23" s="294"/>
      <x:c r="C23" s="325"/>
      <x:c r="D23" s="326"/>
      <x:c r="E23" s="326"/>
      <x:c r="F23" s="326"/>
      <x:c r="G23" s="327"/>
      <x:c r="H23" s="107" t="s">
        <x:v>95</x:v>
      </x:c>
      <x:c r="I23" s="108">
        <x:f>SUM(I4:I22)</x:f>
        <x:v>2840148</x:v>
      </x:c>
      <x:c r="J23" s="61" t="s">
        <x:v>70</x:v>
      </x:c>
      <x:c r="K23" s="62">
        <x:f>SUM(K4:K22)</x:f>
        <x:v>0</x:v>
      </x:c>
      <x:c r="M23" s="88" t="s">
        <x:v>102</x:v>
      </x:c>
      <x:c r="N23" s="284">
        <x:f>C5+C6</x:f>
        <x:v>1258100</x:v>
      </x:c>
      <x:c r="O23" s="285"/>
    </x:row>
    <x:row r="24" spans="1:11" ht="34.149999999999999" customHeight="1">
      <x:c r="A24" s="341" t="s">
        <x:v>152</x:v>
      </x:c>
      <x:c r="B24" s="294"/>
      <x:c r="C24" s="293" t="s">
        <x:v>86</x:v>
      </x:c>
      <x:c r="D24" s="294"/>
      <x:c r="E24" s="293" t="s">
        <x:v>62</x:v>
      </x:c>
      <x:c r="F24" s="324"/>
      <x:c r="G24" s="294"/>
      <x:c r="H24" s="107" t="s">
        <x:v>152</x:v>
      </x:c>
      <x:c r="I24" s="109">
        <x:f>I23/A25</x:f>
        <x:v>0.54637143626639995</x:v>
      </x:c>
      <x:c r="J24" s="61" t="s">
        <x:v>152</x:v>
      </x:c>
      <x:c r="K24" s="63">
        <x:f>K23/A25</x:f>
        <x:v>0</x:v>
      </x:c>
    </x:row>
    <x:row r="25" spans="1:11" ht="34.149999999999999" customHeight="1">
      <x:c r="A25" s="355">
        <x:f>C2</x:f>
        <x:v>5198200</x:v>
      </x:c>
      <x:c r="B25" s="315"/>
      <x:c r="C25" s="314">
        <x:f>E25/I1</x:f>
        <x:v>4283458.823529412</x:v>
      </x:c>
      <x:c r="D25" s="315"/>
      <x:c r="E25" s="314">
        <x:f>SUM('1:17'!$A$25)</x:f>
        <x:v>72818800</x:v>
      </x:c>
      <x:c r="F25" s="323"/>
      <x:c r="G25" s="315"/>
      <x:c r="H25" s="107" t="s">
        <x:v>156</x:v>
      </x:c>
      <x:c r="I25" s="108">
        <x:f>SUM('1:17'!$I$23)</x:f>
        <x:v>26938264</x:v>
      </x:c>
      <x:c r="J25" s="61" t="s">
        <x:v>156</x:v>
      </x:c>
      <x:c r="K25" s="62">
        <x:f>SUM('1:17'!$K$21)</x:f>
        <x:v>0</x:v>
      </x:c>
    </x:row>
    <x:row r="26" spans="1:11" ht="34.149999999999999" customHeight="1">
      <x:c r="A26" s="341" t="s">
        <x:v>68</x:v>
      </x:c>
      <x:c r="B26" s="294"/>
      <x:c r="C26" s="293"/>
      <x:c r="D26" s="294"/>
      <x:c r="E26" s="311"/>
      <x:c r="F26" s="354"/>
      <x:c r="G26" s="312"/>
      <x:c r="H26" s="107" t="s">
        <x:v>67</x:v>
      </x:c>
      <x:c r="I26" s="110">
        <x:f>I25/$E$25</x:f>
        <x:v>0.36993556609007566</x:v>
      </x:c>
      <x:c r="J26" s="64" t="s">
        <x:v>67</x:v>
      </x:c>
      <x:c r="K26" s="65">
        <x:f>K25/$E$25</x:f>
        <x:v>0</x:v>
      </x:c>
    </x:row>
    <x:row r="27" spans="1:13" ht="30.949999999999999" customHeight="1">
      <x:c r="A27" s="306" t="s">
        <x:v>113</x:v>
      </x:c>
      <x:c r="B27" s="54" t="s">
        <x:v>17</x:v>
      </x:c>
      <x:c r="C27" s="314">
        <x:f>3300000/31</x:f>
        <x:v>106451.6129032258</x:v>
      </x:c>
      <x:c r="D27" s="315"/>
      <x:c r="E27" s="55" t="s">
        <x:v>12</x:v>
      </x:c>
      <x:c r="F27" s="311"/>
      <x:c r="G27" s="312"/>
      <x:c r="H27" s="111" t="s">
        <x:v>69</x:v>
      </x:c>
      <x:c r="I27" s="112">
        <x:f>SUM(C27:D34,F27:G32)</x:f>
        <x:v>544541.93548387091</x:v>
      </x:c>
      <x:c r="M27" s="66"/>
    </x:row>
    <x:row r="28" spans="1:13" ht="30.949999999999999" customHeight="1">
      <x:c r="A28" s="307"/>
      <x:c r="B28" s="54" t="s">
        <x:v>161</x:v>
      </x:c>
      <x:c r="C28" s="314">
        <x:f>3300000/31</x:f>
        <x:v>106451.6129032258</x:v>
      </x:c>
      <x:c r="D28" s="315"/>
      <x:c r="E28" s="148" t="s">
        <x:v>37</x:v>
      </x:c>
      <x:c r="F28" s="309">
        <x:f>13000*10</x:f>
        <x:v>130000</x:v>
      </x:c>
      <x:c r="G28" s="310"/>
      <x:c r="H28" s="111" t="s">
        <x:v>152</x:v>
      </x:c>
      <x:c r="I28" s="113">
        <x:f>I27/$A$25</x:f>
        <x:v>0.10475586462311394</x:v>
      </x:c>
      <x:c r="M28" s="66"/>
    </x:row>
    <x:row r="29" spans="1:13" ht="30.949999999999999" customHeight="1">
      <x:c r="A29" s="307"/>
      <x:c r="B29" s="54" t="s">
        <x:v>38</x:v>
      </x:c>
      <x:c r="C29" s="314">
        <x:f>3300000/31</x:f>
        <x:v>106451.6129032258</x:v>
      </x:c>
      <x:c r="D29" s="315"/>
      <x:c r="E29" s="54" t="s">
        <x:v>147</x:v>
      </x:c>
      <x:c r="F29" s="311"/>
      <x:c r="G29" s="312"/>
      <x:c r="H29" s="111" t="s">
        <x:v>156</x:v>
      </x:c>
      <x:c r="I29" s="112">
        <x:f>SUM('1:17'!$I$25)</x:f>
        <x:v>224674364</x:v>
      </x:c>
      <x:c r="M29" s="66"/>
    </x:row>
    <x:row r="30" spans="1:13" ht="30.949999999999999" customHeight="1">
      <x:c r="A30" s="307"/>
      <x:c r="B30" s="55" t="s">
        <x:v>28</x:v>
      </x:c>
      <x:c r="C30" s="314">
        <x:f>1500000/31</x:f>
        <x:v>48387.096774193546</x:v>
      </x:c>
      <x:c r="D30" s="315"/>
      <x:c r="E30" s="55" t="s">
        <x:v>31</x:v>
      </x:c>
      <x:c r="F30" s="311">
        <x:f>11700*4</x:f>
        <x:v>46800</x:v>
      </x:c>
      <x:c r="G30" s="312"/>
      <x:c r="H30" s="111" t="s">
        <x:v>67</x:v>
      </x:c>
      <x:c r="I30" s="113">
        <x:f>I29/$I$27</x:f>
        <x:v>412.59331808919012</x:v>
      </x:c>
      <x:c r="M30" s="66"/>
    </x:row>
    <x:row r="31" spans="1:7" customHeight="1">
      <x:c r="A31" s="307"/>
      <x:c r="B31" s="147"/>
      <x:c r="C31" s="309"/>
      <x:c r="D31" s="310"/>
      <x:c r="E31" s="55" t="s">
        <x:v>10</x:v>
      </x:c>
      <x:c r="F31" s="311"/>
      <x:c r="G31" s="312"/>
    </x:row>
    <x:row r="32" spans="1:7" customHeight="1">
      <x:c r="A32" s="307"/>
      <x:c r="B32" s="147"/>
      <x:c r="C32" s="309"/>
      <x:c r="D32" s="310"/>
      <x:c r="E32" s="55" t="s">
        <x:v>79</x:v>
      </x:c>
      <x:c r="F32" s="311"/>
      <x:c r="G32" s="312"/>
    </x:row>
    <x:row r="33" spans="1:4" customHeight="1">
      <x:c r="A33" s="307"/>
      <x:c r="B33" s="54"/>
      <x:c r="C33" s="309"/>
      <x:c r="D33" s="310"/>
    </x:row>
    <x:row r="34" spans="1:4" customHeight="1">
      <x:c r="A34" s="308"/>
      <x:c r="B34" s="54"/>
      <x:c r="C34" s="311"/>
      <x:c r="D34" s="312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D14:E15"/>
    <x:mergeCell ref="B18:B19"/>
    <x:mergeCell ref="B12:B13"/>
  </x:mergeCells>
  <x:pageMargins left="0.52958333492279053" right="0.47972223162651062" top="0.97000002861022949" bottom="0.49000000953674316" header="0.30000001192092896" footer="0.30000001192092896"/>
  <x:pageSetup paperSize="9" scale="51" firstPageNumber="1" fitToWidth="1" fitToHeight="1" orientation="portrait" usePrinterDefaults="1" blackAndWhite="0" draft="0" useFirstPageNumber="0" horizontalDpi="600" verticalDpi="600" copies="1"/>
</x:worksheet>
</file>

<file path=xl/worksheets/sheet2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0"/>
  <x:dimension ref="A1:O35"/>
  <x:sheetViews>
    <x:sheetView tabSelected="1" topLeftCell="A1" zoomScale="85" zoomScaleNormal="85" zoomScaleSheetLayoutView="75" workbookViewId="0">
      <x:selection activeCell="A1" activeCellId="0" sqref="A1:K35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122</x:v>
      </x:c>
      <x:c r="D1" s="68"/>
      <x:c r="E1" s="68">
        <x:v>1</x:v>
      </x:c>
      <x:c r="F1" s="68">
        <x:v>18</x:v>
      </x:c>
      <x:c r="G1" s="68" t="s">
        <x:v>145</x:v>
      </x:c>
      <x:c r="H1" s="52" t="s">
        <x:v>96</x:v>
      </x:c>
      <x:c r="I1" s="52">
        <x:f>F1-K1</x:f>
        <x:v>18</x:v>
      </x:c>
      <x:c r="J1" s="52" t="s">
        <x:v>89</x:v>
      </x:c>
      <x:c r="K1" s="52"/>
    </x:row>
    <x:row r="2" spans="1:11" ht="20.100000000000001" customHeight="1">
      <x:c r="A2" s="331" t="s">
        <x:v>50</x:v>
      </x:c>
      <x:c r="B2" s="332"/>
      <x:c r="C2" s="335">
        <x:f>SUM(C4:D7)</x:f>
        <x:v>4494000</x:v>
      </x:c>
      <x:c r="D2" s="336"/>
      <x:c r="E2" s="279" t="s">
        <x:v>20</x:v>
      </x:c>
      <x:c r="F2" s="280"/>
      <x:c r="G2" s="268">
        <x:v>62500</x:v>
      </x:c>
      <x:c r="H2" s="339" t="s">
        <x:v>54</x:v>
      </x:c>
      <x:c r="I2" s="340"/>
      <x:c r="J2" s="264" t="s">
        <x:v>143</x:v>
      </x:c>
      <x:c r="K2" s="328"/>
    </x:row>
    <x:row r="3" spans="1:11" ht="20.100000000000001" customHeight="1">
      <x:c r="A3" s="333"/>
      <x:c r="B3" s="334"/>
      <x:c r="C3" s="337"/>
      <x:c r="D3" s="338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1" ht="30.949999999999999" customHeight="1">
      <x:c r="A4" s="342" t="s">
        <x:v>41</x:v>
      </x:c>
      <x:c r="B4" s="343"/>
      <x:c r="C4" s="311">
        <x:v>3792300</x:v>
      </x:c>
      <x:c r="D4" s="312"/>
      <x:c r="E4" s="344" t="s">
        <x:v>160</x:v>
      </x:c>
      <x:c r="F4" s="345"/>
      <x:c r="G4" s="133">
        <x:f>INT(C4*0.0275)</x:f>
        <x:v>104288</x:v>
      </x:c>
      <x:c r="H4" s="54" t="s">
        <x:v>19</x:v>
      </x:c>
      <x:c r="I4" s="124"/>
      <x:c r="J4" s="80" t="s">
        <x:v>24</x:v>
      </x:c>
      <x:c r="K4" s="58"/>
    </x:row>
    <x:row r="5" spans="1:11" ht="30.949999999999999" customHeight="1">
      <x:c r="A5" s="342" t="s">
        <x:v>52</x:v>
      </x:c>
      <x:c r="B5" s="343"/>
      <x:c r="C5" s="311">
        <x:v>701700</x:v>
      </x:c>
      <x:c r="D5" s="312"/>
      <x:c r="E5" s="293" t="s">
        <x:v>136</x:v>
      </x:c>
      <x:c r="F5" s="294"/>
      <x:c r="G5" s="133">
        <x:f>INT(C5*0.01)</x:f>
        <x:v>7017</x:v>
      </x:c>
      <x:c r="H5" s="54" t="s">
        <x:v>54</x:v>
      </x:c>
      <x:c r="I5" s="124"/>
      <x:c r="J5" s="81"/>
      <x:c r="K5" s="58"/>
    </x:row>
    <x:row r="6" spans="1:11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700000</x:v>
      </x:c>
      <x:c r="H6" s="54"/>
      <x:c r="I6" s="124"/>
      <x:c r="J6" s="81" t="s">
        <x:v>99</x:v>
      </x:c>
      <x:c r="K6" s="58"/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4"/>
      <x:c r="J7" s="81" t="s">
        <x:v>106</x:v>
      </x:c>
      <x:c r="K7" s="58"/>
    </x:row>
    <x:row r="8" spans="1:11" ht="21.949999999999999" customHeight="1">
      <x:c r="A8" s="349" t="s">
        <x:v>98</x:v>
      </x:c>
      <x:c r="B8" s="290"/>
      <x:c r="C8" s="302">
        <x:v>64200</x:v>
      </x:c>
      <x:c r="D8" s="303"/>
      <x:c r="E8" s="289" t="s">
        <x:v>114</x:v>
      </x:c>
      <x:c r="F8" s="290"/>
      <x:c r="G8" s="295">
        <x:f>C5+G2-G6-C22</x:f>
        <x:v>64200</x:v>
      </x:c>
      <x:c r="H8" s="54" t="s">
        <x:v>14</x:v>
      </x:c>
      <x:c r="I8" s="124"/>
      <x:c r="J8" s="81"/>
      <x:c r="K8" s="58"/>
    </x:row>
    <x:row r="9" spans="1:11" ht="21.949999999999999" customHeight="1">
      <x:c r="A9" s="350"/>
      <x:c r="B9" s="282"/>
      <x:c r="C9" s="304"/>
      <x:c r="D9" s="305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30.949999999999999" customHeight="1">
      <x:c r="A10" s="341" t="s">
        <x:v>120</x:v>
      </x:c>
      <x:c r="B10" s="294"/>
      <x:c r="C10" s="311"/>
      <x:c r="D10" s="312"/>
      <x:c r="E10" s="293" t="s">
        <x:v>101</x:v>
      </x:c>
      <x:c r="F10" s="294"/>
      <x:c r="G10" s="55"/>
      <x:c r="H10" s="54"/>
      <x:c r="I10" s="124"/>
      <x:c r="J10" s="54" t="s">
        <x:v>23</x:v>
      </x:c>
      <x:c r="K10" s="58"/>
    </x:row>
    <x:row r="11" spans="1:11" ht="33" customHeight="1">
      <x:c r="A11" s="341" t="s">
        <x:v>115</x:v>
      </x:c>
      <x:c r="B11" s="294"/>
      <x:c r="C11" s="346"/>
      <x:c r="D11" s="347"/>
      <x:c r="E11" s="347"/>
      <x:c r="F11" s="347"/>
      <x:c r="G11" s="348"/>
      <x:c r="H11" s="54" t="s">
        <x:v>151</x:v>
      </x:c>
      <x:c r="I11" s="58"/>
      <x:c r="J11" s="54" t="s">
        <x:v>125</x:v>
      </x:c>
      <x:c r="K11" s="135"/>
    </x:row>
    <x:row r="12" spans="1:13" ht="21.949999999999999" customHeight="1">
      <x:c r="A12" s="59" t="s">
        <x:v>21</x:v>
      </x:c>
      <x:c r="B12" s="299" t="s">
        <x:v>8</x:v>
      </x:c>
      <x:c r="C12" s="79">
        <x:v>16</x:v>
      </x:c>
      <x:c r="D12" s="289" t="s">
        <x:v>83</x:v>
      </x:c>
      <x:c r="E12" s="290"/>
      <x:c r="F12" s="293">
        <x:v>20</x:v>
      </x:c>
      <x:c r="G12" s="294"/>
      <x:c r="H12" s="54" t="s">
        <x:v>58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56</x:v>
      </x:c>
      <x:c r="B13" s="300"/>
      <x:c r="C13" s="134">
        <x:f>SUM('1:18'!$C$12)</x:f>
        <x:v>289</x:v>
      </x:c>
      <x:c r="D13" s="281"/>
      <x:c r="E13" s="282"/>
      <x:c r="F13" s="291">
        <x:f>SUM('1:18'!$F$12)</x:f>
        <x:v>371</x:v>
      </x:c>
      <x:c r="G13" s="292"/>
      <x:c r="H13" s="54" t="s">
        <x:v>92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21</x:v>
      </x:c>
      <x:c r="B14" s="299" t="s">
        <x:v>84</x:v>
      </x:c>
      <x:c r="C14" s="79">
        <x:v>26</x:v>
      </x:c>
      <x:c r="D14" s="289" t="s">
        <x:v>73</x:v>
      </x:c>
      <x:c r="E14" s="290"/>
      <x:c r="F14" s="293">
        <x:v>23</x:v>
      </x:c>
      <x:c r="G14" s="294"/>
      <x:c r="H14" s="54" t="s">
        <x:v>61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56</x:v>
      </x:c>
      <x:c r="B15" s="300"/>
      <x:c r="C15" s="134">
        <x:f>SUM('1:18'!$C$14)</x:f>
        <x:v>437</x:v>
      </x:c>
      <x:c r="D15" s="281"/>
      <x:c r="E15" s="282"/>
      <x:c r="F15" s="291">
        <x:f>SUM('1:18'!$F$14)</x:f>
        <x:v>245</x:v>
      </x:c>
      <x:c r="G15" s="292"/>
      <x:c r="H15" s="54" t="s">
        <x:v>64</x:v>
      </x:c>
      <x:c r="I15" s="58"/>
      <x:c r="J15" s="54" t="s">
        <x:v>143</x:v>
      </x:c>
      <x:c r="K15" s="58"/>
      <x:c r="L15" s="60"/>
      <x:c r="M15" s="11"/>
    </x:row>
    <x:row r="16" spans="1:13" ht="21.949999999999999" customHeight="1">
      <x:c r="A16" s="59" t="s">
        <x:v>21</x:v>
      </x:c>
      <x:c r="B16" s="299" t="s">
        <x:v>51</x:v>
      </x:c>
      <x:c r="C16" s="79">
        <x:v>9</x:v>
      </x:c>
      <x:c r="D16" s="289" t="s">
        <x:v>81</x:v>
      </x:c>
      <x:c r="E16" s="290"/>
      <x:c r="F16" s="329">
        <x:v>18</x:v>
      </x:c>
      <x:c r="G16" s="330"/>
      <x:c r="H16" s="54"/>
      <x:c r="I16" s="58"/>
      <x:c r="J16" s="54" t="s">
        <x:v>105</x:v>
      </x:c>
      <x:c r="K16" s="58">
        <x:v>323020</x:v>
      </x:c>
      <x:c r="L16" s="60"/>
      <x:c r="M16" s="11"/>
    </x:row>
    <x:row r="17" spans="1:13" ht="21.949999999999999" customHeight="1">
      <x:c r="A17" s="59" t="s">
        <x:v>56</x:v>
      </x:c>
      <x:c r="B17" s="300"/>
      <x:c r="C17" s="134">
        <x:f>SUM('1:18'!$C$16)</x:f>
        <x:v>101</x:v>
      </x:c>
      <x:c r="D17" s="281"/>
      <x:c r="E17" s="282"/>
      <x:c r="F17" s="291">
        <x:f>SUM('1:18'!$F$16)</x:f>
        <x:v>229</x:v>
      </x:c>
      <x:c r="G17" s="292"/>
      <x:c r="H17" s="54" t="s">
        <x:v>18</x:v>
      </x:c>
      <x:c r="I17" s="58"/>
      <x:c r="J17" s="54" t="s">
        <x:v>97</x:v>
      </x:c>
      <x:c r="K17" s="58"/>
      <x:c r="L17" s="60"/>
      <x:c r="M17" s="11"/>
    </x:row>
    <x:row r="18" spans="1:13" ht="21.949999999999999" customHeight="1">
      <x:c r="A18" s="59" t="s">
        <x:v>21</x:v>
      </x:c>
      <x:c r="B18" s="299" t="s">
        <x:v>107</x:v>
      </x:c>
      <x:c r="C18" s="79">
        <x:v>35</x:v>
      </x:c>
      <x:c r="D18" s="289" t="s">
        <x:v>29</x:v>
      </x:c>
      <x:c r="E18" s="290"/>
      <x:c r="F18" s="329">
        <x:v>6</x:v>
      </x:c>
      <x:c r="G18" s="330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56</x:v>
      </x:c>
      <x:c r="B19" s="300"/>
      <x:c r="C19" s="134">
        <x:f>SUM('1:18'!$C$18)</x:f>
        <x:v>537</x:v>
      </x:c>
      <x:c r="D19" s="281"/>
      <x:c r="E19" s="282"/>
      <x:c r="F19" s="291">
        <x:f>SUM('1:18'!$F$18)</x:f>
        <x:v>60</x:v>
      </x:c>
      <x:c r="G19" s="292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93" t="s">
        <x:v>108</x:v>
      </x:c>
      <x:c r="E20" s="294"/>
      <x:c r="F20" s="329">
        <x:v>52</x:v>
      </x:c>
      <x:c r="G20" s="330"/>
      <x:c r="H20" s="58"/>
      <x:c r="J20" s="54"/>
      <x:c r="K20" s="58"/>
      <x:c r="L20" s="60"/>
      <x:c r="M20" s="11"/>
    </x:row>
    <x:row r="21" spans="4:13" ht="21.949999999999999" customHeight="1">
      <x:c r="D21" s="293" t="s">
        <x:v>128</x:v>
      </x:c>
      <x:c r="E21" s="294"/>
      <x:c r="F21" s="291">
        <x:f>SUM('1:18'!$F$20)</x:f>
        <x:v>978</x:v>
      </x:c>
      <x:c r="G21" s="292"/>
      <x:c r="H21" s="58"/>
      <x:c r="J21" s="54"/>
      <x:c r="K21" s="58"/>
      <x:c r="L21" s="60"/>
      <x:c r="M21" s="11"/>
    </x:row>
    <x:row r="22" spans="1:13" ht="32.100000000000001" customHeight="1">
      <x:c r="A22" s="341" t="s">
        <x:v>121</x:v>
      </x:c>
      <x:c r="B22" s="294"/>
      <x:c r="C22" s="360"/>
      <x:c r="D22" s="361"/>
      <x:c r="E22" s="361"/>
      <x:c r="F22" s="361"/>
      <x:c r="G22" s="362"/>
      <x:c r="H22" s="54"/>
      <x:c r="J22" s="54"/>
      <x:c r="K22" s="58"/>
      <x:c r="L22" s="60"/>
      <x:c r="M22" s="11"/>
    </x:row>
    <x:row r="23" spans="1:15" ht="34.149999999999999" customHeight="1">
      <x:c r="A23" s="341" t="s">
        <x:v>59</x:v>
      </x:c>
      <x:c r="B23" s="294"/>
      <x:c r="C23" s="325"/>
      <x:c r="D23" s="326"/>
      <x:c r="E23" s="326"/>
      <x:c r="F23" s="326"/>
      <x:c r="G23" s="327"/>
      <x:c r="H23" s="107" t="s">
        <x:v>95</x:v>
      </x:c>
      <x:c r="I23" s="108">
        <x:f>SUM(I4:I22)</x:f>
        <x:v>0</x:v>
      </x:c>
      <x:c r="J23" s="61" t="s">
        <x:v>70</x:v>
      </x:c>
      <x:c r="K23" s="62">
        <x:f>SUM(K4:K22)</x:f>
        <x:v>323020</x:v>
      </x:c>
      <x:c r="M23" s="88" t="s">
        <x:v>102</x:v>
      </x:c>
      <x:c r="N23" s="284">
        <x:f>C5+C6</x:f>
        <x:v>701700</x:v>
      </x:c>
      <x:c r="O23" s="285"/>
    </x:row>
    <x:row r="24" spans="1:11" ht="34.149999999999999" customHeight="1">
      <x:c r="A24" s="341" t="s">
        <x:v>152</x:v>
      </x:c>
      <x:c r="B24" s="294"/>
      <x:c r="C24" s="293" t="s">
        <x:v>86</x:v>
      </x:c>
      <x:c r="D24" s="294"/>
      <x:c r="E24" s="293" t="s">
        <x:v>62</x:v>
      </x:c>
      <x:c r="F24" s="324"/>
      <x:c r="G24" s="294"/>
      <x:c r="H24" s="107" t="s">
        <x:v>152</x:v>
      </x:c>
      <x:c r="I24" s="109">
        <x:f>I23/A25</x:f>
        <x:v>0</x:v>
      </x:c>
      <x:c r="J24" s="61" t="s">
        <x:v>152</x:v>
      </x:c>
      <x:c r="K24" s="63">
        <x:f>K23/A25</x:f>
        <x:v>0.07187805963506898</x:v>
      </x:c>
    </x:row>
    <x:row r="25" spans="1:11" ht="34.149999999999999" customHeight="1">
      <x:c r="A25" s="355">
        <x:f>C2</x:f>
        <x:v>4494000</x:v>
      </x:c>
      <x:c r="B25" s="315"/>
      <x:c r="C25" s="314">
        <x:f>E25/I1</x:f>
        <x:v>4295155.555555556</x:v>
      </x:c>
      <x:c r="D25" s="315"/>
      <x:c r="E25" s="314">
        <x:f>SUM('1:18'!$A$25)</x:f>
        <x:v>77312800</x:v>
      </x:c>
      <x:c r="F25" s="323"/>
      <x:c r="G25" s="315"/>
      <x:c r="H25" s="107" t="s">
        <x:v>156</x:v>
      </x:c>
      <x:c r="I25" s="108">
        <x:f>SUM('1:18'!$I$23)</x:f>
        <x:v>26938264</x:v>
      </x:c>
      <x:c r="J25" s="61" t="s">
        <x:v>156</x:v>
      </x:c>
      <x:c r="K25" s="62">
        <x:f>SUM('1:18'!$K$21)</x:f>
        <x:v>0</x:v>
      </x:c>
    </x:row>
    <x:row r="26" spans="1:11" ht="34.149999999999999" customHeight="1">
      <x:c r="A26" s="341" t="s">
        <x:v>68</x:v>
      </x:c>
      <x:c r="B26" s="294"/>
      <x:c r="C26" s="293"/>
      <x:c r="D26" s="294"/>
      <x:c r="E26" s="311"/>
      <x:c r="F26" s="354"/>
      <x:c r="G26" s="312"/>
      <x:c r="H26" s="107" t="s">
        <x:v>67</x:v>
      </x:c>
      <x:c r="I26" s="110">
        <x:f>I25/$E$25</x:f>
        <x:v>0.34843213542906221</x:v>
      </x:c>
      <x:c r="J26" s="64" t="s">
        <x:v>67</x:v>
      </x:c>
      <x:c r="K26" s="65">
        <x:f>K25/$E$25</x:f>
        <x:v>0</x:v>
      </x:c>
    </x:row>
    <x:row r="27" spans="1:13" ht="30.949999999999999" customHeight="1">
      <x:c r="A27" s="306" t="s">
        <x:v>113</x:v>
      </x:c>
      <x:c r="B27" s="54" t="s">
        <x:v>17</x:v>
      </x:c>
      <x:c r="C27" s="314">
        <x:f>3300000/31</x:f>
        <x:v>106451.6129032258</x:v>
      </x:c>
      <x:c r="D27" s="315"/>
      <x:c r="E27" s="55" t="s">
        <x:v>12</x:v>
      </x:c>
      <x:c r="F27" s="311"/>
      <x:c r="G27" s="312"/>
      <x:c r="H27" s="111" t="s">
        <x:v>69</x:v>
      </x:c>
      <x:c r="I27" s="112">
        <x:f>SUM(C27:D34,F27:G32)</x:f>
        <x:v>711241.93548387091</x:v>
      </x:c>
      <x:c r="M27" s="66"/>
    </x:row>
    <x:row r="28" spans="1:13" ht="30.949999999999999" customHeight="1">
      <x:c r="A28" s="307"/>
      <x:c r="B28" s="54" t="s">
        <x:v>161</x:v>
      </x:c>
      <x:c r="C28" s="314">
        <x:f>3300000/31</x:f>
        <x:v>106451.6129032258</x:v>
      </x:c>
      <x:c r="D28" s="315"/>
      <x:c r="E28" s="148" t="s">
        <x:v>37</x:v>
      </x:c>
      <x:c r="F28" s="309">
        <x:f>13000*9.5</x:f>
        <x:v>123500</x:v>
      </x:c>
      <x:c r="G28" s="310"/>
      <x:c r="H28" s="111" t="s">
        <x:v>152</x:v>
      </x:c>
      <x:c r="I28" s="113">
        <x:f>I27/$A$25</x:f>
        <x:v>0.15826478315172918</x:v>
      </x:c>
      <x:c r="M28" s="66"/>
    </x:row>
    <x:row r="29" spans="1:13" ht="30.949999999999999" customHeight="1">
      <x:c r="A29" s="307"/>
      <x:c r="B29" s="54" t="s">
        <x:v>38</x:v>
      </x:c>
      <x:c r="C29" s="314">
        <x:f>3300000/31</x:f>
        <x:v>106451.6129032258</x:v>
      </x:c>
      <x:c r="D29" s="315"/>
      <x:c r="E29" s="54" t="s">
        <x:v>147</x:v>
      </x:c>
      <x:c r="F29" s="311">
        <x:f>13000*11</x:f>
        <x:v>143000</x:v>
      </x:c>
      <x:c r="G29" s="312"/>
      <x:c r="H29" s="111" t="s">
        <x:v>156</x:v>
      </x:c>
      <x:c r="I29" s="112">
        <x:f>SUM('1:18'!$I$25)</x:f>
        <x:v>251612628</x:v>
      </x:c>
      <x:c r="M29" s="66"/>
    </x:row>
    <x:row r="30" spans="1:13" ht="30.949999999999999" customHeight="1">
      <x:c r="A30" s="307"/>
      <x:c r="B30" s="55" t="s">
        <x:v>28</x:v>
      </x:c>
      <x:c r="C30" s="314">
        <x:f>1500000/31</x:f>
        <x:v>48387.096774193546</x:v>
      </x:c>
      <x:c r="D30" s="315"/>
      <x:c r="E30" s="55"/>
      <x:c r="F30" s="311"/>
      <x:c r="G30" s="312"/>
      <x:c r="H30" s="111" t="s">
        <x:v>67</x:v>
      </x:c>
      <x:c r="I30" s="113">
        <x:f>I29/$I$27</x:f>
        <x:v>353.76517531804888</x:v>
      </x:c>
      <x:c r="M30" s="66"/>
    </x:row>
    <x:row r="31" spans="1:7" customHeight="1">
      <x:c r="A31" s="307"/>
      <x:c r="B31" s="147"/>
      <x:c r="C31" s="309"/>
      <x:c r="D31" s="310"/>
      <x:c r="E31" s="55" t="s">
        <x:v>10</x:v>
      </x:c>
      <x:c r="F31" s="311"/>
      <x:c r="G31" s="312"/>
    </x:row>
    <x:row r="32" spans="1:7" customHeight="1">
      <x:c r="A32" s="307"/>
      <x:c r="B32" s="147"/>
      <x:c r="C32" s="309"/>
      <x:c r="D32" s="310"/>
      <x:c r="E32" s="55" t="s">
        <x:v>79</x:v>
      </x:c>
      <x:c r="F32" s="311">
        <x:v>77000</x:v>
      </x:c>
      <x:c r="G32" s="312"/>
    </x:row>
    <x:row r="33" spans="1:4" customHeight="1">
      <x:c r="A33" s="307"/>
      <x:c r="B33" s="54"/>
      <x:c r="C33" s="309"/>
      <x:c r="D33" s="310"/>
    </x:row>
    <x:row r="34" spans="1:4" customHeight="1">
      <x:c r="A34" s="308"/>
      <x:c r="B34" s="54"/>
      <x:c r="C34" s="311"/>
      <x:c r="D34" s="312"/>
    </x:row>
    <x:row r="35" spans="2:4" customHeight="1">
      <x:c r="B35" s="54"/>
      <x:c r="C35" s="311"/>
      <x:c r="D35" s="312"/>
    </x:row>
  </x:sheetData>
  <x:mergeCells count="75">
    <x:mergeCell ref="C35:D35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32:G32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D14:E15"/>
    <x:mergeCell ref="B18:B19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1"/>
  <x:dimension ref="A1:P36"/>
  <x:sheetViews>
    <x:sheetView tabSelected="1" topLeftCell="A1" zoomScale="85" zoomScaleNormal="85" zoomScaleSheetLayoutView="75" workbookViewId="0">
      <x:selection activeCell="A1" activeCellId="0" sqref="A1:K36"/>
    </x:sheetView>
  </x:sheetViews>
  <x:sheetFormatPr defaultColWidth="8.625" defaultRowHeight="13.199999999999999"/>
  <x:cols>
    <x:col min="1" max="1" width="8.625" style="53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ht="30" customHeight="1">
      <x:c r="A1" s="51"/>
      <x:c r="B1" s="51"/>
      <x:c r="C1" s="68" t="s">
        <x:v>122</x:v>
      </x:c>
      <x:c r="D1" s="68"/>
      <x:c r="E1" s="68">
        <x:v>1</x:v>
      </x:c>
      <x:c r="F1" s="68">
        <x:v>19</x:v>
      </x:c>
      <x:c r="G1" s="68" t="s">
        <x:v>26</x:v>
      </x:c>
      <x:c r="H1" s="52" t="s">
        <x:v>96</x:v>
      </x:c>
      <x:c r="I1" s="52">
        <x:f>F1-K1</x:f>
        <x:v>19</x:v>
      </x:c>
      <x:c r="J1" s="52" t="s">
        <x:v>89</x:v>
      </x:c>
      <x:c r="K1" s="52"/>
    </x:row>
    <x:row r="2" spans="1:11" ht="20.100000000000001" customHeight="1">
      <x:c r="A2" s="272" t="s">
        <x:v>50</x:v>
      </x:c>
      <x:c r="B2" s="273"/>
      <x:c r="C2" s="276">
        <x:f>SUM(C4:D7)</x:f>
        <x:v>4422200</x:v>
      </x:c>
      <x:c r="D2" s="276"/>
      <x:c r="E2" s="279" t="s">
        <x:v>20</x:v>
      </x:c>
      <x:c r="F2" s="280"/>
      <x:c r="G2" s="268">
        <x:v>64200</x:v>
      </x:c>
      <x:c r="H2" s="266" t="s">
        <x:v>54</x:v>
      </x:c>
      <x:c r="I2" s="267"/>
      <x:c r="J2" s="264" t="s">
        <x:v>143</x:v>
      </x:c>
      <x:c r="K2" s="265"/>
    </x:row>
    <x:row r="3" spans="1:11" ht="20.100000000000001" customHeight="1">
      <x:c r="A3" s="274"/>
      <x:c r="B3" s="275"/>
      <x:c r="C3" s="277"/>
      <x:c r="D3" s="277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1" ht="30.949999999999999" customHeight="1">
      <x:c r="A4" s="270" t="s">
        <x:v>41</x:v>
      </x:c>
      <x:c r="B4" s="271"/>
      <x:c r="C4" s="263">
        <x:v>3565800</x:v>
      </x:c>
      <x:c r="D4" s="263"/>
      <x:c r="E4" s="278" t="s">
        <x:v>160</x:v>
      </x:c>
      <x:c r="F4" s="278"/>
      <x:c r="G4" s="133">
        <x:f>INT(C4*0.0275)</x:f>
        <x:v>98059</x:v>
      </x:c>
      <x:c r="H4" s="54" t="s">
        <x:v>19</x:v>
      </x:c>
      <x:c r="I4" s="124">
        <x:f>312756+217564+10+39380+452000</x:f>
        <x:v>1021710</x:v>
      </x:c>
      <x:c r="J4" s="80" t="s">
        <x:v>24</x:v>
      </x:c>
      <x:c r="K4" s="58"/>
    </x:row>
    <x:row r="5" spans="1:11" ht="30.949999999999999" customHeight="1">
      <x:c r="A5" s="270" t="s">
        <x:v>52</x:v>
      </x:c>
      <x:c r="B5" s="271"/>
      <x:c r="C5" s="263">
        <x:v>856400</x:v>
      </x:c>
      <x:c r="D5" s="263"/>
      <x:c r="E5" s="262" t="s">
        <x:v>136</x:v>
      </x:c>
      <x:c r="F5" s="262"/>
      <x:c r="G5" s="133">
        <x:f>INT(C5*0.01)</x:f>
        <x:v>8564</x:v>
      </x:c>
      <x:c r="H5" s="54" t="s">
        <x:v>54</x:v>
      </x:c>
      <x:c r="I5" s="124">
        <x:f>100000+18710</x:f>
        <x:v>118710</x:v>
      </x:c>
      <x:c r="J5" s="81"/>
      <x:c r="K5" s="58"/>
    </x:row>
    <x:row r="6" spans="1:16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800000</x:v>
      </x:c>
      <x:c r="H6" s="54"/>
      <x:c r="I6" s="124"/>
      <x:c r="J6" s="81" t="s">
        <x:v>99</x:v>
      </x:c>
      <x:c r="K6" s="58"/>
      <x:c r="M6" s="53" t="s">
        <x:v>49</x:v>
      </x:c>
      <x:c r="O6" s="53" t="s">
        <x:v>49</x:v>
      </x:c>
      <x:c r="P6" s="53" t="s">
        <x:v>49</x:v>
      </x:c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4">
        <x:v>144700</x:v>
      </x:c>
      <x:c r="J7" s="81" t="s">
        <x:v>106</x:v>
      </x:c>
      <x:c r="K7" s="58"/>
    </x:row>
    <x:row r="8" spans="1:11" ht="21.949999999999999" customHeight="1">
      <x:c r="A8" s="261" t="s">
        <x:v>98</x:v>
      </x:c>
      <x:c r="B8" s="262"/>
      <x:c r="C8" s="263">
        <x:v>120600</x:v>
      </x:c>
      <x:c r="D8" s="263"/>
      <x:c r="E8" s="289" t="s">
        <x:v>114</x:v>
      </x:c>
      <x:c r="F8" s="290"/>
      <x:c r="G8" s="295">
        <x:f>C5+G2-G6-C22</x:f>
        <x:v>120600</x:v>
      </x:c>
      <x:c r="H8" s="54" t="s">
        <x:v>14</x:v>
      </x:c>
      <x:c r="I8" s="124">
        <x:v>65000</x:v>
      </x:c>
      <x:c r="J8" s="81"/>
      <x:c r="K8" s="58"/>
    </x:row>
    <x:row r="9" spans="1:11" ht="21.949999999999999" customHeight="1">
      <x:c r="A9" s="261"/>
      <x:c r="B9" s="262"/>
      <x:c r="C9" s="263"/>
      <x:c r="D9" s="263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30.949999999999999" customHeight="1">
      <x:c r="A10" s="261" t="s">
        <x:v>120</x:v>
      </x:c>
      <x:c r="B10" s="262"/>
      <x:c r="C10" s="263"/>
      <x:c r="D10" s="263"/>
      <x:c r="E10" s="262" t="s">
        <x:v>101</x:v>
      </x:c>
      <x:c r="F10" s="262"/>
      <x:c r="G10" s="55"/>
      <x:c r="H10" s="54"/>
      <x:c r="I10" s="124"/>
      <x:c r="J10" s="54" t="s">
        <x:v>23</x:v>
      </x:c>
      <x:c r="K10" s="58"/>
    </x:row>
    <x:row r="11" spans="1:11" ht="33" customHeight="1">
      <x:c r="A11" s="261" t="s">
        <x:v>115</x:v>
      </x:c>
      <x:c r="B11" s="262"/>
      <x:c r="C11" s="301"/>
      <x:c r="D11" s="301"/>
      <x:c r="E11" s="301"/>
      <x:c r="F11" s="301"/>
      <x:c r="G11" s="301"/>
      <x:c r="H11" s="54" t="s">
        <x:v>151</x:v>
      </x:c>
      <x:c r="I11" s="58"/>
      <x:c r="J11" s="54" t="s">
        <x:v>125</x:v>
      </x:c>
      <x:c r="K11" s="135"/>
    </x:row>
    <x:row r="12" spans="1:13" ht="21.949999999999999" customHeight="1">
      <x:c r="A12" s="59" t="s">
        <x:v>21</x:v>
      </x:c>
      <x:c r="B12" s="299" t="s">
        <x:v>8</x:v>
      </x:c>
      <x:c r="C12" s="79">
        <x:v>15</x:v>
      </x:c>
      <x:c r="D12" s="289" t="s">
        <x:v>83</x:v>
      </x:c>
      <x:c r="E12" s="290"/>
      <x:c r="F12" s="293">
        <x:v>27</x:v>
      </x:c>
      <x:c r="G12" s="294"/>
      <x:c r="H12" s="54" t="s">
        <x:v>58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56</x:v>
      </x:c>
      <x:c r="B13" s="300"/>
      <x:c r="C13" s="134">
        <x:f>SUM('1:19'!$C$12)</x:f>
        <x:v>304</x:v>
      </x:c>
      <x:c r="D13" s="281"/>
      <x:c r="E13" s="282"/>
      <x:c r="F13" s="291">
        <x:f>SUM('1:19'!$F$12)</x:f>
        <x:v>398</x:v>
      </x:c>
      <x:c r="G13" s="292"/>
      <x:c r="H13" s="54" t="s">
        <x:v>92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21</x:v>
      </x:c>
      <x:c r="B14" s="299" t="s">
        <x:v>84</x:v>
      </x:c>
      <x:c r="C14" s="79">
        <x:v>22</x:v>
      </x:c>
      <x:c r="D14" s="289" t="s">
        <x:v>73</x:v>
      </x:c>
      <x:c r="E14" s="290"/>
      <x:c r="F14" s="293">
        <x:v>6</x:v>
      </x:c>
      <x:c r="G14" s="294"/>
      <x:c r="H14" s="54" t="s">
        <x:v>61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56</x:v>
      </x:c>
      <x:c r="B15" s="300"/>
      <x:c r="C15" s="134">
        <x:f>SUM('1:19'!$C$14)</x:f>
        <x:v>459</x:v>
      </x:c>
      <x:c r="D15" s="281"/>
      <x:c r="E15" s="282"/>
      <x:c r="F15" s="291">
        <x:f>SUM('1:19'!$F$14)</x:f>
        <x:v>251</x:v>
      </x:c>
      <x:c r="G15" s="292"/>
      <x:c r="H15" s="54" t="s">
        <x:v>64</x:v>
      </x:c>
      <x:c r="I15" s="58">
        <x:v>174600</x:v>
      </x:c>
      <x:c r="J15" s="54" t="s">
        <x:v>143</x:v>
      </x:c>
      <x:c r="K15" s="58"/>
      <x:c r="L15" s="60"/>
      <x:c r="M15" s="11"/>
    </x:row>
    <x:row r="16" spans="1:13" ht="21.949999999999999" customHeight="1">
      <x:c r="A16" s="59" t="s">
        <x:v>21</x:v>
      </x:c>
      <x:c r="B16" s="299" t="s">
        <x:v>51</x:v>
      </x:c>
      <x:c r="C16" s="79">
        <x:v>6</x:v>
      </x:c>
      <x:c r="D16" s="289" t="s">
        <x:v>81</x:v>
      </x:c>
      <x:c r="E16" s="290"/>
      <x:c r="F16" s="287">
        <x:v>10</x:v>
      </x:c>
      <x:c r="G16" s="287"/>
      <x:c r="H16" s="54"/>
      <x:c r="I16" s="58"/>
      <x:c r="J16" s="54" t="s">
        <x:v>105</x:v>
      </x:c>
      <x:c r="K16" s="58"/>
      <x:c r="L16" s="60"/>
      <x:c r="M16" s="11"/>
    </x:row>
    <x:row r="17" spans="1:13" ht="21.949999999999999" customHeight="1">
      <x:c r="A17" s="59" t="s">
        <x:v>56</x:v>
      </x:c>
      <x:c r="B17" s="300"/>
      <x:c r="C17" s="134">
        <x:f>SUM('1:19'!$C$16)</x:f>
        <x:v>107</x:v>
      </x:c>
      <x:c r="D17" s="281"/>
      <x:c r="E17" s="282"/>
      <x:c r="F17" s="288">
        <x:f>SUM('1:19'!$F$16)</x:f>
        <x:v>239</x:v>
      </x:c>
      <x:c r="G17" s="288"/>
      <x:c r="H17" s="54" t="s">
        <x:v>18</x:v>
      </x:c>
      <x:c r="I17" s="58"/>
      <x:c r="J17" s="54" t="s">
        <x:v>97</x:v>
      </x:c>
      <x:c r="K17" s="58"/>
      <x:c r="L17" s="60"/>
      <x:c r="M17" s="11"/>
    </x:row>
    <x:row r="18" spans="1:13" ht="21.949999999999999" customHeight="1">
      <x:c r="A18" s="59" t="s">
        <x:v>21</x:v>
      </x:c>
      <x:c r="B18" s="299" t="s">
        <x:v>107</x:v>
      </x:c>
      <x:c r="C18" s="79">
        <x:v>32</x:v>
      </x:c>
      <x:c r="D18" s="289" t="s">
        <x:v>29</x:v>
      </x:c>
      <x:c r="E18" s="290"/>
      <x:c r="F18" s="297">
        <x:v>2</x:v>
      </x:c>
      <x:c r="G18" s="29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56</x:v>
      </x:c>
      <x:c r="B19" s="300"/>
      <x:c r="C19" s="134">
        <x:f>SUM('1:19'!$C$18)</x:f>
        <x:v>569</x:v>
      </x:c>
      <x:c r="D19" s="281"/>
      <x:c r="E19" s="282"/>
      <x:c r="F19" s="288">
        <x:f>SUM('1:19'!$F$18)</x:f>
        <x:v>62</x:v>
      </x:c>
      <x:c r="G19" s="288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108</x:v>
      </x:c>
      <x:c r="E20" s="262"/>
      <x:c r="F20" s="287">
        <x:v>61</x:v>
      </x:c>
      <x:c r="G20" s="287"/>
      <x:c r="H20" s="58"/>
      <x:c r="J20" s="54"/>
      <x:c r="K20" s="58"/>
      <x:c r="L20" s="60"/>
      <x:c r="M20" s="11"/>
    </x:row>
    <x:row r="21" spans="4:13" ht="21.949999999999999" customHeight="1">
      <x:c r="D21" s="262" t="s">
        <x:v>128</x:v>
      </x:c>
      <x:c r="E21" s="262"/>
      <x:c r="F21" s="288">
        <x:f>SUM('1:19'!$F$20)</x:f>
        <x:v>1039</x:v>
      </x:c>
      <x:c r="G21" s="288"/>
      <x:c r="H21" s="58"/>
      <x:c r="J21" s="54"/>
      <x:c r="K21" s="58"/>
      <x:c r="L21" s="60"/>
      <x:c r="M21" s="11"/>
    </x:row>
    <x:row r="22" spans="1:13" ht="32.100000000000001" customHeight="1">
      <x:c r="A22" s="261" t="s">
        <x:v>121</x:v>
      </x:c>
      <x:c r="B22" s="262"/>
      <x:c r="C22" s="286"/>
      <x:c r="D22" s="286"/>
      <x:c r="E22" s="286"/>
      <x:c r="F22" s="286"/>
      <x:c r="G22" s="286"/>
      <x:c r="H22" s="54"/>
      <x:c r="J22" s="54"/>
      <x:c r="K22" s="58"/>
      <x:c r="L22" s="60"/>
      <x:c r="M22" s="11"/>
    </x:row>
    <x:row r="23" spans="1:15" ht="34.149999999999999" customHeight="1">
      <x:c r="A23" s="261" t="s">
        <x:v>59</x:v>
      </x:c>
      <x:c r="B23" s="262"/>
      <x:c r="C23" s="317"/>
      <x:c r="D23" s="318"/>
      <x:c r="E23" s="318"/>
      <x:c r="F23" s="318"/>
      <x:c r="G23" s="318"/>
      <x:c r="H23" s="107" t="s">
        <x:v>95</x:v>
      </x:c>
      <x:c r="I23" s="108">
        <x:f>SUM(I4:I22)</x:f>
        <x:v>1524720</x:v>
      </x:c>
      <x:c r="J23" s="61" t="s">
        <x:v>70</x:v>
      </x:c>
      <x:c r="K23" s="62">
        <x:f>SUM(K4:K22)</x:f>
        <x:v>0</x:v>
      </x:c>
      <x:c r="M23" s="88" t="s">
        <x:v>102</x:v>
      </x:c>
      <x:c r="N23" s="284">
        <x:f>C5+C6</x:f>
        <x:v>856400</x:v>
      </x:c>
      <x:c r="O23" s="285"/>
    </x:row>
    <x:row r="24" spans="1:11" ht="34.149999999999999" customHeight="1">
      <x:c r="A24" s="261" t="s">
        <x:v>152</x:v>
      </x:c>
      <x:c r="B24" s="262"/>
      <x:c r="C24" s="262" t="s">
        <x:v>86</x:v>
      </x:c>
      <x:c r="D24" s="262"/>
      <x:c r="E24" s="262" t="s">
        <x:v>62</x:v>
      </x:c>
      <x:c r="F24" s="262"/>
      <x:c r="G24" s="262"/>
      <x:c r="H24" s="107" t="s">
        <x:v>152</x:v>
      </x:c>
      <x:c r="I24" s="109">
        <x:f>I23/A25</x:f>
        <x:v>0.34478766224955903</x:v>
      </x:c>
      <x:c r="J24" s="61" t="s">
        <x:v>152</x:v>
      </x:c>
      <x:c r="K24" s="63">
        <x:f>K23/A25</x:f>
        <x:v>0</x:v>
      </x:c>
    </x:row>
    <x:row r="25" spans="1:11" ht="34.149999999999999" customHeight="1">
      <x:c r="A25" s="313">
        <x:f>C2</x:f>
        <x:v>4422200</x:v>
      </x:c>
      <x:c r="B25" s="277"/>
      <x:c r="C25" s="277">
        <x:f>E25/I1</x:f>
        <x:v>4301842.1052631577</x:v>
      </x:c>
      <x:c r="D25" s="277"/>
      <x:c r="E25" s="277">
        <x:f>SUM('1:19'!$A$25)</x:f>
        <x:v>81735000</x:v>
      </x:c>
      <x:c r="F25" s="277"/>
      <x:c r="G25" s="277"/>
      <x:c r="H25" s="107" t="s">
        <x:v>156</x:v>
      </x:c>
      <x:c r="I25" s="108">
        <x:f>SUM('1:19'!$I$23)</x:f>
        <x:v>28462984</x:v>
      </x:c>
      <x:c r="J25" s="61" t="s">
        <x:v>156</x:v>
      </x:c>
      <x:c r="K25" s="62">
        <x:f>SUM('1:18'!$K$21)</x:f>
        <x:v>0</x:v>
      </x:c>
    </x:row>
    <x:row r="26" spans="1:11" ht="34.149999999999999" customHeight="1">
      <x:c r="A26" s="261" t="s">
        <x:v>68</x:v>
      </x:c>
      <x:c r="B26" s="262"/>
      <x:c r="C26" s="262"/>
      <x:c r="D26" s="262"/>
      <x:c r="E26" s="263"/>
      <x:c r="F26" s="263"/>
      <x:c r="G26" s="263"/>
      <x:c r="H26" s="107" t="s">
        <x:v>67</x:v>
      </x:c>
      <x:c r="I26" s="110">
        <x:f>I25/$E$25</x:f>
        <x:v>0.34823495442588853</x:v>
      </x:c>
      <x:c r="J26" s="64" t="s">
        <x:v>67</x:v>
      </x:c>
      <x:c r="K26" s="65">
        <x:f>K25/$E$25</x:f>
        <x:v>0</x:v>
      </x:c>
    </x:row>
    <x:row r="27" spans="1:13" ht="30.949999999999999" customHeight="1">
      <x:c r="A27" s="319" t="s">
        <x:v>113</x:v>
      </x:c>
      <x:c r="B27" s="54" t="s">
        <x:v>17</x:v>
      </x:c>
      <x:c r="C27" s="277">
        <x:f>3300000/31</x:f>
        <x:v>106451.6129032258</x:v>
      </x:c>
      <x:c r="D27" s="277"/>
      <x:c r="E27" s="55" t="s">
        <x:v>12</x:v>
      </x:c>
      <x:c r="F27" s="263">
        <x:f>13000*5</x:f>
        <x:v>65000</x:v>
      </x:c>
      <x:c r="G27" s="263"/>
      <x:c r="H27" s="111" t="s">
        <x:v>69</x:v>
      </x:c>
      <x:c r="I27" s="112">
        <x:f>SUM(C27:D34,F27:G32)</x:f>
        <x:v>640241.93548387091</x:v>
      </x:c>
      <x:c r="M27" s="66"/>
    </x:row>
    <x:row r="28" spans="1:13" ht="30.949999999999999" customHeight="1">
      <x:c r="A28" s="320"/>
      <x:c r="B28" s="54" t="s">
        <x:v>161</x:v>
      </x:c>
      <x:c r="C28" s="314">
        <x:f>3300000/31</x:f>
        <x:v>106451.6129032258</x:v>
      </x:c>
      <x:c r="D28" s="315"/>
      <x:c r="E28" s="148" t="s">
        <x:v>37</x:v>
      </x:c>
      <x:c r="F28" s="316">
        <x:f>13000*10.5</x:f>
        <x:v>136500</x:v>
      </x:c>
      <x:c r="G28" s="316"/>
      <x:c r="H28" s="111" t="s">
        <x:v>152</x:v>
      </x:c>
      <x:c r="I28" s="113">
        <x:f>I27/$A$25</x:f>
        <x:v>0.14477905465240626</x:v>
      </x:c>
      <x:c r="M28" s="66"/>
    </x:row>
    <x:row r="29" spans="1:13" ht="30.949999999999999" customHeight="1">
      <x:c r="A29" s="320"/>
      <x:c r="B29" s="54" t="s">
        <x:v>38</x:v>
      </x:c>
      <x:c r="C29" s="277">
        <x:f>3300000/31</x:f>
        <x:v>106451.6129032258</x:v>
      </x:c>
      <x:c r="D29" s="277"/>
      <x:c r="E29" s="54" t="s">
        <x:v>147</x:v>
      </x:c>
      <x:c r="F29" s="263"/>
      <x:c r="G29" s="263"/>
      <x:c r="H29" s="111" t="s">
        <x:v>156</x:v>
      </x:c>
      <x:c r="I29" s="112">
        <x:f>SUM('1:18'!$I$25)</x:f>
        <x:v>251612628</x:v>
      </x:c>
      <x:c r="L29" s="53" t="s">
        <x:v>35</x:v>
      </x:c>
      <x:c r="M29" s="66"/>
    </x:row>
    <x:row r="30" spans="1:13" ht="30.949999999999999" customHeight="1">
      <x:c r="A30" s="320"/>
      <x:c r="B30" s="55" t="s">
        <x:v>28</x:v>
      </x:c>
      <x:c r="C30" s="277">
        <x:f>1500000/31</x:f>
        <x:v>48387.096774193546</x:v>
      </x:c>
      <x:c r="D30" s="277"/>
      <x:c r="E30" s="55"/>
      <x:c r="F30" s="311"/>
      <x:c r="G30" s="312"/>
      <x:c r="H30" s="111" t="s">
        <x:v>67</x:v>
      </x:c>
      <x:c r="I30" s="113">
        <x:f>I29/$I$27</x:f>
        <x:v>392.99616919007434</x:v>
      </x:c>
      <x:c r="M30" s="66"/>
    </x:row>
    <x:row r="31" spans="1:7" ht="30" customHeight="1">
      <x:c r="A31" s="320"/>
      <x:c r="B31" s="147"/>
      <x:c r="C31" s="309"/>
      <x:c r="D31" s="310"/>
      <x:c r="E31" s="55" t="s">
        <x:v>10</x:v>
      </x:c>
      <x:c r="F31" s="311">
        <x:v>71000</x:v>
      </x:c>
      <x:c r="G31" s="312"/>
    </x:row>
    <x:row r="32" spans="1:7" ht="30" customHeight="1">
      <x:c r="A32" s="320"/>
      <x:c r="B32" s="147"/>
      <x:c r="C32" s="309"/>
      <x:c r="D32" s="310"/>
      <x:c r="E32" s="55" t="s">
        <x:v>79</x:v>
      </x:c>
      <x:c r="F32" s="311"/>
      <x:c r="G32" s="312"/>
    </x:row>
    <x:row r="33" spans="1:4" ht="30" customHeight="1">
      <x:c r="A33" s="320"/>
      <x:c r="B33" s="54"/>
      <x:c r="C33" s="309"/>
      <x:c r="D33" s="310"/>
    </x:row>
    <x:row r="34" spans="1:4" ht="30" customHeight="1">
      <x:c r="A34" s="321"/>
      <x:c r="B34" s="54"/>
      <x:c r="C34" s="311"/>
      <x:c r="D34" s="312"/>
    </x:row>
    <x:row r="35" spans="2:4">
      <x:c r="B35" s="299"/>
      <x:c r="C35" s="302"/>
      <x:c r="D35" s="303"/>
    </x:row>
    <x:row r="36" spans="2:4">
      <x:c r="B36" s="300"/>
      <x:c r="C36" s="304"/>
      <x:c r="D36" s="305"/>
    </x:row>
  </x:sheetData>
  <x:mergeCells count="76">
    <x:mergeCell ref="J2:K2"/>
    <x:mergeCell ref="A2:B3"/>
    <x:mergeCell ref="C2:D3"/>
    <x:mergeCell ref="E2:F3"/>
    <x:mergeCell ref="G2:G3"/>
    <x:mergeCell ref="H2:I2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A4:B4"/>
    <x:mergeCell ref="C4:D4"/>
    <x:mergeCell ref="E4:F4"/>
    <x:mergeCell ref="A5:B5"/>
    <x:mergeCell ref="C5:D5"/>
    <x:mergeCell ref="E5:F5"/>
    <x:mergeCell ref="B14:B15"/>
    <x:mergeCell ref="F14:G14"/>
    <x:mergeCell ref="F15:G15"/>
    <x:mergeCell ref="D12:E13"/>
    <x:mergeCell ref="F12:G12"/>
    <x:mergeCell ref="F13:G13"/>
    <x:mergeCell ref="B16:B17"/>
    <x:mergeCell ref="D16:E17"/>
    <x:mergeCell ref="F16:G16"/>
    <x:mergeCell ref="F17:G17"/>
    <x:mergeCell ref="D18:E19"/>
    <x:mergeCell ref="F18:G18"/>
    <x:mergeCell ref="F19:G19"/>
    <x:mergeCell ref="D20:E20"/>
    <x:mergeCell ref="F20:G20"/>
    <x:mergeCell ref="D21:E21"/>
    <x:mergeCell ref="F21:G21"/>
    <x:mergeCell ref="A22:B22"/>
    <x:mergeCell ref="C22:G22"/>
    <x:mergeCell ref="A23:B23"/>
    <x:mergeCell ref="C23:G23"/>
    <x:mergeCell ref="N23:O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6:D26"/>
    <x:mergeCell ref="E26:G26"/>
    <x:mergeCell ref="B35:B36"/>
    <x:mergeCell ref="C35:D36"/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D14:E15"/>
    <x:mergeCell ref="B18:B19"/>
    <x:mergeCell ref="B12:B13"/>
  </x:mergeCell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2"/>
  <x:dimension ref="A1:O34"/>
  <x:sheetViews>
    <x:sheetView tabSelected="1" topLeftCell="A1" zoomScale="85" zoomScaleNormal="85" zoomScaleSheetLayoutView="75" workbookViewId="0">
      <x:selection activeCell="I6" activeCellId="0" sqref="I6:I6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122</x:v>
      </x:c>
      <x:c r="D1" s="68"/>
      <x:c r="E1" s="68">
        <x:v>1</x:v>
      </x:c>
      <x:c r="F1" s="68">
        <x:v>20</x:v>
      </x:c>
      <x:c r="G1" s="68" t="s">
        <x:v>25</x:v>
      </x:c>
      <x:c r="H1" s="52" t="s">
        <x:v>96</x:v>
      </x:c>
      <x:c r="I1" s="52">
        <x:f>F1-K1</x:f>
        <x:v>20</x:v>
      </x:c>
      <x:c r="J1" s="52" t="s">
        <x:v>89</x:v>
      </x:c>
      <x:c r="K1" s="52"/>
    </x:row>
    <x:row r="2" spans="1:11" ht="20.100000000000001" customHeight="1">
      <x:c r="A2" s="272" t="s">
        <x:v>50</x:v>
      </x:c>
      <x:c r="B2" s="273"/>
      <x:c r="C2" s="276">
        <x:f>SUM(C4:D7)</x:f>
        <x:v>3204800</x:v>
      </x:c>
      <x:c r="D2" s="276"/>
      <x:c r="E2" s="279" t="s">
        <x:v>20</x:v>
      </x:c>
      <x:c r="F2" s="280"/>
      <x:c r="G2" s="268">
        <x:v>120600</x:v>
      </x:c>
      <x:c r="H2" s="266" t="s">
        <x:v>54</x:v>
      </x:c>
      <x:c r="I2" s="267"/>
      <x:c r="J2" s="264" t="s">
        <x:v>143</x:v>
      </x:c>
      <x:c r="K2" s="265"/>
    </x:row>
    <x:row r="3" spans="1:11" ht="20.100000000000001" customHeight="1">
      <x:c r="A3" s="274"/>
      <x:c r="B3" s="275"/>
      <x:c r="C3" s="277"/>
      <x:c r="D3" s="277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1" ht="30.949999999999999" customHeight="1">
      <x:c r="A4" s="270" t="s">
        <x:v>41</x:v>
      </x:c>
      <x:c r="B4" s="271"/>
      <x:c r="C4" s="263">
        <x:v>2742100</x:v>
      </x:c>
      <x:c r="D4" s="263"/>
      <x:c r="E4" s="278" t="s">
        <x:v>160</x:v>
      </x:c>
      <x:c r="F4" s="278"/>
      <x:c r="G4" s="133">
        <x:f>INT(C4*0.0275)</x:f>
        <x:v>75407</x:v>
      </x:c>
      <x:c r="H4" s="54" t="s">
        <x:v>19</x:v>
      </x:c>
      <x:c r="I4" s="124">
        <x:f>175134</x:f>
        <x:v>175134</x:v>
      </x:c>
      <x:c r="J4" s="80" t="s">
        <x:v>24</x:v>
      </x:c>
      <x:c r="K4" s="58">
        <x:f>746000-552000</x:f>
        <x:v>194000</x:v>
      </x:c>
    </x:row>
    <x:row r="5" spans="1:11" ht="30.949999999999999" customHeight="1">
      <x:c r="A5" s="270" t="s">
        <x:v>52</x:v>
      </x:c>
      <x:c r="B5" s="271"/>
      <x:c r="C5" s="263">
        <x:v>462700</x:v>
      </x:c>
      <x:c r="D5" s="263"/>
      <x:c r="E5" s="262" t="s">
        <x:v>136</x:v>
      </x:c>
      <x:c r="F5" s="262"/>
      <x:c r="G5" s="133">
        <x:f>INT(C5*0.01)</x:f>
        <x:v>4627</x:v>
      </x:c>
      <x:c r="H5" s="54" t="s">
        <x:v>54</x:v>
      </x:c>
      <x:c r="I5" s="124">
        <x:f>45430+60500+44000+46900+24720+12910+7300</x:f>
        <x:v>241760</x:v>
      </x:c>
      <x:c r="J5" s="81"/>
      <x:c r="K5" s="58"/>
    </x:row>
    <x:row r="6" spans="1:11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500000</x:v>
      </x:c>
      <x:c r="H6" s="54"/>
      <x:c r="I6" s="124"/>
      <x:c r="J6" s="81" t="s">
        <x:v>99</x:v>
      </x:c>
      <x:c r="K6" s="58"/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4">
        <x:v>259960</x:v>
      </x:c>
      <x:c r="J7" s="81" t="s">
        <x:v>106</x:v>
      </x:c>
      <x:c r="K7" s="58"/>
    </x:row>
    <x:row r="8" spans="1:11" ht="21.949999999999999" customHeight="1">
      <x:c r="A8" s="261" t="s">
        <x:v>98</x:v>
      </x:c>
      <x:c r="B8" s="262"/>
      <x:c r="C8" s="263">
        <x:v>83300</x:v>
      </x:c>
      <x:c r="D8" s="263"/>
      <x:c r="E8" s="289" t="s">
        <x:v>114</x:v>
      </x:c>
      <x:c r="F8" s="290"/>
      <x:c r="G8" s="295">
        <x:f>C5+G2-G6-C22</x:f>
        <x:v>83300</x:v>
      </x:c>
      <x:c r="H8" s="54" t="s">
        <x:v>14</x:v>
      </x:c>
      <x:c r="I8" s="124">
        <x:v>65000</x:v>
      </x:c>
      <x:c r="J8" s="81"/>
      <x:c r="K8" s="58"/>
    </x:row>
    <x:row r="9" spans="1:11" ht="21.949999999999999" customHeight="1">
      <x:c r="A9" s="261"/>
      <x:c r="B9" s="262"/>
      <x:c r="C9" s="263"/>
      <x:c r="D9" s="263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30.949999999999999" customHeight="1">
      <x:c r="A10" s="261" t="s">
        <x:v>120</x:v>
      </x:c>
      <x:c r="B10" s="262"/>
      <x:c r="C10" s="263">
        <x:v>59700</x:v>
      </x:c>
      <x:c r="D10" s="263"/>
      <x:c r="E10" s="262" t="s">
        <x:v>101</x:v>
      </x:c>
      <x:c r="F10" s="262"/>
      <x:c r="G10" s="55"/>
      <x:c r="H10" s="54"/>
      <x:c r="I10" s="124"/>
      <x:c r="J10" s="54" t="s">
        <x:v>23</x:v>
      </x:c>
      <x:c r="K10" s="58">
        <x:v>14300</x:v>
      </x:c>
    </x:row>
    <x:row r="11" spans="1:11" ht="33" customHeight="1">
      <x:c r="A11" s="261" t="s">
        <x:v>115</x:v>
      </x:c>
      <x:c r="B11" s="262"/>
      <x:c r="C11" s="301" t="s">
        <x:v>123</x:v>
      </x:c>
      <x:c r="D11" s="301"/>
      <x:c r="E11" s="301"/>
      <x:c r="F11" s="301"/>
      <x:c r="G11" s="301"/>
      <x:c r="H11" s="54" t="s">
        <x:v>151</x:v>
      </x:c>
      <x:c r="I11" s="58"/>
      <x:c r="J11" s="54" t="s">
        <x:v>125</x:v>
      </x:c>
      <x:c r="K11" s="135"/>
    </x:row>
    <x:row r="12" spans="1:13" ht="21.949999999999999" customHeight="1">
      <x:c r="A12" s="59" t="s">
        <x:v>21</x:v>
      </x:c>
      <x:c r="B12" s="299" t="s">
        <x:v>8</x:v>
      </x:c>
      <x:c r="C12" s="79">
        <x:v>10</x:v>
      </x:c>
      <x:c r="D12" s="289" t="s">
        <x:v>83</x:v>
      </x:c>
      <x:c r="E12" s="290"/>
      <x:c r="F12" s="293">
        <x:v>15</x:v>
      </x:c>
      <x:c r="G12" s="294"/>
      <x:c r="H12" s="54" t="s">
        <x:v>58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56</x:v>
      </x:c>
      <x:c r="B13" s="300"/>
      <x:c r="C13" s="134">
        <x:f>SUM('1:20'!$C$12)</x:f>
        <x:v>314</x:v>
      </x:c>
      <x:c r="D13" s="281"/>
      <x:c r="E13" s="282"/>
      <x:c r="F13" s="291">
        <x:f>SUM('1:20'!$F$12)</x:f>
        <x:v>413</x:v>
      </x:c>
      <x:c r="G13" s="292"/>
      <x:c r="H13" s="54" t="s">
        <x:v>92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21</x:v>
      </x:c>
      <x:c r="B14" s="299" t="s">
        <x:v>84</x:v>
      </x:c>
      <x:c r="C14" s="79">
        <x:v>20</x:v>
      </x:c>
      <x:c r="D14" s="289" t="s">
        <x:v>73</x:v>
      </x:c>
      <x:c r="E14" s="290"/>
      <x:c r="F14" s="293">
        <x:v>10</x:v>
      </x:c>
      <x:c r="G14" s="294"/>
      <x:c r="H14" s="54" t="s">
        <x:v>61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56</x:v>
      </x:c>
      <x:c r="B15" s="300"/>
      <x:c r="C15" s="134">
        <x:f>SUM('1:20'!$C$14)</x:f>
        <x:v>479</x:v>
      </x:c>
      <x:c r="D15" s="281"/>
      <x:c r="E15" s="282"/>
      <x:c r="F15" s="291">
        <x:f>SUM('1:20'!$F$14)</x:f>
        <x:v>261</x:v>
      </x:c>
      <x:c r="G15" s="292"/>
      <x:c r="H15" s="54" t="s">
        <x:v>64</x:v>
      </x:c>
      <x:c r="I15" s="58">
        <x:f>47600+19200+5900+10000+38000+7800</x:f>
        <x:v>128500</x:v>
      </x:c>
      <x:c r="J15" s="54" t="s">
        <x:v>143</x:v>
      </x:c>
      <x:c r="K15" s="58"/>
      <x:c r="L15" s="60"/>
      <x:c r="M15" s="11"/>
    </x:row>
    <x:row r="16" spans="1:13" ht="21.949999999999999" customHeight="1">
      <x:c r="A16" s="59" t="s">
        <x:v>21</x:v>
      </x:c>
      <x:c r="B16" s="299" t="s">
        <x:v>51</x:v>
      </x:c>
      <x:c r="C16" s="79">
        <x:v>4</x:v>
      </x:c>
      <x:c r="D16" s="289" t="s">
        <x:v>81</x:v>
      </x:c>
      <x:c r="E16" s="290"/>
      <x:c r="F16" s="287">
        <x:v>9</x:v>
      </x:c>
      <x:c r="G16" s="287"/>
      <x:c r="H16" s="54"/>
      <x:c r="I16" s="58"/>
      <x:c r="J16" s="54" t="s">
        <x:v>105</x:v>
      </x:c>
      <x:c r="K16" s="58"/>
      <x:c r="L16" s="60"/>
      <x:c r="M16" s="11"/>
    </x:row>
    <x:row r="17" spans="1:13" ht="21.949999999999999" customHeight="1">
      <x:c r="A17" s="59" t="s">
        <x:v>56</x:v>
      </x:c>
      <x:c r="B17" s="300"/>
      <x:c r="C17" s="134">
        <x:f>SUM('1:20'!$C$16)</x:f>
        <x:v>111</x:v>
      </x:c>
      <x:c r="D17" s="281"/>
      <x:c r="E17" s="282"/>
      <x:c r="F17" s="288">
        <x:f>SUM('1:20'!$F$16)</x:f>
        <x:v>248</x:v>
      </x:c>
      <x:c r="G17" s="288"/>
      <x:c r="H17" s="54" t="s">
        <x:v>18</x:v>
      </x:c>
      <x:c r="I17" s="58"/>
      <x:c r="J17" s="54" t="s">
        <x:v>97</x:v>
      </x:c>
      <x:c r="K17" s="58"/>
      <x:c r="L17" s="60"/>
      <x:c r="M17" s="11"/>
    </x:row>
    <x:row r="18" spans="1:13" ht="21.949999999999999" customHeight="1">
      <x:c r="A18" s="59" t="s">
        <x:v>21</x:v>
      </x:c>
      <x:c r="B18" s="299" t="s">
        <x:v>107</x:v>
      </x:c>
      <x:c r="C18" s="79">
        <x:v>18</x:v>
      </x:c>
      <x:c r="D18" s="289" t="s">
        <x:v>29</x:v>
      </x:c>
      <x:c r="E18" s="290"/>
      <x:c r="F18" s="297">
        <x:v>2</x:v>
      </x:c>
      <x:c r="G18" s="29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56</x:v>
      </x:c>
      <x:c r="B19" s="300"/>
      <x:c r="C19" s="134">
        <x:f>SUM('1:20'!$C$18)</x:f>
        <x:v>587</x:v>
      </x:c>
      <x:c r="D19" s="281"/>
      <x:c r="E19" s="282"/>
      <x:c r="F19" s="288">
        <x:f>SUM('1:20'!$F$18)</x:f>
        <x:v>64</x:v>
      </x:c>
      <x:c r="G19" s="288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108</x:v>
      </x:c>
      <x:c r="E20" s="262"/>
      <x:c r="F20" s="287">
        <x:v>52</x:v>
      </x:c>
      <x:c r="G20" s="287"/>
      <x:c r="H20" s="58"/>
      <x:c r="J20" s="54"/>
      <x:c r="K20" s="58"/>
      <x:c r="L20" s="60"/>
      <x:c r="M20" s="11"/>
    </x:row>
    <x:row r="21" spans="4:13" ht="21.949999999999999" customHeight="1">
      <x:c r="D21" s="262" t="s">
        <x:v>128</x:v>
      </x:c>
      <x:c r="E21" s="262"/>
      <x:c r="F21" s="288">
        <x:f>SUM('1:20'!$F$20)</x:f>
        <x:v>1091</x:v>
      </x:c>
      <x:c r="G21" s="288"/>
      <x:c r="H21" s="58"/>
      <x:c r="J21" s="54"/>
      <x:c r="K21" s="58"/>
      <x:c r="L21" s="60"/>
      <x:c r="M21" s="11"/>
    </x:row>
    <x:row r="22" spans="1:13" ht="32.100000000000001" customHeight="1">
      <x:c r="A22" s="261" t="s">
        <x:v>121</x:v>
      </x:c>
      <x:c r="B22" s="262"/>
      <x:c r="C22" s="286"/>
      <x:c r="D22" s="286"/>
      <x:c r="E22" s="286"/>
      <x:c r="F22" s="286"/>
      <x:c r="G22" s="286"/>
      <x:c r="H22" s="54"/>
      <x:c r="J22" s="54"/>
      <x:c r="K22" s="58"/>
      <x:c r="L22" s="60"/>
      <x:c r="M22" s="11"/>
    </x:row>
    <x:row r="23" spans="1:15" ht="34.149999999999999" customHeight="1">
      <x:c r="A23" s="261" t="s">
        <x:v>59</x:v>
      </x:c>
      <x:c r="B23" s="262"/>
      <x:c r="C23" s="317"/>
      <x:c r="D23" s="318"/>
      <x:c r="E23" s="318"/>
      <x:c r="F23" s="318"/>
      <x:c r="G23" s="318"/>
      <x:c r="H23" s="107" t="s">
        <x:v>95</x:v>
      </x:c>
      <x:c r="I23" s="108">
        <x:f>SUM(I4:I22)</x:f>
        <x:v>870354</x:v>
      </x:c>
      <x:c r="J23" s="61" t="s">
        <x:v>70</x:v>
      </x:c>
      <x:c r="K23" s="62">
        <x:f>SUM(K4:K22)</x:f>
        <x:v>208300</x:v>
      </x:c>
      <x:c r="M23" s="88" t="s">
        <x:v>102</x:v>
      </x:c>
      <x:c r="N23" s="284">
        <x:f>C5+C6</x:f>
        <x:v>462700</x:v>
      </x:c>
      <x:c r="O23" s="285"/>
    </x:row>
    <x:row r="24" spans="1:11" ht="34.149999999999999" customHeight="1">
      <x:c r="A24" s="261" t="s">
        <x:v>152</x:v>
      </x:c>
      <x:c r="B24" s="262"/>
      <x:c r="C24" s="262" t="s">
        <x:v>86</x:v>
      </x:c>
      <x:c r="D24" s="262"/>
      <x:c r="E24" s="262" t="s">
        <x:v>62</x:v>
      </x:c>
      <x:c r="F24" s="262"/>
      <x:c r="G24" s="262"/>
      <x:c r="H24" s="107" t="s">
        <x:v>152</x:v>
      </x:c>
      <x:c r="I24" s="109">
        <x:f>I23/A25</x:f>
        <x:v>0.27157825761357962</x:v>
      </x:c>
      <x:c r="J24" s="61" t="s">
        <x:v>152</x:v>
      </x:c>
      <x:c r="K24" s="63">
        <x:f>K23/A25</x:f>
        <x:v>0.064996255616575141</x:v>
      </x:c>
    </x:row>
    <x:row r="25" spans="1:11" ht="34.149999999999999" customHeight="1">
      <x:c r="A25" s="313">
        <x:f>C2</x:f>
        <x:v>3204800</x:v>
      </x:c>
      <x:c r="B25" s="277"/>
      <x:c r="C25" s="277">
        <x:f>E25/I1</x:f>
        <x:v>4246990</x:v>
      </x:c>
      <x:c r="D25" s="277"/>
      <x:c r="E25" s="277">
        <x:f>SUM('1:20'!$A$25)</x:f>
        <x:v>84939800</x:v>
      </x:c>
      <x:c r="F25" s="277"/>
      <x:c r="G25" s="277"/>
      <x:c r="H25" s="107" t="s">
        <x:v>156</x:v>
      </x:c>
      <x:c r="I25" s="108">
        <x:f>SUM('1:20'!$I$23)</x:f>
        <x:v>29333338</x:v>
      </x:c>
      <x:c r="J25" s="61" t="s">
        <x:v>156</x:v>
      </x:c>
      <x:c r="K25" s="62">
        <x:f>SUM('1:20'!$K$21)</x:f>
        <x:v>0</x:v>
      </x:c>
    </x:row>
    <x:row r="26" spans="1:11" ht="34.149999999999999" customHeight="1">
      <x:c r="A26" s="261" t="s">
        <x:v>68</x:v>
      </x:c>
      <x:c r="B26" s="262"/>
      <x:c r="C26" s="262"/>
      <x:c r="D26" s="262"/>
      <x:c r="E26" s="263"/>
      <x:c r="F26" s="263"/>
      <x:c r="G26" s="263"/>
      <x:c r="H26" s="107" t="s">
        <x:v>67</x:v>
      </x:c>
      <x:c r="I26" s="110">
        <x:f>I25/$E$25</x:f>
        <x:v>0.34534267799076523</x:v>
      </x:c>
      <x:c r="J26" s="64" t="s">
        <x:v>67</x:v>
      </x:c>
      <x:c r="K26" s="65">
        <x:f>K25/$E$25</x:f>
        <x:v>0</x:v>
      </x:c>
    </x:row>
    <x:row r="27" spans="1:13" ht="30.949999999999999" customHeight="1">
      <x:c r="A27" s="319" t="s">
        <x:v>113</x:v>
      </x:c>
      <x:c r="B27" s="54" t="s">
        <x:v>17</x:v>
      </x:c>
      <x:c r="C27" s="277">
        <x:f>3300000/31</x:f>
        <x:v>106451.6129032258</x:v>
      </x:c>
      <x:c r="D27" s="277"/>
      <x:c r="E27" s="55" t="s">
        <x:v>12</x:v>
      </x:c>
      <x:c r="F27" s="263">
        <x:f>13000*4.5</x:f>
        <x:v>58500</x:v>
      </x:c>
      <x:c r="G27" s="263"/>
      <x:c r="H27" s="111" t="s">
        <x:v>69</x:v>
      </x:c>
      <x:c r="I27" s="112">
        <x:f>SUM(C27:D34,F27:G32)</x:f>
        <x:v>623991.93548387091</x:v>
      </x:c>
      <x:c r="M27" s="66"/>
    </x:row>
    <x:row r="28" spans="1:13" ht="30.949999999999999" customHeight="1">
      <x:c r="A28" s="320"/>
      <x:c r="B28" s="54" t="s">
        <x:v>161</x:v>
      </x:c>
      <x:c r="C28" s="314">
        <x:f>3300000/31</x:f>
        <x:v>106451.6129032258</x:v>
      </x:c>
      <x:c r="D28" s="315"/>
      <x:c r="E28" s="148" t="s">
        <x:v>37</x:v>
      </x:c>
      <x:c r="F28" s="316">
        <x:f>13000*9.75</x:f>
        <x:v>126750</x:v>
      </x:c>
      <x:c r="G28" s="316"/>
      <x:c r="H28" s="111" t="s">
        <x:v>152</x:v>
      </x:c>
      <x:c r="I28" s="113">
        <x:f>I27/$A$25</x:f>
        <x:v>0.19470542170615043</x:v>
      </x:c>
      <x:c r="M28" s="66"/>
    </x:row>
    <x:row r="29" spans="1:13" ht="30.949999999999999" customHeight="1">
      <x:c r="A29" s="320"/>
      <x:c r="B29" s="54" t="s">
        <x:v>38</x:v>
      </x:c>
      <x:c r="C29" s="277">
        <x:f>3300000/31</x:f>
        <x:v>106451.6129032258</x:v>
      </x:c>
      <x:c r="D29" s="277"/>
      <x:c r="E29" s="54" t="s">
        <x:v>147</x:v>
      </x:c>
      <x:c r="F29" s="263"/>
      <x:c r="G29" s="263"/>
      <x:c r="H29" s="111" t="s">
        <x:v>156</x:v>
      </x:c>
      <x:c r="I29" s="112">
        <x:f>SUM('1:20'!$I$25)</x:f>
        <x:v>309408950</x:v>
      </x:c>
      <x:c r="M29" s="66"/>
    </x:row>
    <x:row r="30" spans="1:13" ht="30.949999999999999" customHeight="1">
      <x:c r="A30" s="320"/>
      <x:c r="B30" s="55" t="s">
        <x:v>28</x:v>
      </x:c>
      <x:c r="C30" s="277">
        <x:f>1500000/31</x:f>
        <x:v>48387.096774193546</x:v>
      </x:c>
      <x:c r="D30" s="277"/>
      <x:c r="E30" s="55"/>
      <x:c r="F30" s="311"/>
      <x:c r="G30" s="312"/>
      <x:c r="H30" s="111" t="s">
        <x:v>67</x:v>
      </x:c>
      <x:c r="I30" s="113">
        <x:f>I29/$I$27</x:f>
        <x:v>495.85408465266562</x:v>
      </x:c>
      <x:c r="M30" s="66"/>
    </x:row>
    <x:row r="31" spans="1:7" customHeight="1">
      <x:c r="A31" s="320"/>
      <x:c r="B31" s="147"/>
      <x:c r="C31" s="309"/>
      <x:c r="D31" s="310"/>
      <x:c r="E31" s="55" t="s">
        <x:v>10</x:v>
      </x:c>
      <x:c r="F31" s="311"/>
      <x:c r="G31" s="312"/>
    </x:row>
    <x:row r="32" spans="1:7" customHeight="1">
      <x:c r="A32" s="320"/>
      <x:c r="B32" s="147"/>
      <x:c r="C32" s="309"/>
      <x:c r="D32" s="310"/>
      <x:c r="E32" s="55" t="s">
        <x:v>79</x:v>
      </x:c>
      <x:c r="F32" s="311">
        <x:v>71000</x:v>
      </x:c>
      <x:c r="G32" s="312"/>
    </x:row>
    <x:row r="33" spans="1:4" customHeight="1">
      <x:c r="A33" s="320"/>
      <x:c r="B33" s="54"/>
      <x:c r="C33" s="309"/>
      <x:c r="D33" s="310"/>
    </x:row>
    <x:row r="34" spans="1:4" customHeight="1">
      <x:c r="A34" s="321"/>
      <x:c r="B34" s="54"/>
      <x:c r="C34" s="311"/>
      <x:c r="D34" s="312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D14:E15"/>
    <x:mergeCell ref="B18:B19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3"/>
  <x:dimension ref="A1:O34"/>
  <x:sheetViews>
    <x:sheetView tabSelected="1" topLeftCell="A1" zoomScale="85" zoomScaleNormal="85" zoomScaleSheetLayoutView="75" workbookViewId="0">
      <x:selection activeCell="C11" activeCellId="0" sqref="C11:G1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122</x:v>
      </x:c>
      <x:c r="D1" s="68"/>
      <x:c r="E1" s="68">
        <x:v>1</x:v>
      </x:c>
      <x:c r="F1" s="68">
        <x:v>21</x:v>
      </x:c>
      <x:c r="G1" s="68" t="s">
        <x:v>33</x:v>
      </x:c>
      <x:c r="H1" s="52" t="s">
        <x:v>96</x:v>
      </x:c>
      <x:c r="I1" s="52">
        <x:f>F1-K1</x:f>
        <x:v>21</x:v>
      </x:c>
      <x:c r="J1" s="52" t="s">
        <x:v>89</x:v>
      </x:c>
      <x:c r="K1" s="52"/>
    </x:row>
    <x:row r="2" spans="1:11" ht="20.100000000000001" customHeight="1">
      <x:c r="A2" s="272" t="s">
        <x:v>50</x:v>
      </x:c>
      <x:c r="B2" s="273"/>
      <x:c r="C2" s="276">
        <x:f>SUM(C4:D7)</x:f>
        <x:v>4496400</x:v>
      </x:c>
      <x:c r="D2" s="276"/>
      <x:c r="E2" s="279" t="s">
        <x:v>20</x:v>
      </x:c>
      <x:c r="F2" s="280"/>
      <x:c r="G2" s="268">
        <x:v>83300</x:v>
      </x:c>
      <x:c r="H2" s="266" t="s">
        <x:v>54</x:v>
      </x:c>
      <x:c r="I2" s="267"/>
      <x:c r="J2" s="264" t="s">
        <x:v>143</x:v>
      </x:c>
      <x:c r="K2" s="265"/>
    </x:row>
    <x:row r="3" spans="1:11" ht="20.100000000000001" customHeight="1">
      <x:c r="A3" s="274"/>
      <x:c r="B3" s="275"/>
      <x:c r="C3" s="277"/>
      <x:c r="D3" s="277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1" ht="30.949999999999999" customHeight="1">
      <x:c r="A4" s="270" t="s">
        <x:v>41</x:v>
      </x:c>
      <x:c r="B4" s="271"/>
      <x:c r="C4" s="263">
        <x:v>4328700</x:v>
      </x:c>
      <x:c r="D4" s="263"/>
      <x:c r="E4" s="278" t="s">
        <x:v>160</x:v>
      </x:c>
      <x:c r="F4" s="278"/>
      <x:c r="G4" s="133">
        <x:f>INT(C4*0.0275)</x:f>
        <x:v>119039</x:v>
      </x:c>
      <x:c r="H4" s="54" t="s">
        <x:v>19</x:v>
      </x:c>
      <x:c r="I4" s="124">
        <x:f>687984+632514+403192+452000</x:f>
        <x:v>2175690</x:v>
      </x:c>
      <x:c r="J4" s="80" t="s">
        <x:v>24</x:v>
      </x:c>
      <x:c r="K4" s="58"/>
    </x:row>
    <x:row r="5" spans="1:11" ht="30.949999999999999" customHeight="1">
      <x:c r="A5" s="270" t="s">
        <x:v>52</x:v>
      </x:c>
      <x:c r="B5" s="271"/>
      <x:c r="C5" s="263">
        <x:v>167700</x:v>
      </x:c>
      <x:c r="D5" s="263"/>
      <x:c r="E5" s="262" t="s">
        <x:v>136</x:v>
      </x:c>
      <x:c r="F5" s="262"/>
      <x:c r="G5" s="133">
        <x:f>INT(C5*0.01)</x:f>
        <x:v>1677</x:v>
      </x:c>
      <x:c r="H5" s="54" t="s">
        <x:v>54</x:v>
      </x:c>
      <x:c r="I5" s="124">
        <x:f>7300+12910</x:f>
        <x:v>20210</x:v>
      </x:c>
      <x:c r="J5" s="81"/>
      <x:c r="K5" s="58"/>
    </x:row>
    <x:row r="6" spans="1:11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150000</x:v>
      </x:c>
      <x:c r="H6" s="54"/>
      <x:c r="I6" s="124"/>
      <x:c r="J6" s="81" t="s">
        <x:v>99</x:v>
      </x:c>
      <x:c r="K6" s="58"/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4"/>
      <x:c r="J7" s="81" t="s">
        <x:v>106</x:v>
      </x:c>
      <x:c r="K7" s="58"/>
    </x:row>
    <x:row r="8" spans="1:11" ht="21.949999999999999" customHeight="1">
      <x:c r="A8" s="261" t="s">
        <x:v>98</x:v>
      </x:c>
      <x:c r="B8" s="262"/>
      <x:c r="C8" s="263">
        <x:v>101000</x:v>
      </x:c>
      <x:c r="D8" s="263"/>
      <x:c r="E8" s="289" t="s">
        <x:v>114</x:v>
      </x:c>
      <x:c r="F8" s="290"/>
      <x:c r="G8" s="295">
        <x:f>C5+G2-G6-C22</x:f>
        <x:v>101000</x:v>
      </x:c>
      <x:c r="H8" s="54" t="s">
        <x:v>14</x:v>
      </x:c>
      <x:c r="I8" s="124"/>
      <x:c r="J8" s="81"/>
      <x:c r="K8" s="58"/>
    </x:row>
    <x:row r="9" spans="1:11" ht="21.949999999999999" customHeight="1">
      <x:c r="A9" s="261"/>
      <x:c r="B9" s="262"/>
      <x:c r="C9" s="263"/>
      <x:c r="D9" s="263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30.949999999999999" customHeight="1">
      <x:c r="A10" s="261" t="s">
        <x:v>120</x:v>
      </x:c>
      <x:c r="B10" s="262"/>
      <x:c r="C10" s="263">
        <x:v>242000</x:v>
      </x:c>
      <x:c r="D10" s="263"/>
      <x:c r="E10" s="262" t="s">
        <x:v>101</x:v>
      </x:c>
      <x:c r="F10" s="262"/>
      <x:c r="G10" s="55"/>
      <x:c r="H10" s="54"/>
      <x:c r="I10" s="124"/>
      <x:c r="J10" s="54" t="s">
        <x:v>23</x:v>
      </x:c>
      <x:c r="K10" s="58"/>
    </x:row>
    <x:row r="11" spans="1:11" ht="33" customHeight="1">
      <x:c r="A11" s="261" t="s">
        <x:v>115</x:v>
      </x:c>
      <x:c r="B11" s="262"/>
      <x:c r="C11" s="301"/>
      <x:c r="D11" s="301"/>
      <x:c r="E11" s="301"/>
      <x:c r="F11" s="301"/>
      <x:c r="G11" s="301"/>
      <x:c r="H11" s="54" t="s">
        <x:v>151</x:v>
      </x:c>
      <x:c r="I11" s="58"/>
      <x:c r="J11" s="54" t="s">
        <x:v>125</x:v>
      </x:c>
      <x:c r="K11" s="135"/>
    </x:row>
    <x:row r="12" spans="1:13" ht="21.949999999999999" customHeight="1">
      <x:c r="A12" s="59" t="s">
        <x:v>21</x:v>
      </x:c>
      <x:c r="B12" s="299" t="s">
        <x:v>8</x:v>
      </x:c>
      <x:c r="C12" s="79">
        <x:v>14</x:v>
      </x:c>
      <x:c r="D12" s="289" t="s">
        <x:v>83</x:v>
      </x:c>
      <x:c r="E12" s="290"/>
      <x:c r="F12" s="293">
        <x:v>23</x:v>
      </x:c>
      <x:c r="G12" s="294"/>
      <x:c r="H12" s="54" t="s">
        <x:v>58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56</x:v>
      </x:c>
      <x:c r="B13" s="300"/>
      <x:c r="C13" s="134">
        <x:f>SUM('1:21'!$C$12)</x:f>
        <x:v>328</x:v>
      </x:c>
      <x:c r="D13" s="281"/>
      <x:c r="E13" s="282"/>
      <x:c r="F13" s="291">
        <x:f>SUM('1:21'!$F$12)</x:f>
        <x:v>436</x:v>
      </x:c>
      <x:c r="G13" s="292"/>
      <x:c r="H13" s="54" t="s">
        <x:v>92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21</x:v>
      </x:c>
      <x:c r="B14" s="299" t="s">
        <x:v>84</x:v>
      </x:c>
      <x:c r="C14" s="79">
        <x:v>21</x:v>
      </x:c>
      <x:c r="D14" s="289" t="s">
        <x:v>73</x:v>
      </x:c>
      <x:c r="E14" s="290"/>
      <x:c r="F14" s="293">
        <x:v>24</x:v>
      </x:c>
      <x:c r="G14" s="294"/>
      <x:c r="H14" s="54" t="s">
        <x:v>61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56</x:v>
      </x:c>
      <x:c r="B15" s="300"/>
      <x:c r="C15" s="134">
        <x:f>SUM('1:21'!$C$14)</x:f>
        <x:v>500</x:v>
      </x:c>
      <x:c r="D15" s="281"/>
      <x:c r="E15" s="282"/>
      <x:c r="F15" s="291">
        <x:f>SUM('1:21'!$F$14)</x:f>
        <x:v>285</x:v>
      </x:c>
      <x:c r="G15" s="292"/>
      <x:c r="H15" s="54" t="s">
        <x:v>64</x:v>
      </x:c>
      <x:c r="I15" s="58">
        <x:v>86100</x:v>
      </x:c>
      <x:c r="J15" s="54" t="s">
        <x:v>143</x:v>
      </x:c>
      <x:c r="K15" s="58"/>
      <x:c r="L15" s="60"/>
      <x:c r="M15" s="11"/>
    </x:row>
    <x:row r="16" spans="1:13" ht="21.949999999999999" customHeight="1">
      <x:c r="A16" s="59" t="s">
        <x:v>21</x:v>
      </x:c>
      <x:c r="B16" s="299" t="s">
        <x:v>51</x:v>
      </x:c>
      <x:c r="C16" s="79">
        <x:v>11</x:v>
      </x:c>
      <x:c r="D16" s="289" t="s">
        <x:v>81</x:v>
      </x:c>
      <x:c r="E16" s="290"/>
      <x:c r="F16" s="287">
        <x:v>8</x:v>
      </x:c>
      <x:c r="G16" s="287"/>
      <x:c r="H16" s="54"/>
      <x:c r="I16" s="58"/>
      <x:c r="J16" s="54" t="s">
        <x:v>105</x:v>
      </x:c>
      <x:c r="K16" s="58"/>
      <x:c r="L16" s="60"/>
      <x:c r="M16" s="11"/>
    </x:row>
    <x:row r="17" spans="1:13" ht="21.949999999999999" customHeight="1">
      <x:c r="A17" s="59" t="s">
        <x:v>56</x:v>
      </x:c>
      <x:c r="B17" s="300"/>
      <x:c r="C17" s="134">
        <x:f>SUM('1:21'!$C$16)</x:f>
        <x:v>122</x:v>
      </x:c>
      <x:c r="D17" s="281"/>
      <x:c r="E17" s="282"/>
      <x:c r="F17" s="288">
        <x:f>SUM('1:21'!$F$16)</x:f>
        <x:v>256</x:v>
      </x:c>
      <x:c r="G17" s="288"/>
      <x:c r="H17" s="54" t="s">
        <x:v>18</x:v>
      </x:c>
      <x:c r="I17" s="58"/>
      <x:c r="J17" s="54" t="s">
        <x:v>97</x:v>
      </x:c>
      <x:c r="K17" s="58"/>
      <x:c r="L17" s="60"/>
      <x:c r="M17" s="11"/>
    </x:row>
    <x:row r="18" spans="1:13" ht="21.949999999999999" customHeight="1">
      <x:c r="A18" s="59" t="s">
        <x:v>21</x:v>
      </x:c>
      <x:c r="B18" s="299" t="s">
        <x:v>107</x:v>
      </x:c>
      <x:c r="C18" s="79">
        <x:v>32</x:v>
      </x:c>
      <x:c r="D18" s="289" t="s">
        <x:v>29</x:v>
      </x:c>
      <x:c r="E18" s="290"/>
      <x:c r="F18" s="297">
        <x:v>4</x:v>
      </x:c>
      <x:c r="G18" s="29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56</x:v>
      </x:c>
      <x:c r="B19" s="300"/>
      <x:c r="C19" s="134">
        <x:f>SUM('1:21'!$C$18)</x:f>
        <x:v>619</x:v>
      </x:c>
      <x:c r="D19" s="281"/>
      <x:c r="E19" s="282"/>
      <x:c r="F19" s="288">
        <x:f>SUM('1:21'!$F$18)</x:f>
        <x:v>68</x:v>
      </x:c>
      <x:c r="G19" s="288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108</x:v>
      </x:c>
      <x:c r="E20" s="262"/>
      <x:c r="F20" s="287">
        <x:v>60</x:v>
      </x:c>
      <x:c r="G20" s="287"/>
      <x:c r="H20" s="58"/>
      <x:c r="J20" s="54"/>
      <x:c r="K20" s="58"/>
      <x:c r="L20" s="60"/>
      <x:c r="M20" s="11"/>
    </x:row>
    <x:row r="21" spans="4:13" ht="21.949999999999999" customHeight="1">
      <x:c r="D21" s="262" t="s">
        <x:v>128</x:v>
      </x:c>
      <x:c r="E21" s="262"/>
      <x:c r="F21" s="288">
        <x:f>SUM('1:21'!$F$20)</x:f>
        <x:v>1151</x:v>
      </x:c>
      <x:c r="G21" s="288"/>
      <x:c r="H21" s="58"/>
      <x:c r="J21" s="54"/>
      <x:c r="K21" s="58"/>
      <x:c r="L21" s="60"/>
      <x:c r="M21" s="11"/>
    </x:row>
    <x:row r="22" spans="1:13" ht="32.100000000000001" customHeight="1">
      <x:c r="A22" s="261" t="s">
        <x:v>121</x:v>
      </x:c>
      <x:c r="B22" s="262"/>
      <x:c r="C22" s="286"/>
      <x:c r="D22" s="286"/>
      <x:c r="E22" s="286"/>
      <x:c r="F22" s="286"/>
      <x:c r="G22" s="286"/>
      <x:c r="H22" s="54"/>
      <x:c r="J22" s="54"/>
      <x:c r="K22" s="58"/>
      <x:c r="L22" s="60"/>
      <x:c r="M22" s="11"/>
    </x:row>
    <x:row r="23" spans="1:15" ht="34.149999999999999" customHeight="1">
      <x:c r="A23" s="261" t="s">
        <x:v>59</x:v>
      </x:c>
      <x:c r="B23" s="262"/>
      <x:c r="C23" s="317"/>
      <x:c r="D23" s="318"/>
      <x:c r="E23" s="318"/>
      <x:c r="F23" s="318"/>
      <x:c r="G23" s="318"/>
      <x:c r="H23" s="107" t="s">
        <x:v>95</x:v>
      </x:c>
      <x:c r="I23" s="108">
        <x:f>SUM(I4:I22)</x:f>
        <x:v>2282000</x:v>
      </x:c>
      <x:c r="J23" s="61" t="s">
        <x:v>70</x:v>
      </x:c>
      <x:c r="K23" s="62">
        <x:f>SUM(K4:K22)</x:f>
        <x:v>0</x:v>
      </x:c>
      <x:c r="M23" s="88" t="s">
        <x:v>102</x:v>
      </x:c>
      <x:c r="N23" s="284">
        <x:f>C5+C6</x:f>
        <x:v>167700</x:v>
      </x:c>
      <x:c r="O23" s="285"/>
    </x:row>
    <x:row r="24" spans="1:11" ht="34.149999999999999" customHeight="1">
      <x:c r="A24" s="261" t="s">
        <x:v>152</x:v>
      </x:c>
      <x:c r="B24" s="262"/>
      <x:c r="C24" s="262" t="s">
        <x:v>86</x:v>
      </x:c>
      <x:c r="D24" s="262"/>
      <x:c r="E24" s="262" t="s">
        <x:v>62</x:v>
      </x:c>
      <x:c r="F24" s="262"/>
      <x:c r="G24" s="262"/>
      <x:c r="H24" s="107" t="s">
        <x:v>152</x:v>
      </x:c>
      <x:c r="I24" s="109">
        <x:f>I23/A25</x:f>
        <x:v>0.5075171248109599</x:v>
      </x:c>
      <x:c r="J24" s="61" t="s">
        <x:v>152</x:v>
      </x:c>
      <x:c r="K24" s="63">
        <x:f>K23/A25</x:f>
        <x:v>0</x:v>
      </x:c>
    </x:row>
    <x:row r="25" spans="1:11" ht="34.149999999999999" customHeight="1">
      <x:c r="A25" s="313">
        <x:f>C2</x:f>
        <x:v>4496400</x:v>
      </x:c>
      <x:c r="B25" s="277"/>
      <x:c r="C25" s="277">
        <x:f>E25/I1</x:f>
        <x:v>4258866.666666667</x:v>
      </x:c>
      <x:c r="D25" s="277"/>
      <x:c r="E25" s="277">
        <x:f>SUM('1:21'!$A$25)</x:f>
        <x:v>89436200</x:v>
      </x:c>
      <x:c r="F25" s="277"/>
      <x:c r="G25" s="277"/>
      <x:c r="H25" s="107" t="s">
        <x:v>156</x:v>
      </x:c>
      <x:c r="I25" s="108">
        <x:f>SUM('1:21'!$I$23)</x:f>
        <x:v>31615338</x:v>
      </x:c>
      <x:c r="J25" s="61" t="s">
        <x:v>156</x:v>
      </x:c>
      <x:c r="K25" s="62">
        <x:f>SUM('1:21'!$K$21)</x:f>
        <x:v>0</x:v>
      </x:c>
    </x:row>
    <x:row r="26" spans="1:11" ht="34.149999999999999" customHeight="1">
      <x:c r="A26" s="261" t="s">
        <x:v>68</x:v>
      </x:c>
      <x:c r="B26" s="262"/>
      <x:c r="C26" s="262"/>
      <x:c r="D26" s="262"/>
      <x:c r="E26" s="263"/>
      <x:c r="F26" s="263"/>
      <x:c r="G26" s="263"/>
      <x:c r="H26" s="107" t="s">
        <x:v>67</x:v>
      </x:c>
      <x:c r="I26" s="110">
        <x:f>I25/$E$25</x:f>
        <x:v>0.35349598931976089</x:v>
      </x:c>
      <x:c r="J26" s="64" t="s">
        <x:v>67</x:v>
      </x:c>
      <x:c r="K26" s="65">
        <x:f>K25/$E$25</x:f>
        <x:v>0</x:v>
      </x:c>
    </x:row>
    <x:row r="27" spans="1:13" ht="30.949999999999999" customHeight="1">
      <x:c r="A27" s="319" t="s">
        <x:v>113</x:v>
      </x:c>
      <x:c r="B27" s="54" t="s">
        <x:v>17</x:v>
      </x:c>
      <x:c r="C27" s="277">
        <x:f>3300000/31</x:f>
        <x:v>106451.6129032258</x:v>
      </x:c>
      <x:c r="D27" s="277"/>
      <x:c r="E27" s="55" t="s">
        <x:v>12</x:v>
      </x:c>
      <x:c r="F27" s="263">
        <x:f>13000*4.5</x:f>
        <x:v>58500</x:v>
      </x:c>
      <x:c r="G27" s="263"/>
      <x:c r="H27" s="111" t="s">
        <x:v>69</x:v>
      </x:c>
      <x:c r="I27" s="112">
        <x:f>SUM(C27:D34,F27:G32)</x:f>
        <x:v>629241.93548387091</x:v>
      </x:c>
      <x:c r="M27" s="66"/>
    </x:row>
    <x:row r="28" spans="1:13" ht="30.949999999999999" customHeight="1">
      <x:c r="A28" s="320"/>
      <x:c r="B28" s="54" t="s">
        <x:v>161</x:v>
      </x:c>
      <x:c r="C28" s="277">
        <x:f>3300000/31</x:f>
        <x:v>106451.6129032258</x:v>
      </x:c>
      <x:c r="D28" s="277"/>
      <x:c r="E28" s="148" t="s">
        <x:v>37</x:v>
      </x:c>
      <x:c r="F28" s="316"/>
      <x:c r="G28" s="316"/>
      <x:c r="H28" s="111" t="s">
        <x:v>152</x:v>
      </x:c>
      <x:c r="I28" s="113">
        <x:f>I27/$A$25</x:f>
        <x:v>0.13994349601545034</x:v>
      </x:c>
      <x:c r="M28" s="66"/>
    </x:row>
    <x:row r="29" spans="1:13" ht="30.949999999999999" customHeight="1">
      <x:c r="A29" s="320"/>
      <x:c r="B29" s="54" t="s">
        <x:v>38</x:v>
      </x:c>
      <x:c r="C29" s="277">
        <x:f>3300000/31</x:f>
        <x:v>106451.6129032258</x:v>
      </x:c>
      <x:c r="D29" s="277"/>
      <x:c r="E29" s="54" t="s">
        <x:v>147</x:v>
      </x:c>
      <x:c r="F29" s="263"/>
      <x:c r="G29" s="263"/>
      <x:c r="H29" s="111" t="s">
        <x:v>156</x:v>
      </x:c>
      <x:c r="I29" s="112">
        <x:f>SUM('1:21'!$I$25)</x:f>
        <x:v>341024288</x:v>
      </x:c>
      <x:c r="M29" s="66"/>
    </x:row>
    <x:row r="30" spans="1:13" ht="30.949999999999999" customHeight="1">
      <x:c r="A30" s="320"/>
      <x:c r="B30" s="55" t="s">
        <x:v>28</x:v>
      </x:c>
      <x:c r="C30" s="277">
        <x:f>1500000/31</x:f>
        <x:v>48387.096774193546</x:v>
      </x:c>
      <x:c r="D30" s="277"/>
      <x:c r="E30" s="55"/>
      <x:c r="F30" s="311"/>
      <x:c r="G30" s="312"/>
      <x:c r="H30" s="111" t="s">
        <x:v>67</x:v>
      </x:c>
      <x:c r="I30" s="113">
        <x:f>I29/$I$27</x:f>
        <x:v>541.9605222874427</x:v>
      </x:c>
      <x:c r="M30" s="66"/>
    </x:row>
    <x:row r="31" spans="1:7" customHeight="1">
      <x:c r="A31" s="320"/>
      <x:c r="B31" s="147"/>
      <x:c r="C31" s="316"/>
      <x:c r="D31" s="316"/>
      <x:c r="E31" s="55" t="s">
        <x:v>10</x:v>
      </x:c>
      <x:c r="F31" s="311"/>
      <x:c r="G31" s="312"/>
    </x:row>
    <x:row r="32" spans="1:7" customHeight="1">
      <x:c r="A32" s="320"/>
      <x:c r="B32" s="147"/>
      <x:c r="C32" s="309"/>
      <x:c r="D32" s="310"/>
      <x:c r="E32" s="55" t="s">
        <x:v>79</x:v>
      </x:c>
      <x:c r="F32" s="311">
        <x:f>71000+132000</x:f>
        <x:v>203000</x:v>
      </x:c>
      <x:c r="G32" s="312"/>
    </x:row>
    <x:row r="33" spans="1:4" customHeight="1">
      <x:c r="A33" s="320"/>
      <x:c r="B33" s="54"/>
      <x:c r="C33" s="309"/>
      <x:c r="D33" s="310"/>
    </x:row>
    <x:row r="34" spans="1:4" customHeight="1">
      <x:c r="A34" s="321"/>
      <x:c r="B34" s="54"/>
      <x:c r="C34" s="311"/>
      <x:c r="D34" s="312"/>
    </x:row>
  </x:sheetData>
  <x:mergeCells count="74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4:D34"/>
    <x:mergeCell ref="C31:D31"/>
    <x:mergeCell ref="C30:D30"/>
    <x:mergeCell ref="F31:G31"/>
    <x:mergeCell ref="F30:G30"/>
    <x:mergeCell ref="C33:D33"/>
    <x:mergeCell ref="A23:B23"/>
    <x:mergeCell ref="C23:G23"/>
    <x:mergeCell ref="A24:B24"/>
    <x:mergeCell ref="C24:D24"/>
    <x:mergeCell ref="E24:G24"/>
    <x:mergeCell ref="F32:G32"/>
    <x:mergeCell ref="A22:B22"/>
    <x:mergeCell ref="C22:G22"/>
    <x:mergeCell ref="D12:E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G8:G9"/>
    <x:mergeCell ref="D14:E15"/>
    <x:mergeCell ref="B18:B19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4"/>
  <x:dimension ref="A1:O34"/>
  <x:sheetViews>
    <x:sheetView tabSelected="1" topLeftCell="A1" zoomScale="85" zoomScaleNormal="85" zoomScaleSheetLayoutView="75" workbookViewId="0">
      <x:selection activeCell="F20" activeCellId="0" sqref="F20:G20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122</x:v>
      </x:c>
      <x:c r="D1" s="68"/>
      <x:c r="E1" s="68">
        <x:v>1</x:v>
      </x:c>
      <x:c r="F1" s="68">
        <x:v>22</x:v>
      </x:c>
      <x:c r="G1" s="68" t="s">
        <x:v>7</x:v>
      </x:c>
      <x:c r="H1" s="52" t="s">
        <x:v>96</x:v>
      </x:c>
      <x:c r="I1" s="52">
        <x:f>F1-K1</x:f>
        <x:v>22</x:v>
      </x:c>
      <x:c r="J1" s="52" t="s">
        <x:v>89</x:v>
      </x:c>
      <x:c r="K1" s="52"/>
    </x:row>
    <x:row r="2" spans="1:11" ht="20.100000000000001" customHeight="1">
      <x:c r="A2" s="272" t="s">
        <x:v>50</x:v>
      </x:c>
      <x:c r="B2" s="273"/>
      <x:c r="C2" s="276">
        <x:f>SUM(C4:D7)</x:f>
        <x:v>3949000</x:v>
      </x:c>
      <x:c r="D2" s="276"/>
      <x:c r="E2" s="279" t="s">
        <x:v>20</x:v>
      </x:c>
      <x:c r="F2" s="280"/>
      <x:c r="G2" s="268">
        <x:v>100900</x:v>
      </x:c>
      <x:c r="H2" s="266" t="s">
        <x:v>54</x:v>
      </x:c>
      <x:c r="I2" s="267"/>
      <x:c r="J2" s="264" t="s">
        <x:v>143</x:v>
      </x:c>
      <x:c r="K2" s="265"/>
    </x:row>
    <x:row r="3" spans="1:11" ht="20.100000000000001" customHeight="1">
      <x:c r="A3" s="274"/>
      <x:c r="B3" s="275"/>
      <x:c r="C3" s="277"/>
      <x:c r="D3" s="277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1" ht="30.949999999999999" customHeight="1">
      <x:c r="A4" s="270" t="s">
        <x:v>41</x:v>
      </x:c>
      <x:c r="B4" s="271"/>
      <x:c r="C4" s="263">
        <x:v>3296600</x:v>
      </x:c>
      <x:c r="D4" s="263"/>
      <x:c r="E4" s="278" t="s">
        <x:v>160</x:v>
      </x:c>
      <x:c r="F4" s="278"/>
      <x:c r="G4" s="133">
        <x:f>INT(C4*0.0275)</x:f>
        <x:v>90656</x:v>
      </x:c>
      <x:c r="H4" s="54" t="s">
        <x:v>19</x:v>
      </x:c>
      <x:c r="I4" s="124">
        <x:f>310422+195738+343992</x:f>
        <x:v>850152</x:v>
      </x:c>
      <x:c r="J4" s="80" t="s">
        <x:v>24</x:v>
      </x:c>
      <x:c r="K4" s="58"/>
    </x:row>
    <x:row r="5" spans="1:11" ht="30.949999999999999" customHeight="1">
      <x:c r="A5" s="270" t="s">
        <x:v>52</x:v>
      </x:c>
      <x:c r="B5" s="271"/>
      <x:c r="C5" s="263">
        <x:v>652400</x:v>
      </x:c>
      <x:c r="D5" s="263"/>
      <x:c r="E5" s="262" t="s">
        <x:v>136</x:v>
      </x:c>
      <x:c r="F5" s="262"/>
      <x:c r="G5" s="133">
        <x:f>INT(C5*0.01)</x:f>
        <x:v>6524</x:v>
      </x:c>
      <x:c r="H5" s="54" t="s">
        <x:v>54</x:v>
      </x:c>
      <x:c r="I5" s="124">
        <x:f>46900+50000+61864+12910+30040</x:f>
        <x:v>201714</x:v>
      </x:c>
      <x:c r="J5" s="81"/>
      <x:c r="K5" s="58"/>
    </x:row>
    <x:row r="6" spans="1:11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650000</x:v>
      </x:c>
      <x:c r="H6" s="54"/>
      <x:c r="I6" s="124"/>
      <x:c r="J6" s="81" t="s">
        <x:v>99</x:v>
      </x:c>
      <x:c r="K6" s="58"/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4">
        <x:v>95000</x:v>
      </x:c>
      <x:c r="J7" s="81" t="s">
        <x:v>106</x:v>
      </x:c>
      <x:c r="K7" s="58"/>
    </x:row>
    <x:row r="8" spans="1:11" ht="21.949999999999999" customHeight="1">
      <x:c r="A8" s="261" t="s">
        <x:v>98</x:v>
      </x:c>
      <x:c r="B8" s="262"/>
      <x:c r="C8" s="263">
        <x:v>103300</x:v>
      </x:c>
      <x:c r="D8" s="263"/>
      <x:c r="E8" s="289" t="s">
        <x:v>114</x:v>
      </x:c>
      <x:c r="F8" s="290"/>
      <x:c r="G8" s="295">
        <x:f>C5+G2-G6-C22</x:f>
        <x:v>103300</x:v>
      </x:c>
      <x:c r="H8" s="54" t="s">
        <x:v>14</x:v>
      </x:c>
      <x:c r="I8" s="124">
        <x:v>65000</x:v>
      </x:c>
      <x:c r="J8" s="81"/>
      <x:c r="K8" s="58"/>
    </x:row>
    <x:row r="9" spans="1:11" ht="21.949999999999999" customHeight="1">
      <x:c r="A9" s="261"/>
      <x:c r="B9" s="262"/>
      <x:c r="C9" s="263"/>
      <x:c r="D9" s="263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30.949999999999999" customHeight="1">
      <x:c r="A10" s="261" t="s">
        <x:v>120</x:v>
      </x:c>
      <x:c r="B10" s="262"/>
      <x:c r="C10" s="263"/>
      <x:c r="D10" s="263"/>
      <x:c r="E10" s="262" t="s">
        <x:v>101</x:v>
      </x:c>
      <x:c r="F10" s="262"/>
      <x:c r="G10" s="55"/>
      <x:c r="H10" s="54"/>
      <x:c r="I10" s="124"/>
      <x:c r="J10" s="54" t="s">
        <x:v>23</x:v>
      </x:c>
      <x:c r="K10" s="58"/>
    </x:row>
    <x:row r="11" spans="1:11" ht="33" customHeight="1">
      <x:c r="A11" s="261" t="s">
        <x:v>115</x:v>
      </x:c>
      <x:c r="B11" s="262"/>
      <x:c r="C11" s="301"/>
      <x:c r="D11" s="301"/>
      <x:c r="E11" s="301"/>
      <x:c r="F11" s="301"/>
      <x:c r="G11" s="301"/>
      <x:c r="H11" s="54" t="s">
        <x:v>151</x:v>
      </x:c>
      <x:c r="I11" s="58">
        <x:v>100000</x:v>
      </x:c>
      <x:c r="J11" s="54" t="s">
        <x:v>125</x:v>
      </x:c>
      <x:c r="K11" s="135"/>
    </x:row>
    <x:row r="12" spans="1:13" ht="21.949999999999999" customHeight="1">
      <x:c r="A12" s="59" t="s">
        <x:v>21</x:v>
      </x:c>
      <x:c r="B12" s="299" t="s">
        <x:v>8</x:v>
      </x:c>
      <x:c r="C12" s="79">
        <x:v>13</x:v>
      </x:c>
      <x:c r="D12" s="289" t="s">
        <x:v>83</x:v>
      </x:c>
      <x:c r="E12" s="290"/>
      <x:c r="F12" s="293">
        <x:v>11</x:v>
      </x:c>
      <x:c r="G12" s="294"/>
      <x:c r="H12" s="54" t="s">
        <x:v>58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56</x:v>
      </x:c>
      <x:c r="B13" s="300"/>
      <x:c r="C13" s="134">
        <x:f>SUM('1:22'!$C$12)</x:f>
        <x:v>341</x:v>
      </x:c>
      <x:c r="D13" s="281"/>
      <x:c r="E13" s="282"/>
      <x:c r="F13" s="291">
        <x:f>SUM('1:22'!$F$12)</x:f>
        <x:v>447</x:v>
      </x:c>
      <x:c r="G13" s="292"/>
      <x:c r="H13" s="54" t="s">
        <x:v>92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21</x:v>
      </x:c>
      <x:c r="B14" s="299" t="s">
        <x:v>84</x:v>
      </x:c>
      <x:c r="C14" s="79">
        <x:v>26</x:v>
      </x:c>
      <x:c r="D14" s="289" t="s">
        <x:v>73</x:v>
      </x:c>
      <x:c r="E14" s="290"/>
      <x:c r="F14" s="293">
        <x:v>9</x:v>
      </x:c>
      <x:c r="G14" s="294"/>
      <x:c r="H14" s="54" t="s">
        <x:v>61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56</x:v>
      </x:c>
      <x:c r="B15" s="300"/>
      <x:c r="C15" s="134">
        <x:f>SUM('1:22'!$C$14)</x:f>
        <x:v>526</x:v>
      </x:c>
      <x:c r="D15" s="281"/>
      <x:c r="E15" s="282"/>
      <x:c r="F15" s="291">
        <x:f>SUM('1:22'!$F$14)</x:f>
        <x:v>294</x:v>
      </x:c>
      <x:c r="G15" s="292"/>
      <x:c r="H15" s="54" t="s">
        <x:v>64</x:v>
      </x:c>
      <x:c r="I15" s="58">
        <x:f>47600+5500+4900+11800+7200+10500+12000</x:f>
        <x:v>99500</x:v>
      </x:c>
      <x:c r="J15" s="54" t="s">
        <x:v>143</x:v>
      </x:c>
      <x:c r="K15" s="58"/>
      <x:c r="L15" s="60"/>
      <x:c r="M15" s="11"/>
    </x:row>
    <x:row r="16" spans="1:13" ht="21.949999999999999" customHeight="1">
      <x:c r="A16" s="59" t="s">
        <x:v>21</x:v>
      </x:c>
      <x:c r="B16" s="299" t="s">
        <x:v>51</x:v>
      </x:c>
      <x:c r="C16" s="79">
        <x:v>2</x:v>
      </x:c>
      <x:c r="D16" s="289" t="s">
        <x:v>81</x:v>
      </x:c>
      <x:c r="E16" s="290"/>
      <x:c r="F16" s="287">
        <x:v>11</x:v>
      </x:c>
      <x:c r="G16" s="287"/>
      <x:c r="H16" s="54"/>
      <x:c r="I16" s="58"/>
      <x:c r="J16" s="54" t="s">
        <x:v>105</x:v>
      </x:c>
      <x:c r="K16" s="58"/>
      <x:c r="L16" s="60"/>
      <x:c r="M16" s="11"/>
    </x:row>
    <x:row r="17" spans="1:13" ht="21.949999999999999" customHeight="1">
      <x:c r="A17" s="59" t="s">
        <x:v>56</x:v>
      </x:c>
      <x:c r="B17" s="300"/>
      <x:c r="C17" s="134">
        <x:f>SUM('1:22'!$C$16)</x:f>
        <x:v>124</x:v>
      </x:c>
      <x:c r="D17" s="281"/>
      <x:c r="E17" s="282"/>
      <x:c r="F17" s="288">
        <x:f>SUM('1:22'!$F$16)</x:f>
        <x:v>267</x:v>
      </x:c>
      <x:c r="G17" s="288"/>
      <x:c r="H17" s="54" t="s">
        <x:v>18</x:v>
      </x:c>
      <x:c r="I17" s="58"/>
      <x:c r="J17" s="54" t="s">
        <x:v>97</x:v>
      </x:c>
      <x:c r="K17" s="58"/>
      <x:c r="L17" s="60"/>
      <x:c r="M17" s="11"/>
    </x:row>
    <x:row r="18" spans="1:13" ht="21.949999999999999" customHeight="1">
      <x:c r="A18" s="59" t="s">
        <x:v>21</x:v>
      </x:c>
      <x:c r="B18" s="299" t="s">
        <x:v>107</x:v>
      </x:c>
      <x:c r="C18" s="79">
        <x:v>26</x:v>
      </x:c>
      <x:c r="D18" s="289" t="s">
        <x:v>29</x:v>
      </x:c>
      <x:c r="E18" s="290"/>
      <x:c r="F18" s="297">
        <x:v>3</x:v>
      </x:c>
      <x:c r="G18" s="29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56</x:v>
      </x:c>
      <x:c r="B19" s="300"/>
      <x:c r="C19" s="134">
        <x:f>SUM('1:22'!$C$18)</x:f>
        <x:v>645</x:v>
      </x:c>
      <x:c r="D19" s="281"/>
      <x:c r="E19" s="282"/>
      <x:c r="F19" s="288">
        <x:f>SUM('1:22'!$F$18)</x:f>
        <x:v>71</x:v>
      </x:c>
      <x:c r="G19" s="288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108</x:v>
      </x:c>
      <x:c r="E20" s="262"/>
      <x:c r="F20" s="287">
        <x:v>54</x:v>
      </x:c>
      <x:c r="G20" s="287"/>
      <x:c r="H20" s="58"/>
      <x:c r="J20" s="54"/>
      <x:c r="K20" s="58"/>
      <x:c r="L20" s="60"/>
      <x:c r="M20" s="11"/>
    </x:row>
    <x:row r="21" spans="4:13" ht="21.949999999999999" customHeight="1">
      <x:c r="D21" s="262" t="s">
        <x:v>128</x:v>
      </x:c>
      <x:c r="E21" s="262"/>
      <x:c r="F21" s="288">
        <x:f>SUM('1:22'!$F$20)</x:f>
        <x:v>1205</x:v>
      </x:c>
      <x:c r="G21" s="288"/>
      <x:c r="H21" s="58"/>
      <x:c r="J21" s="54"/>
      <x:c r="K21" s="58"/>
      <x:c r="L21" s="60"/>
      <x:c r="M21" s="11"/>
    </x:row>
    <x:row r="22" spans="1:13" ht="32.100000000000001" customHeight="1">
      <x:c r="A22" s="261" t="s">
        <x:v>121</x:v>
      </x:c>
      <x:c r="B22" s="262"/>
      <x:c r="C22" s="286"/>
      <x:c r="D22" s="286"/>
      <x:c r="E22" s="286"/>
      <x:c r="F22" s="286"/>
      <x:c r="G22" s="286"/>
      <x:c r="H22" s="54"/>
      <x:c r="J22" s="54"/>
      <x:c r="K22" s="58"/>
      <x:c r="L22" s="60"/>
      <x:c r="M22" s="11"/>
    </x:row>
    <x:row r="23" spans="1:15" ht="34.149999999999999" customHeight="1">
      <x:c r="A23" s="261" t="s">
        <x:v>59</x:v>
      </x:c>
      <x:c r="B23" s="262"/>
      <x:c r="C23" s="317"/>
      <x:c r="D23" s="318"/>
      <x:c r="E23" s="318"/>
      <x:c r="F23" s="318"/>
      <x:c r="G23" s="318"/>
      <x:c r="H23" s="107" t="s">
        <x:v>95</x:v>
      </x:c>
      <x:c r="I23" s="108">
        <x:f>SUM(I4:I22)</x:f>
        <x:v>1411366</x:v>
      </x:c>
      <x:c r="J23" s="61" t="s">
        <x:v>70</x:v>
      </x:c>
      <x:c r="K23" s="62">
        <x:f>SUM(K4:K22)</x:f>
        <x:v>0</x:v>
      </x:c>
      <x:c r="M23" s="88" t="s">
        <x:v>102</x:v>
      </x:c>
      <x:c r="N23" s="284">
        <x:f>C5+C6</x:f>
        <x:v>652400</x:v>
      </x:c>
      <x:c r="O23" s="285"/>
    </x:row>
    <x:row r="24" spans="1:11" ht="34.149999999999999" customHeight="1">
      <x:c r="A24" s="261" t="s">
        <x:v>152</x:v>
      </x:c>
      <x:c r="B24" s="262"/>
      <x:c r="C24" s="262" t="s">
        <x:v>86</x:v>
      </x:c>
      <x:c r="D24" s="262"/>
      <x:c r="E24" s="262" t="s">
        <x:v>62</x:v>
      </x:c>
      <x:c r="F24" s="262"/>
      <x:c r="G24" s="262"/>
      <x:c r="H24" s="107" t="s">
        <x:v>152</x:v>
      </x:c>
      <x:c r="I24" s="109">
        <x:f>I23/A25</x:f>
        <x:v>0.35739832869080779</x:v>
      </x:c>
      <x:c r="J24" s="61" t="s">
        <x:v>152</x:v>
      </x:c>
      <x:c r="K24" s="63">
        <x:f>K23/A25</x:f>
        <x:v>0</x:v>
      </x:c>
    </x:row>
    <x:row r="25" spans="1:11" ht="34.149999999999999" customHeight="1">
      <x:c r="A25" s="313">
        <x:f>C2</x:f>
        <x:v>3949000</x:v>
      </x:c>
      <x:c r="B25" s="277"/>
      <x:c r="C25" s="277">
        <x:f>E25/I1</x:f>
        <x:v>4244781.8181818184</x:v>
      </x:c>
      <x:c r="D25" s="277"/>
      <x:c r="E25" s="277">
        <x:f>SUM('1:22'!$A$25)</x:f>
        <x:v>93385200</x:v>
      </x:c>
      <x:c r="F25" s="277"/>
      <x:c r="G25" s="277"/>
      <x:c r="H25" s="107" t="s">
        <x:v>156</x:v>
      </x:c>
      <x:c r="I25" s="108">
        <x:f>SUM('1:22'!$I$23)</x:f>
        <x:v>33026704</x:v>
      </x:c>
      <x:c r="J25" s="61" t="s">
        <x:v>156</x:v>
      </x:c>
      <x:c r="K25" s="62">
        <x:f>SUM('1:22'!$K$21)</x:f>
        <x:v>0</x:v>
      </x:c>
    </x:row>
    <x:row r="26" spans="1:11" ht="34.149999999999999" customHeight="1">
      <x:c r="A26" s="261" t="s">
        <x:v>68</x:v>
      </x:c>
      <x:c r="B26" s="262"/>
      <x:c r="C26" s="262"/>
      <x:c r="D26" s="262"/>
      <x:c r="E26" s="263"/>
      <x:c r="F26" s="263"/>
      <x:c r="G26" s="263"/>
      <x:c r="H26" s="107" t="s">
        <x:v>67</x:v>
      </x:c>
      <x:c r="I26" s="110">
        <x:f>I25/$E$25</x:f>
        <x:v>0.3536610083824846</x:v>
      </x:c>
      <x:c r="J26" s="64" t="s">
        <x:v>67</x:v>
      </x:c>
      <x:c r="K26" s="65">
        <x:f>K25/$E$25</x:f>
        <x:v>0</x:v>
      </x:c>
    </x:row>
    <x:row r="27" spans="1:13" ht="30.949999999999999" customHeight="1">
      <x:c r="A27" s="319" t="s">
        <x:v>113</x:v>
      </x:c>
      <x:c r="B27" s="54" t="s">
        <x:v>17</x:v>
      </x:c>
      <x:c r="C27" s="277">
        <x:f>3300000/31</x:f>
        <x:v>106451.6129032258</x:v>
      </x:c>
      <x:c r="D27" s="277"/>
      <x:c r="E27" s="55" t="s">
        <x:v>12</x:v>
      </x:c>
      <x:c r="F27" s="263"/>
      <x:c r="G27" s="263"/>
      <x:c r="H27" s="111" t="s">
        <x:v>69</x:v>
      </x:c>
      <x:c r="I27" s="112">
        <x:f>SUM(C27:D34,F27:G32)</x:f>
        <x:v>665741.93548387091</x:v>
      </x:c>
      <x:c r="M27" s="66"/>
    </x:row>
    <x:row r="28" spans="1:13" ht="30.949999999999999" customHeight="1">
      <x:c r="A28" s="320"/>
      <x:c r="B28" s="54" t="s">
        <x:v>161</x:v>
      </x:c>
      <x:c r="C28" s="314">
        <x:f>3300000/31</x:f>
        <x:v>106451.6129032258</x:v>
      </x:c>
      <x:c r="D28" s="315"/>
      <x:c r="E28" s="148" t="s">
        <x:v>37</x:v>
      </x:c>
      <x:c r="F28" s="316"/>
      <x:c r="G28" s="316"/>
      <x:c r="H28" s="111" t="s">
        <x:v>152</x:v>
      </x:c>
      <x:c r="I28" s="113">
        <x:f>I27/$A$25</x:f>
        <x:v>0.16858494187993692</x:v>
      </x:c>
      <x:c r="M28" s="66"/>
    </x:row>
    <x:row r="29" spans="1:13" ht="30.949999999999999" customHeight="1">
      <x:c r="A29" s="320"/>
      <x:c r="B29" s="54" t="s">
        <x:v>38</x:v>
      </x:c>
      <x:c r="C29" s="277">
        <x:f>3300000/31</x:f>
        <x:v>106451.6129032258</x:v>
      </x:c>
      <x:c r="D29" s="277"/>
      <x:c r="E29" s="54" t="s">
        <x:v>147</x:v>
      </x:c>
      <x:c r="F29" s="263"/>
      <x:c r="G29" s="263"/>
      <x:c r="H29" s="111" t="s">
        <x:v>156</x:v>
      </x:c>
      <x:c r="I29" s="112">
        <x:f>SUM('1:22'!$I$25)</x:f>
        <x:v>374050992</x:v>
      </x:c>
      <x:c r="M29" s="66"/>
    </x:row>
    <x:row r="30" spans="1:13" ht="30.949999999999999" customHeight="1">
      <x:c r="A30" s="320"/>
      <x:c r="B30" s="55" t="s">
        <x:v>28</x:v>
      </x:c>
      <x:c r="C30" s="277">
        <x:f>1500000/31</x:f>
        <x:v>48387.096774193546</x:v>
      </x:c>
      <x:c r="D30" s="277"/>
      <x:c r="E30" s="55" t="s">
        <x:v>32</x:v>
      </x:c>
      <x:c r="F30" s="311">
        <x:f>13000*12</x:f>
        <x:v>156000</x:v>
      </x:c>
      <x:c r="G30" s="312"/>
      <x:c r="H30" s="111" t="s">
        <x:v>67</x:v>
      </x:c>
      <x:c r="I30" s="113">
        <x:f>I29/$I$27</x:f>
        <x:v>561.85583641825758</x:v>
      </x:c>
      <x:c r="M30" s="66"/>
    </x:row>
    <x:row r="31" spans="1:7" customHeight="1">
      <x:c r="A31" s="320"/>
      <x:c r="B31" s="147"/>
      <x:c r="C31" s="309"/>
      <x:c r="D31" s="310"/>
      <x:c r="E31" s="55" t="s">
        <x:v>10</x:v>
      </x:c>
      <x:c r="F31" s="311">
        <x:f>71000+71000</x:f>
        <x:v>142000</x:v>
      </x:c>
      <x:c r="G31" s="312"/>
    </x:row>
    <x:row r="32" spans="1:7" customHeight="1">
      <x:c r="A32" s="320"/>
      <x:c r="B32" s="147"/>
      <x:c r="C32" s="309"/>
      <x:c r="D32" s="310"/>
      <x:c r="E32" s="55" t="s">
        <x:v>79</x:v>
      </x:c>
      <x:c r="F32" s="311"/>
      <x:c r="G32" s="312"/>
    </x:row>
    <x:row r="33" spans="1:4" customHeight="1">
      <x:c r="A33" s="320"/>
      <x:c r="B33" s="54"/>
      <x:c r="C33" s="309"/>
      <x:c r="D33" s="310"/>
    </x:row>
    <x:row r="34" spans="1:4" customHeight="1">
      <x:c r="A34" s="321"/>
      <x:c r="B34" s="54"/>
      <x:c r="C34" s="311"/>
      <x:c r="D34" s="312"/>
    </x:row>
  </x:sheetData>
  <x:mergeCells count="74">
    <x:mergeCell ref="F32:G32"/>
    <x:mergeCell ref="A25:B25"/>
    <x:mergeCell ref="C25:D25"/>
    <x:mergeCell ref="E25:G25"/>
    <x:mergeCell ref="A26:B26"/>
    <x:mergeCell ref="F27:G27"/>
    <x:mergeCell ref="C27:D27"/>
    <x:mergeCell ref="C29:D29"/>
    <x:mergeCell ref="F29:G29"/>
    <x:mergeCell ref="C30:D30"/>
    <x:mergeCell ref="A24:B24"/>
    <x:mergeCell ref="C24:D24"/>
    <x:mergeCell ref="E24:G24"/>
    <x:mergeCell ref="A22:B22"/>
    <x:mergeCell ref="C22:G22"/>
    <x:mergeCell ref="B16:B17"/>
    <x:mergeCell ref="F15:G15"/>
    <x:mergeCell ref="A23:B23"/>
    <x:mergeCell ref="C23:G23"/>
    <x:mergeCell ref="F16:G16"/>
    <x:mergeCell ref="F17:G17"/>
    <x:mergeCell ref="A6:B7"/>
    <x:mergeCell ref="A11:B11"/>
    <x:mergeCell ref="C11:G11"/>
    <x:mergeCell ref="B14:B15"/>
    <x:mergeCell ref="F12:G12"/>
    <x:mergeCell ref="D12:E13"/>
    <x:mergeCell ref="A10:B10"/>
    <x:mergeCell ref="C10:D10"/>
    <x:mergeCell ref="E10:F10"/>
    <x:mergeCell ref="A8:B9"/>
    <x:mergeCell ref="C8:D9"/>
    <x:mergeCell ref="F14:G14"/>
    <x:mergeCell ref="C6:D7"/>
    <x:mergeCell ref="E6:F7"/>
    <x:mergeCell ref="E8:F9"/>
    <x:mergeCell ref="A5:B5"/>
    <x:mergeCell ref="C5:D5"/>
    <x:mergeCell ref="E5:F5"/>
    <x:mergeCell ref="E2:F3"/>
    <x:mergeCell ref="G2:G3"/>
    <x:mergeCell ref="A4:B4"/>
    <x:mergeCell ref="C4:D4"/>
    <x:mergeCell ref="E4:F4"/>
    <x:mergeCell ref="A2:B3"/>
    <x:mergeCell ref="C2:D3"/>
    <x:mergeCell ref="N23:O23"/>
    <x:mergeCell ref="G6:G7"/>
    <x:mergeCell ref="G8:G9"/>
    <x:mergeCell ref="C26:D26"/>
    <x:mergeCell ref="E26:G26"/>
    <x:mergeCell ref="F13:G13"/>
    <x:mergeCell ref="F18:G18"/>
    <x:mergeCell ref="F19:G19"/>
    <x:mergeCell ref="D18:E19"/>
    <x:mergeCell ref="J2:K2"/>
    <x:mergeCell ref="H2:I2"/>
    <x:mergeCell ref="D16:E17"/>
    <x:mergeCell ref="A27:A34"/>
    <x:mergeCell ref="C32:D32"/>
    <x:mergeCell ref="C33:D33"/>
    <x:mergeCell ref="C34:D34"/>
    <x:mergeCell ref="C31:D31"/>
    <x:mergeCell ref="F31:G31"/>
    <x:mergeCell ref="D20:E20"/>
    <x:mergeCell ref="F20:G20"/>
    <x:mergeCell ref="D21:E21"/>
    <x:mergeCell ref="F21:G21"/>
    <x:mergeCell ref="C28:D28"/>
    <x:mergeCell ref="F28:G28"/>
    <x:mergeCell ref="F30:G30"/>
    <x:mergeCell ref="D14:E15"/>
    <x:mergeCell ref="B18:B19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5"/>
  <x:dimension ref="A1:O34"/>
  <x:sheetViews>
    <x:sheetView tabSelected="1" topLeftCell="A1" zoomScale="85" zoomScaleNormal="85" zoomScaleSheetLayoutView="75" workbookViewId="0">
      <x:selection activeCell="F33" activeCellId="0" sqref="F33:F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" width="8.625" style="53"/>
    <x:col min="17" max="17" width="8.625" style="53" bestFit="1" customWidth="1"/>
    <x:col min="18" max="16384" width="8.625" style="53"/>
  </x:cols>
  <x:sheetData>
    <x:row r="1" spans="1:11" customHeight="1">
      <x:c r="A1" s="51"/>
      <x:c r="B1" s="51"/>
      <x:c r="C1" s="68" t="s">
        <x:v>122</x:v>
      </x:c>
      <x:c r="D1" s="68"/>
      <x:c r="E1" s="68">
        <x:v>1</x:v>
      </x:c>
      <x:c r="F1" s="68">
        <x:v>23</x:v>
      </x:c>
      <x:c r="G1" s="68" t="s">
        <x:v>30</x:v>
      </x:c>
      <x:c r="H1" s="52" t="s">
        <x:v>96</x:v>
      </x:c>
      <x:c r="I1" s="52">
        <x:f>F1-K1</x:f>
        <x:v>23</x:v>
      </x:c>
      <x:c r="J1" s="52" t="s">
        <x:v>89</x:v>
      </x:c>
      <x:c r="K1" s="52"/>
    </x:row>
    <x:row r="2" spans="1:11" ht="20.100000000000001" customHeight="1">
      <x:c r="A2" s="272" t="s">
        <x:v>50</x:v>
      </x:c>
      <x:c r="B2" s="273"/>
      <x:c r="C2" s="276">
        <x:f>SUM(C4:D7)</x:f>
        <x:v>3735000</x:v>
      </x:c>
      <x:c r="D2" s="276"/>
      <x:c r="E2" s="279" t="s">
        <x:v>20</x:v>
      </x:c>
      <x:c r="F2" s="280"/>
      <x:c r="G2" s="268">
        <x:v>103300</x:v>
      </x:c>
      <x:c r="H2" s="266" t="s">
        <x:v>54</x:v>
      </x:c>
      <x:c r="I2" s="267"/>
      <x:c r="J2" s="264" t="s">
        <x:v>143</x:v>
      </x:c>
      <x:c r="K2" s="265"/>
    </x:row>
    <x:row r="3" spans="1:11" ht="20.100000000000001" customHeight="1">
      <x:c r="A3" s="274"/>
      <x:c r="B3" s="275"/>
      <x:c r="C3" s="277"/>
      <x:c r="D3" s="277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1" ht="30.949999999999999" customHeight="1">
      <x:c r="A4" s="270" t="s">
        <x:v>41</x:v>
      </x:c>
      <x:c r="B4" s="271"/>
      <x:c r="C4" s="263">
        <x:v>3213300</x:v>
      </x:c>
      <x:c r="D4" s="263"/>
      <x:c r="E4" s="278" t="s">
        <x:v>160</x:v>
      </x:c>
      <x:c r="F4" s="278"/>
      <x:c r="G4" s="133">
        <x:f>INT(C4*0.0275)</x:f>
        <x:v>88365</x:v>
      </x:c>
      <x:c r="H4" s="54" t="s">
        <x:v>19</x:v>
      </x:c>
      <x:c r="I4" s="124">
        <x:f>322092+452000+687984</x:f>
        <x:v>1462076</x:v>
      </x:c>
      <x:c r="J4" s="80" t="s">
        <x:v>24</x:v>
      </x:c>
      <x:c r="K4" s="58"/>
    </x:row>
    <x:row r="5" spans="1:11" ht="30.949999999999999" customHeight="1">
      <x:c r="A5" s="270" t="s">
        <x:v>52</x:v>
      </x:c>
      <x:c r="B5" s="271"/>
      <x:c r="C5" s="263">
        <x:v>521700</x:v>
      </x:c>
      <x:c r="D5" s="263"/>
      <x:c r="E5" s="262" t="s">
        <x:v>136</x:v>
      </x:c>
      <x:c r="F5" s="262"/>
      <x:c r="G5" s="133">
        <x:v>0</x:v>
      </x:c>
      <x:c r="H5" s="54" t="s">
        <x:v>54</x:v>
      </x:c>
      <x:c r="I5" s="124">
        <x:f>25820+6680+37420+46900+29656+39380+16720+60500+30932</x:f>
        <x:v>294008</x:v>
      </x:c>
      <x:c r="J5" s="81"/>
      <x:c r="K5" s="58"/>
    </x:row>
    <x:row r="6" spans="1:11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500000</x:v>
      </x:c>
      <x:c r="H6" s="54"/>
      <x:c r="I6" s="124"/>
      <x:c r="J6" s="81" t="s">
        <x:v>99</x:v>
      </x:c>
      <x:c r="K6" s="58"/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4">
        <x:v>458900</x:v>
      </x:c>
      <x:c r="J7" s="81" t="s">
        <x:v>106</x:v>
      </x:c>
      <x:c r="K7" s="58">
        <x:v>12500</x:v>
      </x:c>
    </x:row>
    <x:row r="8" spans="1:11" ht="21.949999999999999" customHeight="1">
      <x:c r="A8" s="261" t="s">
        <x:v>98</x:v>
      </x:c>
      <x:c r="B8" s="262"/>
      <x:c r="C8" s="263">
        <x:v>125000</x:v>
      </x:c>
      <x:c r="D8" s="263"/>
      <x:c r="E8" s="289" t="s">
        <x:v>114</x:v>
      </x:c>
      <x:c r="F8" s="290"/>
      <x:c r="G8" s="295">
        <x:f>C5+G2-G6-C22</x:f>
        <x:v>125000</x:v>
      </x:c>
      <x:c r="H8" s="54" t="s">
        <x:v>14</x:v>
      </x:c>
      <x:c r="I8" s="124"/>
      <x:c r="J8" s="81"/>
      <x:c r="K8" s="58"/>
    </x:row>
    <x:row r="9" spans="1:11" ht="21.949999999999999" customHeight="1">
      <x:c r="A9" s="261"/>
      <x:c r="B9" s="262"/>
      <x:c r="C9" s="263"/>
      <x:c r="D9" s="263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30.949999999999999" customHeight="1">
      <x:c r="A10" s="261" t="s">
        <x:v>120</x:v>
      </x:c>
      <x:c r="B10" s="262"/>
      <x:c r="C10" s="263">
        <x:v>41000</x:v>
      </x:c>
      <x:c r="D10" s="263"/>
      <x:c r="E10" s="262" t="s">
        <x:v>101</x:v>
      </x:c>
      <x:c r="F10" s="262"/>
      <x:c r="G10" s="55"/>
      <x:c r="H10" s="54"/>
      <x:c r="I10" s="124"/>
      <x:c r="J10" s="54" t="s">
        <x:v>23</x:v>
      </x:c>
      <x:c r="K10" s="58"/>
    </x:row>
    <x:row r="11" spans="1:11" ht="33" customHeight="1">
      <x:c r="A11" s="261" t="s">
        <x:v>115</x:v>
      </x:c>
      <x:c r="B11" s="262"/>
      <x:c r="C11" s="301" t="s">
        <x:v>123</x:v>
      </x:c>
      <x:c r="D11" s="301"/>
      <x:c r="E11" s="301"/>
      <x:c r="F11" s="301"/>
      <x:c r="G11" s="301"/>
      <x:c r="H11" s="54" t="s">
        <x:v>151</x:v>
      </x:c>
      <x:c r="I11" s="58"/>
      <x:c r="J11" s="54" t="s">
        <x:v>125</x:v>
      </x:c>
      <x:c r="K11" s="135"/>
    </x:row>
    <x:row r="12" spans="1:13" ht="21.949999999999999" customHeight="1">
      <x:c r="A12" s="59" t="s">
        <x:v>21</x:v>
      </x:c>
      <x:c r="B12" s="299" t="s">
        <x:v>8</x:v>
      </x:c>
      <x:c r="C12" s="79">
        <x:v>9</x:v>
      </x:c>
      <x:c r="D12" s="289" t="s">
        <x:v>83</x:v>
      </x:c>
      <x:c r="E12" s="290"/>
      <x:c r="F12" s="293">
        <x:v>10</x:v>
      </x:c>
      <x:c r="G12" s="294"/>
      <x:c r="H12" s="54" t="s">
        <x:v>58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56</x:v>
      </x:c>
      <x:c r="B13" s="300"/>
      <x:c r="C13" s="134">
        <x:f>SUM('1:23'!$C$12)</x:f>
        <x:v>350</x:v>
      </x:c>
      <x:c r="D13" s="281"/>
      <x:c r="E13" s="282"/>
      <x:c r="F13" s="291">
        <x:f>SUM('1:23'!$F$12)</x:f>
        <x:v>457</x:v>
      </x:c>
      <x:c r="G13" s="292"/>
      <x:c r="H13" s="54" t="s">
        <x:v>92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21</x:v>
      </x:c>
      <x:c r="B14" s="299" t="s">
        <x:v>84</x:v>
      </x:c>
      <x:c r="C14" s="79">
        <x:v>17</x:v>
      </x:c>
      <x:c r="D14" s="289" t="s">
        <x:v>73</x:v>
      </x:c>
      <x:c r="E14" s="290"/>
      <x:c r="F14" s="293">
        <x:v>3</x:v>
      </x:c>
      <x:c r="G14" s="294"/>
      <x:c r="H14" s="54" t="s">
        <x:v>61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56</x:v>
      </x:c>
      <x:c r="B15" s="300"/>
      <x:c r="C15" s="134">
        <x:f>SUM('1:23'!$C$14)</x:f>
        <x:v>543</x:v>
      </x:c>
      <x:c r="D15" s="281"/>
      <x:c r="E15" s="282"/>
      <x:c r="F15" s="291">
        <x:f>SUM('1:23'!$F$14)</x:f>
        <x:v>297</x:v>
      </x:c>
      <x:c r="G15" s="292"/>
      <x:c r="H15" s="54" t="s">
        <x:v>64</x:v>
      </x:c>
      <x:c r="I15" s="58">
        <x:f>5500+47600+5500+13500+19200+3400+14000+13000+4900</x:f>
        <x:v>126600</x:v>
      </x:c>
      <x:c r="J15" s="54" t="s">
        <x:v>143</x:v>
      </x:c>
      <x:c r="K15" s="58"/>
      <x:c r="L15" s="60"/>
      <x:c r="M15" s="11"/>
    </x:row>
    <x:row r="16" spans="1:13" ht="21.949999999999999" customHeight="1">
      <x:c r="A16" s="59" t="s">
        <x:v>21</x:v>
      </x:c>
      <x:c r="B16" s="299" t="s">
        <x:v>51</x:v>
      </x:c>
      <x:c r="C16" s="79">
        <x:v>1</x:v>
      </x:c>
      <x:c r="D16" s="289" t="s">
        <x:v>81</x:v>
      </x:c>
      <x:c r="E16" s="290"/>
      <x:c r="F16" s="287">
        <x:v>20</x:v>
      </x:c>
      <x:c r="G16" s="287"/>
      <x:c r="H16" s="54"/>
      <x:c r="I16" s="58"/>
      <x:c r="J16" s="54" t="s">
        <x:v>105</x:v>
      </x:c>
      <x:c r="K16" s="58"/>
      <x:c r="L16" s="60"/>
      <x:c r="M16" s="11"/>
    </x:row>
    <x:row r="17" spans="1:13" ht="21.949999999999999" customHeight="1">
      <x:c r="A17" s="59" t="s">
        <x:v>56</x:v>
      </x:c>
      <x:c r="B17" s="300"/>
      <x:c r="C17" s="134">
        <x:f>SUM('1:23'!$C$16)</x:f>
        <x:v>125</x:v>
      </x:c>
      <x:c r="D17" s="281"/>
      <x:c r="E17" s="282"/>
      <x:c r="F17" s="288">
        <x:f>SUM('1:23'!$F$16)</x:f>
        <x:v>287</x:v>
      </x:c>
      <x:c r="G17" s="288"/>
      <x:c r="H17" s="54" t="s">
        <x:v>18</x:v>
      </x:c>
      <x:c r="I17" s="58"/>
      <x:c r="J17" s="54" t="s">
        <x:v>97</x:v>
      </x:c>
      <x:c r="K17" s="58"/>
      <x:c r="L17" s="60"/>
      <x:c r="M17" s="11"/>
    </x:row>
    <x:row r="18" spans="1:13" ht="21.949999999999999" customHeight="1">
      <x:c r="A18" s="59" t="s">
        <x:v>21</x:v>
      </x:c>
      <x:c r="B18" s="299" t="s">
        <x:v>107</x:v>
      </x:c>
      <x:c r="C18" s="79">
        <x:v>24</x:v>
      </x:c>
      <x:c r="D18" s="289" t="s">
        <x:v>29</x:v>
      </x:c>
      <x:c r="E18" s="290"/>
      <x:c r="F18" s="297">
        <x:v>0</x:v>
      </x:c>
      <x:c r="G18" s="29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56</x:v>
      </x:c>
      <x:c r="B19" s="300"/>
      <x:c r="C19" s="134">
        <x:f>SUM('1:23'!$C$18)</x:f>
        <x:v>669</x:v>
      </x:c>
      <x:c r="D19" s="281"/>
      <x:c r="E19" s="282"/>
      <x:c r="F19" s="288">
        <x:f>SUM('1:23'!$F$18)</x:f>
        <x:v>71</x:v>
      </x:c>
      <x:c r="G19" s="288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108</x:v>
      </x:c>
      <x:c r="E20" s="262"/>
      <x:c r="F20" s="287">
        <x:v>51</x:v>
      </x:c>
      <x:c r="G20" s="287"/>
      <x:c r="H20" s="58"/>
      <x:c r="J20" s="54"/>
      <x:c r="K20" s="58"/>
      <x:c r="L20" s="60"/>
      <x:c r="M20" s="11"/>
    </x:row>
    <x:row r="21" spans="4:13" ht="21.949999999999999" customHeight="1">
      <x:c r="D21" s="262" t="s">
        <x:v>128</x:v>
      </x:c>
      <x:c r="E21" s="262"/>
      <x:c r="F21" s="288">
        <x:f>SUM('1:23'!$F$20)</x:f>
        <x:v>1256</x:v>
      </x:c>
      <x:c r="G21" s="288"/>
      <x:c r="H21" s="58"/>
      <x:c r="J21" s="54"/>
      <x:c r="K21" s="58"/>
      <x:c r="L21" s="60"/>
      <x:c r="M21" s="11"/>
    </x:row>
    <x:row r="22" spans="1:13" ht="32.100000000000001" customHeight="1">
      <x:c r="A22" s="261" t="s">
        <x:v>121</x:v>
      </x:c>
      <x:c r="B22" s="262"/>
      <x:c r="C22" s="286"/>
      <x:c r="D22" s="286"/>
      <x:c r="E22" s="286"/>
      <x:c r="F22" s="286"/>
      <x:c r="G22" s="286"/>
      <x:c r="H22" s="54"/>
      <x:c r="J22" s="54"/>
      <x:c r="K22" s="58"/>
      <x:c r="L22" s="60"/>
      <x:c r="M22" s="11"/>
    </x:row>
    <x:row r="23" spans="1:15" ht="34.149999999999999" customHeight="1">
      <x:c r="A23" s="261" t="s">
        <x:v>59</x:v>
      </x:c>
      <x:c r="B23" s="262"/>
      <x:c r="C23" s="317"/>
      <x:c r="D23" s="318"/>
      <x:c r="E23" s="318"/>
      <x:c r="F23" s="318"/>
      <x:c r="G23" s="318"/>
      <x:c r="H23" s="107" t="s">
        <x:v>95</x:v>
      </x:c>
      <x:c r="I23" s="108">
        <x:f>SUM(I4:I22)</x:f>
        <x:v>2341584</x:v>
      </x:c>
      <x:c r="J23" s="61" t="s">
        <x:v>70</x:v>
      </x:c>
      <x:c r="K23" s="62">
        <x:f>SUM(K4:K22)</x:f>
        <x:v>12500</x:v>
      </x:c>
      <x:c r="M23" s="88" t="s">
        <x:v>102</x:v>
      </x:c>
      <x:c r="N23" s="284">
        <x:f>C5+C6</x:f>
        <x:v>521700</x:v>
      </x:c>
      <x:c r="O23" s="285"/>
    </x:row>
    <x:row r="24" spans="1:11" ht="34.149999999999999" customHeight="1">
      <x:c r="A24" s="261" t="s">
        <x:v>152</x:v>
      </x:c>
      <x:c r="B24" s="262"/>
      <x:c r="C24" s="262" t="s">
        <x:v>86</x:v>
      </x:c>
      <x:c r="D24" s="262"/>
      <x:c r="E24" s="262" t="s">
        <x:v>62</x:v>
      </x:c>
      <x:c r="F24" s="262"/>
      <x:c r="G24" s="262"/>
      <x:c r="H24" s="107" t="s">
        <x:v>152</x:v>
      </x:c>
      <x:c r="I24" s="109">
        <x:f>I23/A25</x:f>
        <x:v>0.62693012048192776</x:v>
      </x:c>
      <x:c r="J24" s="61" t="s">
        <x:v>152</x:v>
      </x:c>
      <x:c r="K24" s="63">
        <x:f>K23/A25</x:f>
        <x:v>0.0033467202141900937</x:v>
      </x:c>
    </x:row>
    <x:row r="25" spans="1:11" ht="34.149999999999999" customHeight="1">
      <x:c r="A25" s="313">
        <x:f>C2</x:f>
        <x:v>3735000</x:v>
      </x:c>
      <x:c r="B25" s="277"/>
      <x:c r="C25" s="277">
        <x:f>E25/I1</x:f>
        <x:v>4222617.3913043477</x:v>
      </x:c>
      <x:c r="D25" s="277"/>
      <x:c r="E25" s="277">
        <x:f>SUM('1:23'!$A$25)</x:f>
        <x:v>97120200</x:v>
      </x:c>
      <x:c r="F25" s="277"/>
      <x:c r="G25" s="277"/>
      <x:c r="H25" s="107" t="s">
        <x:v>156</x:v>
      </x:c>
      <x:c r="I25" s="108">
        <x:f>SUM('1:23'!$I$23)</x:f>
        <x:v>35368288</x:v>
      </x:c>
      <x:c r="J25" s="61" t="s">
        <x:v>156</x:v>
      </x:c>
      <x:c r="K25" s="62">
        <x:f>SUM('1:23'!$K$21)</x:f>
        <x:v>0</x:v>
      </x:c>
    </x:row>
    <x:row r="26" spans="1:11" ht="34.149999999999999" customHeight="1">
      <x:c r="A26" s="261" t="s">
        <x:v>68</x:v>
      </x:c>
      <x:c r="B26" s="262"/>
      <x:c r="C26" s="262"/>
      <x:c r="D26" s="262"/>
      <x:c r="E26" s="263"/>
      <x:c r="F26" s="263"/>
      <x:c r="G26" s="263"/>
      <x:c r="H26" s="107" t="s">
        <x:v>67</x:v>
      </x:c>
      <x:c r="I26" s="110">
        <x:f>I25/$E$25</x:f>
        <x:v>0.36417025500359351</x:v>
      </x:c>
      <x:c r="J26" s="64" t="s">
        <x:v>67</x:v>
      </x:c>
      <x:c r="K26" s="65">
        <x:f>K25/$E$25</x:f>
        <x:v>0</x:v>
      </x:c>
    </x:row>
    <x:row r="27" spans="1:13" ht="30.949999999999999" customHeight="1">
      <x:c r="A27" s="319" t="s">
        <x:v>113</x:v>
      </x:c>
      <x:c r="B27" s="54" t="s">
        <x:v>17</x:v>
      </x:c>
      <x:c r="C27" s="277">
        <x:f>3300000/31</x:f>
        <x:v>106451.6129032258</x:v>
      </x:c>
      <x:c r="D27" s="277"/>
      <x:c r="E27" s="55" t="s">
        <x:v>12</x:v>
      </x:c>
      <x:c r="F27" s="263">
        <x:f>13000*3.5</x:f>
        <x:v>45500</x:v>
      </x:c>
      <x:c r="G27" s="263"/>
      <x:c r="H27" s="111" t="s">
        <x:v>69</x:v>
      </x:c>
      <x:c r="I27" s="112">
        <x:f>SUM(C27:D34,F27:G32)</x:f>
        <x:v>770241.93548387091</x:v>
      </x:c>
      <x:c r="M27" s="66"/>
    </x:row>
    <x:row r="28" spans="1:13" ht="30.949999999999999" customHeight="1">
      <x:c r="A28" s="320"/>
      <x:c r="B28" s="54" t="s">
        <x:v>161</x:v>
      </x:c>
      <x:c r="C28" s="314">
        <x:f>3300000/31</x:f>
        <x:v>106451.6129032258</x:v>
      </x:c>
      <x:c r="D28" s="315"/>
      <x:c r="E28" s="148" t="s">
        <x:v>37</x:v>
      </x:c>
      <x:c r="F28" s="316">
        <x:f>13000*10</x:f>
        <x:v>130000</x:v>
      </x:c>
      <x:c r="G28" s="316"/>
      <x:c r="H28" s="111" t="s">
        <x:v>152</x:v>
      </x:c>
      <x:c r="I28" s="113">
        <x:f>I27/$A$25</x:f>
        <x:v>0.20622274042406183</x:v>
      </x:c>
      <x:c r="M28" s="66" t="s">
        <x:v>49</x:v>
      </x:c>
    </x:row>
    <x:row r="29" spans="1:13" ht="30.949999999999999" customHeight="1">
      <x:c r="A29" s="320"/>
      <x:c r="B29" s="54" t="s">
        <x:v>38</x:v>
      </x:c>
      <x:c r="C29" s="277">
        <x:f>3300000/31</x:f>
        <x:v>106451.6129032258</x:v>
      </x:c>
      <x:c r="D29" s="277"/>
      <x:c r="E29" s="54" t="s">
        <x:v>147</x:v>
      </x:c>
      <x:c r="F29" s="263"/>
      <x:c r="G29" s="263"/>
      <x:c r="H29" s="111" t="s">
        <x:v>156</x:v>
      </x:c>
      <x:c r="I29" s="112">
        <x:f>SUM('1:23'!$I$25)</x:f>
        <x:v>409419280</x:v>
      </x:c>
      <x:c r="M29" s="66"/>
    </x:row>
    <x:row r="30" spans="1:13" ht="30.949999999999999" customHeight="1">
      <x:c r="A30" s="320"/>
      <x:c r="B30" s="55" t="s">
        <x:v>28</x:v>
      </x:c>
      <x:c r="C30" s="277">
        <x:f>1500000/31</x:f>
        <x:v>48387.096774193546</x:v>
      </x:c>
      <x:c r="D30" s="277"/>
      <x:c r="E30" s="55" t="s">
        <x:v>32</x:v>
      </x:c>
      <x:c r="F30" s="311">
        <x:f>13000*12</x:f>
        <x:v>156000</x:v>
      </x:c>
      <x:c r="G30" s="312"/>
      <x:c r="H30" s="111" t="s">
        <x:v>67</x:v>
      </x:c>
      <x:c r="I30" s="113">
        <x:f>I29/$I$27</x:f>
        <x:v>531.54633776567903</x:v>
      </x:c>
      <x:c r="M30" s="66"/>
    </x:row>
    <x:row r="31" spans="1:7" customHeight="1">
      <x:c r="A31" s="320"/>
      <x:c r="B31" s="147"/>
      <x:c r="C31" s="309"/>
      <x:c r="D31" s="310"/>
      <x:c r="E31" s="55" t="s">
        <x:v>10</x:v>
      </x:c>
      <x:c r="F31" s="311"/>
      <x:c r="G31" s="312"/>
    </x:row>
    <x:row r="32" spans="1:7" customHeight="1">
      <x:c r="A32" s="320"/>
      <x:c r="B32" s="147"/>
      <x:c r="C32" s="309"/>
      <x:c r="D32" s="310"/>
      <x:c r="E32" s="55" t="s">
        <x:v>79</x:v>
      </x:c>
      <x:c r="F32" s="311">
        <x:v>71000</x:v>
      </x:c>
      <x:c r="G32" s="312"/>
    </x:row>
    <x:row r="33" spans="1:4" customHeight="1">
      <x:c r="A33" s="320"/>
      <x:c r="B33" s="54"/>
      <x:c r="C33" s="309"/>
      <x:c r="D33" s="310"/>
    </x:row>
    <x:row r="34" spans="1:4" customHeight="1">
      <x:c r="A34" s="321"/>
      <x:c r="B34" s="54"/>
      <x:c r="C34" s="311"/>
      <x:c r="D34" s="312"/>
    </x:row>
  </x:sheetData>
  <x:mergeCells count="74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32:G32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D14:E15"/>
    <x:mergeCell ref="B18:B19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6"/>
  <x:dimension ref="A1:O34"/>
  <x:sheetViews>
    <x:sheetView tabSelected="1" topLeftCell="A1" zoomScale="85" zoomScaleNormal="85" zoomScaleSheetLayoutView="75" workbookViewId="0">
      <x:selection activeCell="A1" activeCellId="0" sqref="A1:K3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122</x:v>
      </x:c>
      <x:c r="D1" s="68"/>
      <x:c r="E1" s="68">
        <x:v>1</x:v>
      </x:c>
      <x:c r="F1" s="68">
        <x:v>24</x:v>
      </x:c>
      <x:c r="G1" s="68" t="s">
        <x:v>9</x:v>
      </x:c>
      <x:c r="H1" s="52" t="s">
        <x:v>96</x:v>
      </x:c>
      <x:c r="I1" s="52">
        <x:f>F1-K1</x:f>
        <x:v>24</x:v>
      </x:c>
      <x:c r="J1" s="52" t="s">
        <x:v>89</x:v>
      </x:c>
      <x:c r="K1" s="52"/>
    </x:row>
    <x:row r="2" spans="1:11" ht="20.100000000000001" customHeight="1">
      <x:c r="A2" s="272" t="s">
        <x:v>50</x:v>
      </x:c>
      <x:c r="B2" s="273"/>
      <x:c r="C2" s="276">
        <x:f>SUM(C4:D7)</x:f>
        <x:v>3250500</x:v>
      </x:c>
      <x:c r="D2" s="276"/>
      <x:c r="E2" s="279" t="s">
        <x:v>20</x:v>
      </x:c>
      <x:c r="F2" s="280"/>
      <x:c r="G2" s="268">
        <x:v>125000</x:v>
      </x:c>
      <x:c r="H2" s="266" t="s">
        <x:v>54</x:v>
      </x:c>
      <x:c r="I2" s="267"/>
      <x:c r="J2" s="264" t="s">
        <x:v>143</x:v>
      </x:c>
      <x:c r="K2" s="265"/>
    </x:row>
    <x:row r="3" spans="1:11" ht="20.100000000000001" customHeight="1">
      <x:c r="A3" s="274"/>
      <x:c r="B3" s="275"/>
      <x:c r="C3" s="277"/>
      <x:c r="D3" s="277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1" ht="30.949999999999999" customHeight="1">
      <x:c r="A4" s="363" t="s">
        <x:v>41</x:v>
      </x:c>
      <x:c r="B4" s="271"/>
      <x:c r="C4" s="263">
        <x:v>2494300</x:v>
      </x:c>
      <x:c r="D4" s="263"/>
      <x:c r="E4" s="278" t="s">
        <x:v>160</x:v>
      </x:c>
      <x:c r="F4" s="278"/>
      <x:c r="G4" s="133">
        <x:f>INT(C4*0.0275)</x:f>
        <x:v>68593</x:v>
      </x:c>
      <x:c r="H4" s="54" t="s">
        <x:v>19</x:v>
      </x:c>
      <x:c r="I4" s="124">
        <x:f>634848+168266+225548+687984+452000</x:f>
        <x:v>2168646</x:v>
      </x:c>
      <x:c r="J4" s="80" t="s">
        <x:v>24</x:v>
      </x:c>
      <x:c r="K4" s="58"/>
    </x:row>
    <x:row r="5" spans="1:11" ht="30.949999999999999" customHeight="1">
      <x:c r="A5" s="270" t="s">
        <x:v>52</x:v>
      </x:c>
      <x:c r="B5" s="271"/>
      <x:c r="C5" s="263">
        <x:v>756200</x:v>
      </x:c>
      <x:c r="D5" s="263"/>
      <x:c r="E5" s="262" t="s">
        <x:v>136</x:v>
      </x:c>
      <x:c r="F5" s="262"/>
      <x:c r="G5" s="133">
        <x:f>INT(C5*0.01)</x:f>
        <x:v>7562</x:v>
      </x:c>
      <x:c r="H5" s="54" t="s">
        <x:v>54</x:v>
      </x:c>
      <x:c r="I5" s="124">
        <x:f>29656+39380+46900+50000+12910+5320+18710+20890</x:f>
        <x:v>223766</x:v>
      </x:c>
      <x:c r="J5" s="81"/>
      <x:c r="K5" s="58"/>
    </x:row>
    <x:row r="6" spans="1:11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790000</x:v>
      </x:c>
      <x:c r="H6" s="54"/>
      <x:c r="I6" s="124"/>
      <x:c r="J6" s="81" t="s">
        <x:v>99</x:v>
      </x:c>
      <x:c r="K6" s="58"/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4"/>
      <x:c r="J7" s="81" t="s">
        <x:v>106</x:v>
      </x:c>
      <x:c r="K7" s="58"/>
    </x:row>
    <x:row r="8" spans="1:11" ht="21.949999999999999" customHeight="1">
      <x:c r="A8" s="261" t="s">
        <x:v>98</x:v>
      </x:c>
      <x:c r="B8" s="262"/>
      <x:c r="C8" s="263">
        <x:v>86200</x:v>
      </x:c>
      <x:c r="D8" s="263"/>
      <x:c r="E8" s="289" t="s">
        <x:v>114</x:v>
      </x:c>
      <x:c r="F8" s="290"/>
      <x:c r="G8" s="295">
        <x:f>C5+G2-G6-C22</x:f>
        <x:v>91200</x:v>
      </x:c>
      <x:c r="H8" s="54" t="s">
        <x:v>14</x:v>
      </x:c>
      <x:c r="I8" s="124"/>
      <x:c r="J8" s="81"/>
      <x:c r="K8" s="58"/>
    </x:row>
    <x:row r="9" spans="1:11" ht="21.949999999999999" customHeight="1">
      <x:c r="A9" s="261"/>
      <x:c r="B9" s="262"/>
      <x:c r="C9" s="263"/>
      <x:c r="D9" s="263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30.949999999999999" customHeight="1">
      <x:c r="A10" s="261" t="s">
        <x:v>120</x:v>
      </x:c>
      <x:c r="B10" s="262"/>
      <x:c r="C10" s="263"/>
      <x:c r="D10" s="263"/>
      <x:c r="E10" s="262" t="s">
        <x:v>101</x:v>
      </x:c>
      <x:c r="F10" s="262"/>
      <x:c r="G10" s="55"/>
      <x:c r="H10" s="54"/>
      <x:c r="I10" s="124"/>
      <x:c r="J10" s="54" t="s">
        <x:v>23</x:v>
      </x:c>
      <x:c r="K10" s="58"/>
    </x:row>
    <x:row r="11" spans="1:11" ht="33" customHeight="1">
      <x:c r="A11" s="261" t="s">
        <x:v>115</x:v>
      </x:c>
      <x:c r="B11" s="262"/>
      <x:c r="C11" s="301"/>
      <x:c r="D11" s="301"/>
      <x:c r="E11" s="301"/>
      <x:c r="F11" s="301"/>
      <x:c r="G11" s="301"/>
      <x:c r="H11" s="54" t="s">
        <x:v>151</x:v>
      </x:c>
      <x:c r="I11" s="58"/>
      <x:c r="J11" s="54" t="s">
        <x:v>125</x:v>
      </x:c>
      <x:c r="K11" s="135"/>
    </x:row>
    <x:row r="12" spans="1:13" ht="21.949999999999999" customHeight="1">
      <x:c r="A12" s="59" t="s">
        <x:v>21</x:v>
      </x:c>
      <x:c r="B12" s="299" t="s">
        <x:v>8</x:v>
      </x:c>
      <x:c r="C12" s="79">
        <x:v>11</x:v>
      </x:c>
      <x:c r="D12" s="289" t="s">
        <x:v>83</x:v>
      </x:c>
      <x:c r="E12" s="290"/>
      <x:c r="F12" s="293">
        <x:v>25</x:v>
      </x:c>
      <x:c r="G12" s="294"/>
      <x:c r="H12" s="54" t="s">
        <x:v>58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56</x:v>
      </x:c>
      <x:c r="B13" s="300"/>
      <x:c r="C13" s="134">
        <x:f>SUM('1:24'!$C$12)</x:f>
        <x:v>361</x:v>
      </x:c>
      <x:c r="D13" s="281"/>
      <x:c r="E13" s="282"/>
      <x:c r="F13" s="291">
        <x:f>SUM('1:24'!$F$12)</x:f>
        <x:v>482</x:v>
      </x:c>
      <x:c r="G13" s="292"/>
      <x:c r="H13" s="54" t="s">
        <x:v>92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21</x:v>
      </x:c>
      <x:c r="B14" s="299" t="s">
        <x:v>84</x:v>
      </x:c>
      <x:c r="C14" s="79">
        <x:v>26</x:v>
      </x:c>
      <x:c r="D14" s="289" t="s">
        <x:v>73</x:v>
      </x:c>
      <x:c r="E14" s="290"/>
      <x:c r="F14" s="293">
        <x:v>15</x:v>
      </x:c>
      <x:c r="G14" s="294"/>
      <x:c r="H14" s="54" t="s">
        <x:v>61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56</x:v>
      </x:c>
      <x:c r="B15" s="300"/>
      <x:c r="C15" s="134">
        <x:f>SUM('1:24'!$C$14)</x:f>
        <x:v>569</x:v>
      </x:c>
      <x:c r="D15" s="281"/>
      <x:c r="E15" s="282"/>
      <x:c r="F15" s="291">
        <x:f>SUM('1:24'!$F$14)</x:f>
        <x:v>312</x:v>
      </x:c>
      <x:c r="G15" s="292"/>
      <x:c r="H15" s="54" t="s">
        <x:v>64</x:v>
      </x:c>
      <x:c r="I15" s="58">
        <x:v>175900</x:v>
      </x:c>
      <x:c r="J15" s="54" t="s">
        <x:v>143</x:v>
      </x:c>
      <x:c r="K15" s="58"/>
      <x:c r="L15" s="60"/>
      <x:c r="M15" s="11"/>
    </x:row>
    <x:row r="16" spans="1:13" ht="21.949999999999999" customHeight="1">
      <x:c r="A16" s="59" t="s">
        <x:v>21</x:v>
      </x:c>
      <x:c r="B16" s="299" t="s">
        <x:v>51</x:v>
      </x:c>
      <x:c r="C16" s="79">
        <x:v>5</x:v>
      </x:c>
      <x:c r="D16" s="289" t="s">
        <x:v>81</x:v>
      </x:c>
      <x:c r="E16" s="290"/>
      <x:c r="F16" s="287">
        <x:v>10</x:v>
      </x:c>
      <x:c r="G16" s="287"/>
      <x:c r="H16" s="54"/>
      <x:c r="I16" s="58"/>
      <x:c r="J16" s="54" t="s">
        <x:v>105</x:v>
      </x:c>
      <x:c r="K16" s="58"/>
      <x:c r="L16" s="60"/>
      <x:c r="M16" s="11"/>
    </x:row>
    <x:row r="17" spans="1:13" ht="21.949999999999999" customHeight="1">
      <x:c r="A17" s="59" t="s">
        <x:v>56</x:v>
      </x:c>
      <x:c r="B17" s="300"/>
      <x:c r="C17" s="134">
        <x:f>SUM('1:24'!$C$16)</x:f>
        <x:v>130</x:v>
      </x:c>
      <x:c r="D17" s="281"/>
      <x:c r="E17" s="282"/>
      <x:c r="F17" s="288">
        <x:f>SUM('1:24'!$F$16)</x:f>
        <x:v>297</x:v>
      </x:c>
      <x:c r="G17" s="288"/>
      <x:c r="H17" s="54" t="s">
        <x:v>18</x:v>
      </x:c>
      <x:c r="I17" s="58"/>
      <x:c r="J17" s="54" t="s">
        <x:v>97</x:v>
      </x:c>
      <x:c r="K17" s="58"/>
      <x:c r="L17" s="60"/>
      <x:c r="M17" s="11"/>
    </x:row>
    <x:row r="18" spans="1:13" ht="21.949999999999999" customHeight="1">
      <x:c r="A18" s="59" t="s">
        <x:v>21</x:v>
      </x:c>
      <x:c r="B18" s="299" t="s">
        <x:v>107</x:v>
      </x:c>
      <x:c r="C18" s="79">
        <x:v>14</x:v>
      </x:c>
      <x:c r="D18" s="289" t="s">
        <x:v>29</x:v>
      </x:c>
      <x:c r="E18" s="290"/>
      <x:c r="F18" s="297">
        <x:v>1</x:v>
      </x:c>
      <x:c r="G18" s="29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56</x:v>
      </x:c>
      <x:c r="B19" s="300"/>
      <x:c r="C19" s="134">
        <x:f>SUM('1:24'!$C$18)</x:f>
        <x:v>683</x:v>
      </x:c>
      <x:c r="D19" s="281"/>
      <x:c r="E19" s="282"/>
      <x:c r="F19" s="288">
        <x:f>SUM('1:24'!$F$18)</x:f>
        <x:v>72</x:v>
      </x:c>
      <x:c r="G19" s="288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108</x:v>
      </x:c>
      <x:c r="E20" s="262"/>
      <x:c r="F20" s="287">
        <x:v>42</x:v>
      </x:c>
      <x:c r="G20" s="287"/>
      <x:c r="H20" s="58"/>
      <x:c r="J20" s="54"/>
      <x:c r="K20" s="58"/>
      <x:c r="L20" s="60"/>
      <x:c r="M20" s="11"/>
    </x:row>
    <x:row r="21" spans="4:13" ht="21.949999999999999" customHeight="1">
      <x:c r="D21" s="262" t="s">
        <x:v>128</x:v>
      </x:c>
      <x:c r="E21" s="262"/>
      <x:c r="F21" s="288">
        <x:f>SUM('1:24'!$F$20)</x:f>
        <x:v>1298</x:v>
      </x:c>
      <x:c r="G21" s="288"/>
      <x:c r="H21" s="58"/>
      <x:c r="J21" s="54"/>
      <x:c r="K21" s="58"/>
      <x:c r="L21" s="60"/>
      <x:c r="M21" s="11"/>
    </x:row>
    <x:row r="22" spans="1:13" ht="32.100000000000001" customHeight="1">
      <x:c r="A22" s="261" t="s">
        <x:v>121</x:v>
      </x:c>
      <x:c r="B22" s="262"/>
      <x:c r="C22" s="286"/>
      <x:c r="D22" s="286"/>
      <x:c r="E22" s="286"/>
      <x:c r="F22" s="286"/>
      <x:c r="G22" s="286"/>
      <x:c r="H22" s="54"/>
      <x:c r="J22" s="54"/>
      <x:c r="K22" s="58"/>
      <x:c r="L22" s="60"/>
      <x:c r="M22" s="11"/>
    </x:row>
    <x:row r="23" spans="1:15" ht="34.149999999999999" customHeight="1">
      <x:c r="A23" s="261" t="s">
        <x:v>59</x:v>
      </x:c>
      <x:c r="B23" s="262"/>
      <x:c r="C23" s="317"/>
      <x:c r="D23" s="318"/>
      <x:c r="E23" s="318"/>
      <x:c r="F23" s="318"/>
      <x:c r="G23" s="318"/>
      <x:c r="H23" s="107" t="s">
        <x:v>95</x:v>
      </x:c>
      <x:c r="I23" s="108">
        <x:f>SUM(I4:I22)</x:f>
        <x:v>2568312</x:v>
      </x:c>
      <x:c r="J23" s="61" t="s">
        <x:v>70</x:v>
      </x:c>
      <x:c r="K23" s="62">
        <x:f>SUM(K4:K22)</x:f>
        <x:v>0</x:v>
      </x:c>
      <x:c r="M23" s="88" t="s">
        <x:v>102</x:v>
      </x:c>
      <x:c r="N23" s="284">
        <x:f>C5+C6</x:f>
        <x:v>756200</x:v>
      </x:c>
      <x:c r="O23" s="285"/>
    </x:row>
    <x:row r="24" spans="1:11" ht="34.149999999999999" customHeight="1">
      <x:c r="A24" s="261" t="s">
        <x:v>152</x:v>
      </x:c>
      <x:c r="B24" s="262"/>
      <x:c r="C24" s="262" t="s">
        <x:v>86</x:v>
      </x:c>
      <x:c r="D24" s="262"/>
      <x:c r="E24" s="262" t="s">
        <x:v>62</x:v>
      </x:c>
      <x:c r="F24" s="262"/>
      <x:c r="G24" s="262"/>
      <x:c r="H24" s="107" t="s">
        <x:v>152</x:v>
      </x:c>
      <x:c r="I24" s="109">
        <x:f>I23/A25</x:f>
        <x:v>0.79012828795569912</x:v>
      </x:c>
      <x:c r="J24" s="61" t="s">
        <x:v>152</x:v>
      </x:c>
      <x:c r="K24" s="63">
        <x:f>K23/A25</x:f>
        <x:v>0</x:v>
      </x:c>
    </x:row>
    <x:row r="25" spans="1:11" ht="34.149999999999999" customHeight="1">
      <x:c r="A25" s="313">
        <x:f>C2</x:f>
        <x:v>3250500</x:v>
      </x:c>
      <x:c r="B25" s="277"/>
      <x:c r="C25" s="277">
        <x:f>E25/I1</x:f>
        <x:v>4182112.5</x:v>
      </x:c>
      <x:c r="D25" s="277"/>
      <x:c r="E25" s="277">
        <x:f>SUM('1:24'!$A$25)</x:f>
        <x:v>100370700</x:v>
      </x:c>
      <x:c r="F25" s="277"/>
      <x:c r="G25" s="277"/>
      <x:c r="H25" s="107" t="s">
        <x:v>156</x:v>
      </x:c>
      <x:c r="I25" s="108">
        <x:f>SUM('1:24'!$I$23)</x:f>
        <x:v>37936600</x:v>
      </x:c>
      <x:c r="J25" s="61" t="s">
        <x:v>156</x:v>
      </x:c>
      <x:c r="K25" s="62">
        <x:f>SUM('1:24'!$K$21)</x:f>
        <x:v>0</x:v>
      </x:c>
    </x:row>
    <x:row r="26" spans="1:11" ht="34.149999999999999" customHeight="1">
      <x:c r="A26" s="261" t="s">
        <x:v>68</x:v>
      </x:c>
      <x:c r="B26" s="262"/>
      <x:c r="C26" s="262"/>
      <x:c r="D26" s="262"/>
      <x:c r="E26" s="263"/>
      <x:c r="F26" s="263"/>
      <x:c r="G26" s="263"/>
      <x:c r="H26" s="107" t="s">
        <x:v>67</x:v>
      </x:c>
      <x:c r="I26" s="110">
        <x:f>I25/$E$25</x:f>
        <x:v>0.37796488417436563</x:v>
      </x:c>
      <x:c r="J26" s="64" t="s">
        <x:v>67</x:v>
      </x:c>
      <x:c r="K26" s="65">
        <x:f>K25/$E$25</x:f>
        <x:v>0</x:v>
      </x:c>
    </x:row>
    <x:row r="27" spans="1:13" ht="30.949999999999999" customHeight="1">
      <x:c r="A27" s="319" t="s">
        <x:v>113</x:v>
      </x:c>
      <x:c r="B27" s="54" t="s">
        <x:v>17</x:v>
      </x:c>
      <x:c r="C27" s="277">
        <x:f>3300000/31</x:f>
        <x:v>106451.6129032258</x:v>
      </x:c>
      <x:c r="D27" s="277"/>
      <x:c r="E27" s="55" t="s">
        <x:v>12</x:v>
      </x:c>
      <x:c r="F27" s="263"/>
      <x:c r="G27" s="263"/>
      <x:c r="H27" s="111" t="s">
        <x:v>69</x:v>
      </x:c>
      <x:c r="I27" s="112">
        <x:f>SUM(C27:D34,F27:G32)</x:f>
        <x:v>756741.93548387091</x:v>
      </x:c>
      <x:c r="M27" s="66"/>
    </x:row>
    <x:row r="28" spans="1:13" ht="30.949999999999999" customHeight="1">
      <x:c r="A28" s="320"/>
      <x:c r="B28" s="54" t="s">
        <x:v>161</x:v>
      </x:c>
      <x:c r="C28" s="314">
        <x:f>3300000/31</x:f>
        <x:v>106451.6129032258</x:v>
      </x:c>
      <x:c r="D28" s="315"/>
      <x:c r="E28" s="148" t="s">
        <x:v>37</x:v>
      </x:c>
      <x:c r="F28" s="316">
        <x:f>13000*4</x:f>
        <x:v>52000</x:v>
      </x:c>
      <x:c r="G28" s="316"/>
      <x:c r="H28" s="111" t="s">
        <x:v>152</x:v>
      </x:c>
      <x:c r="I28" s="113">
        <x:f>I27/$A$25</x:f>
        <x:v>0.23280785586336591</x:v>
      </x:c>
      <x:c r="M28" s="66"/>
    </x:row>
    <x:row r="29" spans="1:13" ht="30.949999999999999" customHeight="1">
      <x:c r="A29" s="320"/>
      <x:c r="B29" s="54" t="s">
        <x:v>38</x:v>
      </x:c>
      <x:c r="C29" s="277">
        <x:f>3300000/31</x:f>
        <x:v>106451.6129032258</x:v>
      </x:c>
      <x:c r="D29" s="277"/>
      <x:c r="E29" s="54" t="s">
        <x:v>147</x:v>
      </x:c>
      <x:c r="F29" s="263">
        <x:f>13000*8</x:f>
        <x:v>104000</x:v>
      </x:c>
      <x:c r="G29" s="263"/>
      <x:c r="H29" s="111" t="s">
        <x:v>156</x:v>
      </x:c>
      <x:c r="I29" s="112">
        <x:f>SUM('1:24'!$I$25)</x:f>
        <x:v>447355880</x:v>
      </x:c>
      <x:c r="M29" s="66"/>
    </x:row>
    <x:row r="30" spans="1:13" ht="30.949999999999999" customHeight="1">
      <x:c r="A30" s="320"/>
      <x:c r="B30" s="55" t="s">
        <x:v>28</x:v>
      </x:c>
      <x:c r="C30" s="277">
        <x:f>1500000/31</x:f>
        <x:v>48387.096774193546</x:v>
      </x:c>
      <x:c r="D30" s="277"/>
      <x:c r="E30" s="55" t="s">
        <x:v>32</x:v>
      </x:c>
      <x:c r="F30" s="311">
        <x:f>13000*12</x:f>
        <x:v>156000</x:v>
      </x:c>
      <x:c r="G30" s="312"/>
      <x:c r="H30" s="111" t="s">
        <x:v>67</x:v>
      </x:c>
      <x:c r="I30" s="113">
        <x:f>I29/$I$27</x:f>
        <x:v>591.16041945521977</x:v>
      </x:c>
      <x:c r="M30" s="66"/>
    </x:row>
    <x:row r="31" spans="1:7" customHeight="1">
      <x:c r="A31" s="320"/>
      <x:c r="B31" s="147"/>
      <x:c r="C31" s="309"/>
      <x:c r="D31" s="310"/>
      <x:c r="E31" s="55" t="s">
        <x:v>10</x:v>
      </x:c>
      <x:c r="F31" s="311"/>
      <x:c r="G31" s="312"/>
    </x:row>
    <x:row r="32" spans="1:7" customHeight="1">
      <x:c r="A32" s="320"/>
      <x:c r="B32" s="147"/>
      <x:c r="C32" s="309"/>
      <x:c r="D32" s="310"/>
      <x:c r="E32" s="55" t="s">
        <x:v>79</x:v>
      </x:c>
      <x:c r="F32" s="311">
        <x:v>77000</x:v>
      </x:c>
      <x:c r="G32" s="312"/>
    </x:row>
    <x:row r="33" spans="1:4" customHeight="1">
      <x:c r="A33" s="320"/>
      <x:c r="B33" s="54"/>
      <x:c r="C33" s="309"/>
      <x:c r="D33" s="310"/>
    </x:row>
    <x:row r="34" spans="1:4" customHeight="1">
      <x:c r="A34" s="321"/>
      <x:c r="B34" s="54"/>
      <x:c r="C34" s="311"/>
      <x:c r="D34" s="312"/>
    </x:row>
  </x:sheetData>
  <x:mergeCells count="74">
    <x:mergeCell ref="F31:G31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2:G32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D14:E15"/>
    <x:mergeCell ref="B18:B19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7"/>
  <x:dimension ref="A1:O34"/>
  <x:sheetViews>
    <x:sheetView tabSelected="1" topLeftCell="A1" zoomScale="85" zoomScaleNormal="85" zoomScaleSheetLayoutView="75" workbookViewId="0">
      <x:selection activeCell="F32" activeCellId="0" sqref="F32:G32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122</x:v>
      </x:c>
      <x:c r="D1" s="68"/>
      <x:c r="E1" s="68">
        <x:v>1</x:v>
      </x:c>
      <x:c r="F1" s="68">
        <x:v>25</x:v>
      </x:c>
      <x:c r="G1" s="68" t="s">
        <x:v>145</x:v>
      </x:c>
      <x:c r="H1" s="52" t="s">
        <x:v>96</x:v>
      </x:c>
      <x:c r="I1" s="52">
        <x:f>F1-K1</x:f>
        <x:v>25</x:v>
      </x:c>
      <x:c r="J1" s="52" t="s">
        <x:v>89</x:v>
      </x:c>
      <x:c r="K1" s="52"/>
    </x:row>
    <x:row r="2" spans="1:11" ht="20.100000000000001" customHeight="1">
      <x:c r="A2" s="272" t="s">
        <x:v>50</x:v>
      </x:c>
      <x:c r="B2" s="273"/>
      <x:c r="C2" s="276">
        <x:f>SUM(C4:D7)</x:f>
        <x:v>2846100</x:v>
      </x:c>
      <x:c r="D2" s="276"/>
      <x:c r="E2" s="279" t="s">
        <x:v>20</x:v>
      </x:c>
      <x:c r="F2" s="280"/>
      <x:c r="G2" s="268">
        <x:v>86200</x:v>
      </x:c>
      <x:c r="H2" s="266" t="s">
        <x:v>54</x:v>
      </x:c>
      <x:c r="I2" s="267"/>
      <x:c r="J2" s="264" t="s">
        <x:v>143</x:v>
      </x:c>
      <x:c r="K2" s="265"/>
    </x:row>
    <x:row r="3" spans="1:11" ht="20.100000000000001" customHeight="1">
      <x:c r="A3" s="274"/>
      <x:c r="B3" s="275"/>
      <x:c r="C3" s="277"/>
      <x:c r="D3" s="277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1" ht="30.949999999999999" customHeight="1">
      <x:c r="A4" s="270" t="s">
        <x:v>41</x:v>
      </x:c>
      <x:c r="B4" s="271"/>
      <x:c r="C4" s="263">
        <x:v>2445700</x:v>
      </x:c>
      <x:c r="D4" s="263"/>
      <x:c r="E4" s="278" t="s">
        <x:v>160</x:v>
      </x:c>
      <x:c r="F4" s="278"/>
      <x:c r="G4" s="133">
        <x:f>INT(C4*0.0275)</x:f>
        <x:v>67256</x:v>
      </x:c>
      <x:c r="H4" s="54" t="s">
        <x:v>19</x:v>
      </x:c>
      <x:c r="I4" s="124"/>
      <x:c r="J4" s="80" t="s">
        <x:v>24</x:v>
      </x:c>
      <x:c r="K4" s="58"/>
    </x:row>
    <x:row r="5" spans="1:11" ht="30.949999999999999" customHeight="1">
      <x:c r="A5" s="270" t="s">
        <x:v>52</x:v>
      </x:c>
      <x:c r="B5" s="271"/>
      <x:c r="C5" s="263">
        <x:v>400400</x:v>
      </x:c>
      <x:c r="D5" s="263"/>
      <x:c r="E5" s="262" t="s">
        <x:v>136</x:v>
      </x:c>
      <x:c r="F5" s="262"/>
      <x:c r="G5" s="133">
        <x:f>INT(C5*0.01)</x:f>
        <x:v>4004</x:v>
      </x:c>
      <x:c r="H5" s="54" t="s">
        <x:v>54</x:v>
      </x:c>
      <x:c r="I5" s="124"/>
      <x:c r="J5" s="81"/>
      <x:c r="K5" s="58"/>
    </x:row>
    <x:row r="6" spans="1:11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400000</x:v>
      </x:c>
      <x:c r="H6" s="54"/>
      <x:c r="I6" s="124"/>
      <x:c r="J6" s="81" t="s">
        <x:v>99</x:v>
      </x:c>
      <x:c r="K6" s="58"/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4"/>
      <x:c r="J7" s="81" t="s">
        <x:v>106</x:v>
      </x:c>
      <x:c r="K7" s="58"/>
    </x:row>
    <x:row r="8" spans="1:11" ht="21.949999999999999" customHeight="1">
      <x:c r="A8" s="261" t="s">
        <x:v>98</x:v>
      </x:c>
      <x:c r="B8" s="262"/>
      <x:c r="C8" s="263">
        <x:v>92400</x:v>
      </x:c>
      <x:c r="D8" s="263"/>
      <x:c r="E8" s="289" t="s">
        <x:v>114</x:v>
      </x:c>
      <x:c r="F8" s="290"/>
      <x:c r="G8" s="295">
        <x:f>C5+G2-G6-C22</x:f>
        <x:v>86600</x:v>
      </x:c>
      <x:c r="H8" s="54" t="s">
        <x:v>14</x:v>
      </x:c>
      <x:c r="I8" s="124"/>
      <x:c r="J8" s="81"/>
      <x:c r="K8" s="58"/>
    </x:row>
    <x:row r="9" spans="1:11" ht="21.949999999999999" customHeight="1">
      <x:c r="A9" s="261"/>
      <x:c r="B9" s="262"/>
      <x:c r="C9" s="263"/>
      <x:c r="D9" s="263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30.949999999999999" customHeight="1">
      <x:c r="A10" s="261" t="s">
        <x:v>120</x:v>
      </x:c>
      <x:c r="B10" s="262"/>
      <x:c r="C10" s="263">
        <x:v>159600</x:v>
      </x:c>
      <x:c r="D10" s="263"/>
      <x:c r="E10" s="262" t="s">
        <x:v>101</x:v>
      </x:c>
      <x:c r="F10" s="262"/>
      <x:c r="G10" s="55"/>
      <x:c r="H10" s="54"/>
      <x:c r="I10" s="124"/>
      <x:c r="J10" s="54" t="s">
        <x:v>23</x:v>
      </x:c>
      <x:c r="K10" s="58"/>
    </x:row>
    <x:row r="11" spans="1:11" ht="33" customHeight="1">
      <x:c r="A11" s="261" t="s">
        <x:v>115</x:v>
      </x:c>
      <x:c r="B11" s="262"/>
      <x:c r="C11" s="301" t="s">
        <x:v>123</x:v>
      </x:c>
      <x:c r="D11" s="301"/>
      <x:c r="E11" s="301"/>
      <x:c r="F11" s="301"/>
      <x:c r="G11" s="301"/>
      <x:c r="H11" s="54" t="s">
        <x:v>151</x:v>
      </x:c>
      <x:c r="I11" s="58"/>
      <x:c r="J11" s="54" t="s">
        <x:v>125</x:v>
      </x:c>
      <x:c r="K11" s="135"/>
    </x:row>
    <x:row r="12" spans="1:13" ht="21.949999999999999" customHeight="1">
      <x:c r="A12" s="59" t="s">
        <x:v>21</x:v>
      </x:c>
      <x:c r="B12" s="299" t="s">
        <x:v>8</x:v>
      </x:c>
      <x:c r="C12" s="79">
        <x:v>22</x:v>
      </x:c>
      <x:c r="D12" s="289" t="s">
        <x:v>83</x:v>
      </x:c>
      <x:c r="E12" s="290"/>
      <x:c r="F12" s="293">
        <x:v>11</x:v>
      </x:c>
      <x:c r="G12" s="294"/>
      <x:c r="H12" s="54" t="s">
        <x:v>58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56</x:v>
      </x:c>
      <x:c r="B13" s="300"/>
      <x:c r="C13" s="134">
        <x:f>SUM('1:25'!$C$12)</x:f>
        <x:v>383</x:v>
      </x:c>
      <x:c r="D13" s="281"/>
      <x:c r="E13" s="282"/>
      <x:c r="F13" s="291">
        <x:f>SUM('1:25'!$F$12)</x:f>
        <x:v>493</x:v>
      </x:c>
      <x:c r="G13" s="292"/>
      <x:c r="H13" s="54" t="s">
        <x:v>92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21</x:v>
      </x:c>
      <x:c r="B14" s="299" t="s">
        <x:v>84</x:v>
      </x:c>
      <x:c r="C14" s="79">
        <x:v>19</x:v>
      </x:c>
      <x:c r="D14" s="289" t="s">
        <x:v>73</x:v>
      </x:c>
      <x:c r="E14" s="290"/>
      <x:c r="F14" s="293">
        <x:v>18</x:v>
      </x:c>
      <x:c r="G14" s="294"/>
      <x:c r="H14" s="54" t="s">
        <x:v>61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56</x:v>
      </x:c>
      <x:c r="B15" s="300"/>
      <x:c r="C15" s="134">
        <x:f>SUM('1:25'!$C$14)</x:f>
        <x:v>588</x:v>
      </x:c>
      <x:c r="D15" s="281"/>
      <x:c r="E15" s="282"/>
      <x:c r="F15" s="291">
        <x:f>SUM('1:25'!$F$14)</x:f>
        <x:v>330</x:v>
      </x:c>
      <x:c r="G15" s="292"/>
      <x:c r="H15" s="54" t="s">
        <x:v>64</x:v>
      </x:c>
      <x:c r="I15" s="58"/>
      <x:c r="J15" s="54" t="s">
        <x:v>143</x:v>
      </x:c>
      <x:c r="K15" s="58"/>
      <x:c r="L15" s="60"/>
      <x:c r="M15" s="11"/>
    </x:row>
    <x:row r="16" spans="1:13" ht="21.949999999999999" customHeight="1">
      <x:c r="A16" s="59" t="s">
        <x:v>21</x:v>
      </x:c>
      <x:c r="B16" s="299" t="s">
        <x:v>51</x:v>
      </x:c>
      <x:c r="C16" s="79">
        <x:v>4</x:v>
      </x:c>
      <x:c r="D16" s="289" t="s">
        <x:v>81</x:v>
      </x:c>
      <x:c r="E16" s="290"/>
      <x:c r="F16" s="287">
        <x:v>10</x:v>
      </x:c>
      <x:c r="G16" s="287"/>
      <x:c r="H16" s="54"/>
      <x:c r="I16" s="58"/>
      <x:c r="J16" s="54" t="s">
        <x:v>105</x:v>
      </x:c>
      <x:c r="K16" s="58"/>
      <x:c r="L16" s="60"/>
      <x:c r="M16" s="11"/>
    </x:row>
    <x:row r="17" spans="1:13" ht="21.949999999999999" customHeight="1">
      <x:c r="A17" s="59" t="s">
        <x:v>56</x:v>
      </x:c>
      <x:c r="B17" s="300"/>
      <x:c r="C17" s="134">
        <x:f>SUM('1:25'!$C$16)</x:f>
        <x:v>134</x:v>
      </x:c>
      <x:c r="D17" s="281"/>
      <x:c r="E17" s="282"/>
      <x:c r="F17" s="288">
        <x:f>SUM('1:25'!$F$16)</x:f>
        <x:v>307</x:v>
      </x:c>
      <x:c r="G17" s="288"/>
      <x:c r="H17" s="54" t="s">
        <x:v>18</x:v>
      </x:c>
      <x:c r="I17" s="58"/>
      <x:c r="J17" s="54" t="s">
        <x:v>97</x:v>
      </x:c>
      <x:c r="K17" s="58"/>
      <x:c r="L17" s="60"/>
      <x:c r="M17" s="11"/>
    </x:row>
    <x:row r="18" spans="1:13" ht="21.949999999999999" customHeight="1">
      <x:c r="A18" s="59" t="s">
        <x:v>21</x:v>
      </x:c>
      <x:c r="B18" s="299" t="s">
        <x:v>107</x:v>
      </x:c>
      <x:c r="C18" s="79">
        <x:v>18</x:v>
      </x:c>
      <x:c r="D18" s="289" t="s">
        <x:v>29</x:v>
      </x:c>
      <x:c r="E18" s="290"/>
      <x:c r="F18" s="297">
        <x:v>2</x:v>
      </x:c>
      <x:c r="G18" s="29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56</x:v>
      </x:c>
      <x:c r="B19" s="300"/>
      <x:c r="C19" s="134">
        <x:f>SUM('1:25'!$C$18)</x:f>
        <x:v>701</x:v>
      </x:c>
      <x:c r="D19" s="281"/>
      <x:c r="E19" s="282"/>
      <x:c r="F19" s="288">
        <x:f>SUM('1:25'!$F$18)</x:f>
        <x:v>74</x:v>
      </x:c>
      <x:c r="G19" s="288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108</x:v>
      </x:c>
      <x:c r="E20" s="262"/>
      <x:c r="F20" s="287">
        <x:v>43</x:v>
      </x:c>
      <x:c r="G20" s="287"/>
      <x:c r="H20" s="58"/>
      <x:c r="J20" s="54"/>
      <x:c r="K20" s="58"/>
      <x:c r="L20" s="60"/>
      <x:c r="M20" s="11"/>
    </x:row>
    <x:row r="21" spans="4:13" ht="21.949999999999999" customHeight="1">
      <x:c r="D21" s="262" t="s">
        <x:v>128</x:v>
      </x:c>
      <x:c r="E21" s="262"/>
      <x:c r="F21" s="288">
        <x:f>SUM('1:25'!$F$20)</x:f>
        <x:v>1341</x:v>
      </x:c>
      <x:c r="G21" s="288"/>
      <x:c r="H21" s="58"/>
      <x:c r="J21" s="54"/>
      <x:c r="K21" s="58"/>
      <x:c r="L21" s="60"/>
      <x:c r="M21" s="11"/>
    </x:row>
    <x:row r="22" spans="1:13" ht="32.100000000000001" customHeight="1">
      <x:c r="A22" s="261" t="s">
        <x:v>121</x:v>
      </x:c>
      <x:c r="B22" s="262"/>
      <x:c r="C22" s="286"/>
      <x:c r="D22" s="286"/>
      <x:c r="E22" s="286"/>
      <x:c r="F22" s="286"/>
      <x:c r="G22" s="286"/>
      <x:c r="H22" s="54"/>
      <x:c r="J22" s="54"/>
      <x:c r="K22" s="58"/>
      <x:c r="L22" s="60"/>
      <x:c r="M22" s="11"/>
    </x:row>
    <x:row r="23" spans="1:15" ht="34.149999999999999" customHeight="1">
      <x:c r="A23" s="261" t="s">
        <x:v>59</x:v>
      </x:c>
      <x:c r="B23" s="262"/>
      <x:c r="C23" s="317"/>
      <x:c r="D23" s="318"/>
      <x:c r="E23" s="318"/>
      <x:c r="F23" s="318"/>
      <x:c r="G23" s="318"/>
      <x:c r="H23" s="107" t="s">
        <x:v>95</x:v>
      </x:c>
      <x:c r="I23" s="108">
        <x:f>SUM(I4:I22)</x:f>
        <x:v>0</x:v>
      </x:c>
      <x:c r="J23" s="61" t="s">
        <x:v>70</x:v>
      </x:c>
      <x:c r="K23" s="62">
        <x:f>SUM(K4:K22)</x:f>
        <x:v>0</x:v>
      </x:c>
      <x:c r="M23" s="88" t="s">
        <x:v>102</x:v>
      </x:c>
      <x:c r="N23" s="284">
        <x:f>C5+C6</x:f>
        <x:v>400400</x:v>
      </x:c>
      <x:c r="O23" s="285"/>
    </x:row>
    <x:row r="24" spans="1:11" ht="34.149999999999999" customHeight="1">
      <x:c r="A24" s="261" t="s">
        <x:v>152</x:v>
      </x:c>
      <x:c r="B24" s="262"/>
      <x:c r="C24" s="262" t="s">
        <x:v>86</x:v>
      </x:c>
      <x:c r="D24" s="262"/>
      <x:c r="E24" s="262" t="s">
        <x:v>62</x:v>
      </x:c>
      <x:c r="F24" s="262"/>
      <x:c r="G24" s="262"/>
      <x:c r="H24" s="107" t="s">
        <x:v>152</x:v>
      </x:c>
      <x:c r="I24" s="109">
        <x:f>I23/A25</x:f>
        <x:v>0</x:v>
      </x:c>
      <x:c r="J24" s="61" t="s">
        <x:v>152</x:v>
      </x:c>
      <x:c r="K24" s="63">
        <x:f>K23/A25</x:f>
        <x:v>0</x:v>
      </x:c>
    </x:row>
    <x:row r="25" spans="1:11" ht="34.149999999999999" customHeight="1">
      <x:c r="A25" s="313">
        <x:f>C2</x:f>
        <x:v>2846100</x:v>
      </x:c>
      <x:c r="B25" s="277"/>
      <x:c r="C25" s="277">
        <x:f>E25/I1</x:f>
        <x:v>4128672</x:v>
      </x:c>
      <x:c r="D25" s="277"/>
      <x:c r="E25" s="277">
        <x:f>SUM('1:25'!$A$25)</x:f>
        <x:v>103216800</x:v>
      </x:c>
      <x:c r="F25" s="277"/>
      <x:c r="G25" s="277"/>
      <x:c r="H25" s="107" t="s">
        <x:v>156</x:v>
      </x:c>
      <x:c r="I25" s="108">
        <x:f>SUM('1:25'!$I$23)</x:f>
        <x:v>37936600</x:v>
      </x:c>
      <x:c r="J25" s="61" t="s">
        <x:v>156</x:v>
      </x:c>
      <x:c r="K25" s="62">
        <x:f>SUM('1:25'!$K$21)</x:f>
        <x:v>0</x:v>
      </x:c>
    </x:row>
    <x:row r="26" spans="1:11" ht="34.149999999999999" customHeight="1">
      <x:c r="A26" s="261" t="s">
        <x:v>68</x:v>
      </x:c>
      <x:c r="B26" s="262"/>
      <x:c r="C26" s="262"/>
      <x:c r="D26" s="262"/>
      <x:c r="E26" s="263"/>
      <x:c r="F26" s="263"/>
      <x:c r="G26" s="263"/>
      <x:c r="H26" s="107" t="s">
        <x:v>67</x:v>
      </x:c>
      <x:c r="I26" s="110">
        <x:f>I25/$E$25</x:f>
        <x:v>0.36754288061633378</x:v>
      </x:c>
      <x:c r="J26" s="64" t="s">
        <x:v>67</x:v>
      </x:c>
      <x:c r="K26" s="65">
        <x:f>K25/$E$25</x:f>
        <x:v>0</x:v>
      </x:c>
    </x:row>
    <x:row r="27" spans="1:13" ht="30.949999999999999" customHeight="1">
      <x:c r="A27" s="319" t="s">
        <x:v>113</x:v>
      </x:c>
      <x:c r="B27" s="54" t="s">
        <x:v>17</x:v>
      </x:c>
      <x:c r="C27" s="277">
        <x:f>3300000/31</x:f>
        <x:v>106451.6129032258</x:v>
      </x:c>
      <x:c r="D27" s="277"/>
      <x:c r="E27" s="55" t="s">
        <x:v>12</x:v>
      </x:c>
      <x:c r="F27" s="263"/>
      <x:c r="G27" s="263"/>
      <x:c r="H27" s="111" t="s">
        <x:v>69</x:v>
      </x:c>
      <x:c r="I27" s="112">
        <x:f>SUM(C27:D34,F27:G32)</x:f>
        <x:v>750241.93548387091</x:v>
      </x:c>
      <x:c r="M27" s="66"/>
    </x:row>
    <x:row r="28" spans="1:13" ht="30.949999999999999" customHeight="1">
      <x:c r="A28" s="320"/>
      <x:c r="B28" s="54" t="s">
        <x:v>161</x:v>
      </x:c>
      <x:c r="C28" s="314">
        <x:f>3300000/31</x:f>
        <x:v>106451.6129032258</x:v>
      </x:c>
      <x:c r="D28" s="315"/>
      <x:c r="E28" s="148" t="s">
        <x:v>37</x:v>
      </x:c>
      <x:c r="F28" s="316">
        <x:f>13000*5</x:f>
        <x:v>65000</x:v>
      </x:c>
      <x:c r="G28" s="316"/>
      <x:c r="H28" s="111" t="s">
        <x:v>152</x:v>
      </x:c>
      <x:c r="I28" s="113">
        <x:f>I27/$A$25</x:f>
        <x:v>0.26360350496604862</x:v>
      </x:c>
      <x:c r="M28" s="66"/>
    </x:row>
    <x:row r="29" spans="1:13" ht="30.949999999999999" customHeight="1">
      <x:c r="A29" s="320"/>
      <x:c r="B29" s="54" t="s">
        <x:v>38</x:v>
      </x:c>
      <x:c r="C29" s="277">
        <x:f>3300000/31</x:f>
        <x:v>106451.6129032258</x:v>
      </x:c>
      <x:c r="D29" s="277"/>
      <x:c r="E29" s="54" t="s">
        <x:v>147</x:v>
      </x:c>
      <x:c r="F29" s="263">
        <x:f>13000*8.5</x:f>
        <x:v>110500</x:v>
      </x:c>
      <x:c r="G29" s="263"/>
      <x:c r="H29" s="111" t="s">
        <x:v>156</x:v>
      </x:c>
      <x:c r="I29" s="112">
        <x:f>SUM('1:25'!$I$25)</x:f>
        <x:v>485292480</x:v>
      </x:c>
      <x:c r="M29" s="66"/>
    </x:row>
    <x:row r="30" spans="1:13" ht="30.949999999999999" customHeight="1">
      <x:c r="A30" s="320"/>
      <x:c r="B30" s="55" t="s">
        <x:v>28</x:v>
      </x:c>
      <x:c r="C30" s="277">
        <x:f>1500000/31</x:f>
        <x:v>48387.096774193546</x:v>
      </x:c>
      <x:c r="D30" s="277"/>
      <x:c r="E30" s="55"/>
      <x:c r="F30" s="311"/>
      <x:c r="G30" s="312"/>
      <x:c r="H30" s="111" t="s">
        <x:v>67</x:v>
      </x:c>
      <x:c r="I30" s="113">
        <x:f>I29/$I$27</x:f>
        <x:v>646.8479793614963</x:v>
      </x:c>
      <x:c r="M30" s="66"/>
    </x:row>
    <x:row r="31" spans="1:7" customHeight="1">
      <x:c r="A31" s="320"/>
      <x:c r="B31" s="147"/>
      <x:c r="C31" s="309"/>
      <x:c r="D31" s="310"/>
      <x:c r="E31" s="55" t="s">
        <x:v>10</x:v>
      </x:c>
      <x:c r="F31" s="311">
        <x:v>130000</x:v>
      </x:c>
      <x:c r="G31" s="312"/>
    </x:row>
    <x:row r="32" spans="1:7" customHeight="1">
      <x:c r="A32" s="320"/>
      <x:c r="B32" s="147"/>
      <x:c r="C32" s="309"/>
      <x:c r="D32" s="310"/>
      <x:c r="E32" s="55" t="s">
        <x:v>79</x:v>
      </x:c>
      <x:c r="F32" s="311">
        <x:v>77000</x:v>
      </x:c>
      <x:c r="G32" s="312"/>
    </x:row>
    <x:row r="33" spans="1:4" customHeight="1">
      <x:c r="A33" s="320"/>
      <x:c r="B33" s="54"/>
      <x:c r="C33" s="309"/>
      <x:c r="D33" s="310"/>
    </x:row>
    <x:row r="34" spans="1:4" customHeight="1">
      <x:c r="A34" s="321"/>
      <x:c r="B34" s="54"/>
      <x:c r="C34" s="311"/>
      <x:c r="D34" s="312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D14:E15"/>
    <x:mergeCell ref="B18:B19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8"/>
  <x:dimension ref="A1:O34"/>
  <x:sheetViews>
    <x:sheetView tabSelected="1" topLeftCell="A1" zoomScale="85" zoomScaleNormal="85" zoomScaleSheetLayoutView="75" workbookViewId="0">
      <x:selection activeCell="K17" activeCellId="0" sqref="K17:K17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11.75" style="53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122</x:v>
      </x:c>
      <x:c r="D1" s="68"/>
      <x:c r="E1" s="68">
        <x:v>1</x:v>
      </x:c>
      <x:c r="F1" s="68">
        <x:v>26</x:v>
      </x:c>
      <x:c r="G1" s="68" t="s">
        <x:v>26</x:v>
      </x:c>
      <x:c r="H1" s="52" t="s">
        <x:v>96</x:v>
      </x:c>
      <x:c r="I1" s="52">
        <x:f>F1-K1</x:f>
        <x:v>26</x:v>
      </x:c>
      <x:c r="J1" s="52" t="s">
        <x:v>89</x:v>
      </x:c>
      <x:c r="K1" s="52"/>
    </x:row>
    <x:row r="2" spans="1:11" ht="20.100000000000001" customHeight="1">
      <x:c r="A2" s="272" t="s">
        <x:v>50</x:v>
      </x:c>
      <x:c r="B2" s="273"/>
      <x:c r="C2" s="276">
        <x:f>SUM(C4:D7)</x:f>
        <x:v>4641200</x:v>
      </x:c>
      <x:c r="D2" s="276"/>
      <x:c r="E2" s="279" t="s">
        <x:v>20</x:v>
      </x:c>
      <x:c r="F2" s="280"/>
      <x:c r="G2" s="268">
        <x:v>92400</x:v>
      </x:c>
      <x:c r="H2" s="266" t="s">
        <x:v>54</x:v>
      </x:c>
      <x:c r="I2" s="267"/>
      <x:c r="J2" s="264" t="s">
        <x:v>143</x:v>
      </x:c>
      <x:c r="K2" s="265"/>
    </x:row>
    <x:row r="3" spans="1:11" ht="20.100000000000001" customHeight="1">
      <x:c r="A3" s="274"/>
      <x:c r="B3" s="275"/>
      <x:c r="C3" s="277"/>
      <x:c r="D3" s="277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1" ht="30.949999999999999" customHeight="1">
      <x:c r="A4" s="270" t="s">
        <x:v>41</x:v>
      </x:c>
      <x:c r="B4" s="271"/>
      <x:c r="C4" s="263">
        <x:v>4057100</x:v>
      </x:c>
      <x:c r="D4" s="263"/>
      <x:c r="E4" s="278" t="s">
        <x:v>160</x:v>
      </x:c>
      <x:c r="F4" s="278"/>
      <x:c r="G4" s="133">
        <x:f>INT(C4*0.0275)</x:f>
        <x:v>111570</x:v>
      </x:c>
      <x:c r="H4" s="54" t="s">
        <x:v>19</x:v>
      </x:c>
      <x:c r="I4" s="124">
        <x:f>215568+291750+343992+452000</x:f>
        <x:v>1303310</x:v>
      </x:c>
      <x:c r="J4" s="80" t="s">
        <x:v>24</x:v>
      </x:c>
      <x:c r="K4" s="58"/>
    </x:row>
    <x:row r="5" spans="1:11" ht="30.949999999999999" customHeight="1">
      <x:c r="A5" s="270" t="s">
        <x:v>52</x:v>
      </x:c>
      <x:c r="B5" s="271"/>
      <x:c r="C5" s="263">
        <x:v>584100</x:v>
      </x:c>
      <x:c r="D5" s="263"/>
      <x:c r="E5" s="262" t="s">
        <x:v>136</x:v>
      </x:c>
      <x:c r="F5" s="262"/>
      <x:c r="G5" s="133">
        <x:f>INT(C5*0.01)</x:f>
        <x:v>5841</x:v>
      </x:c>
      <x:c r="H5" s="54" t="s">
        <x:v>54</x:v>
      </x:c>
      <x:c r="I5" s="124">
        <x:f>43500+50000</x:f>
        <x:v>93500</x:v>
      </x:c>
      <x:c r="J5" s="81"/>
      <x:c r="K5" s="58"/>
    </x:row>
    <x:row r="6" spans="1:11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550000</x:v>
      </x:c>
      <x:c r="H6" s="54"/>
      <x:c r="I6" s="124"/>
      <x:c r="J6" s="81" t="s">
        <x:v>99</x:v>
      </x:c>
      <x:c r="K6" s="58"/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4"/>
      <x:c r="J7" s="81" t="s">
        <x:v>106</x:v>
      </x:c>
      <x:c r="K7" s="58"/>
    </x:row>
    <x:row r="8" spans="1:11" ht="21.949999999999999" customHeight="1">
      <x:c r="A8" s="261" t="s">
        <x:v>98</x:v>
      </x:c>
      <x:c r="B8" s="262"/>
      <x:c r="C8" s="263">
        <x:v>126500</x:v>
      </x:c>
      <x:c r="D8" s="263"/>
      <x:c r="E8" s="289" t="s">
        <x:v>114</x:v>
      </x:c>
      <x:c r="F8" s="290"/>
      <x:c r="G8" s="295">
        <x:f>C5+G2-G6-C22</x:f>
        <x:v>126500</x:v>
      </x:c>
      <x:c r="H8" s="54" t="s">
        <x:v>14</x:v>
      </x:c>
      <x:c r="I8" s="124">
        <x:v>65000</x:v>
      </x:c>
      <x:c r="J8" s="81"/>
      <x:c r="K8" s="58"/>
    </x:row>
    <x:row r="9" spans="1:11" ht="21.949999999999999" customHeight="1">
      <x:c r="A9" s="261"/>
      <x:c r="B9" s="262"/>
      <x:c r="C9" s="263"/>
      <x:c r="D9" s="263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30.949999999999999" customHeight="1">
      <x:c r="A10" s="261" t="s">
        <x:v>120</x:v>
      </x:c>
      <x:c r="B10" s="262"/>
      <x:c r="C10" s="263">
        <x:v>60000</x:v>
      </x:c>
      <x:c r="D10" s="263"/>
      <x:c r="E10" s="262" t="s">
        <x:v>101</x:v>
      </x:c>
      <x:c r="F10" s="262"/>
      <x:c r="G10" s="55"/>
      <x:c r="H10" s="54"/>
      <x:c r="I10" s="124"/>
      <x:c r="J10" s="54" t="s">
        <x:v>23</x:v>
      </x:c>
      <x:c r="K10" s="58">
        <x:v>14300</x:v>
      </x:c>
    </x:row>
    <x:row r="11" spans="1:11" ht="33" customHeight="1">
      <x:c r="A11" s="261" t="s">
        <x:v>115</x:v>
      </x:c>
      <x:c r="B11" s="262"/>
      <x:c r="C11" s="301" t="s">
        <x:v>123</x:v>
      </x:c>
      <x:c r="D11" s="301"/>
      <x:c r="E11" s="301"/>
      <x:c r="F11" s="301"/>
      <x:c r="G11" s="301"/>
      <x:c r="H11" s="54" t="s">
        <x:v>151</x:v>
      </x:c>
      <x:c r="I11" s="58"/>
      <x:c r="J11" s="54" t="s">
        <x:v>125</x:v>
      </x:c>
      <x:c r="K11" s="135"/>
    </x:row>
    <x:row r="12" spans="1:13" ht="21.949999999999999" customHeight="1">
      <x:c r="A12" s="59" t="s">
        <x:v>21</x:v>
      </x:c>
      <x:c r="B12" s="299" t="s">
        <x:v>8</x:v>
      </x:c>
      <x:c r="C12" s="79">
        <x:v>9</x:v>
      </x:c>
      <x:c r="D12" s="289" t="s">
        <x:v>83</x:v>
      </x:c>
      <x:c r="E12" s="290"/>
      <x:c r="F12" s="293">
        <x:v>22</x:v>
      </x:c>
      <x:c r="G12" s="294"/>
      <x:c r="H12" s="54" t="s">
        <x:v>58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56</x:v>
      </x:c>
      <x:c r="B13" s="300"/>
      <x:c r="C13" s="134">
        <x:f>SUM('1:26'!$C$12)</x:f>
        <x:v>392</x:v>
      </x:c>
      <x:c r="D13" s="281"/>
      <x:c r="E13" s="282"/>
      <x:c r="F13" s="291">
        <x:f>SUM('1:26'!$F$12)</x:f>
        <x:v>515</x:v>
      </x:c>
      <x:c r="G13" s="292"/>
      <x:c r="H13" s="54" t="s">
        <x:v>92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21</x:v>
      </x:c>
      <x:c r="B14" s="299" t="s">
        <x:v>84</x:v>
      </x:c>
      <x:c r="C14" s="79">
        <x:v>20</x:v>
      </x:c>
      <x:c r="D14" s="289" t="s">
        <x:v>73</x:v>
      </x:c>
      <x:c r="E14" s="290"/>
      <x:c r="F14" s="293">
        <x:v>19</x:v>
      </x:c>
      <x:c r="G14" s="294"/>
      <x:c r="H14" s="54" t="s">
        <x:v>61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56</x:v>
      </x:c>
      <x:c r="B15" s="300"/>
      <x:c r="C15" s="134">
        <x:f>SUM('1:26'!$C$14)</x:f>
        <x:v>608</x:v>
      </x:c>
      <x:c r="D15" s="281"/>
      <x:c r="E15" s="282"/>
      <x:c r="F15" s="291">
        <x:f>SUM('1:26'!$F$14)</x:f>
        <x:v>349</x:v>
      </x:c>
      <x:c r="G15" s="292"/>
      <x:c r="H15" s="54" t="s">
        <x:v>64</x:v>
      </x:c>
      <x:c r="I15" s="58">
        <x:f>20400+4800+5900+4900</x:f>
        <x:v>36000</x:v>
      </x:c>
      <x:c r="J15" s="54" t="s">
        <x:v>143</x:v>
      </x:c>
      <x:c r="K15" s="58"/>
      <x:c r="L15" s="60"/>
      <x:c r="M15" s="11"/>
    </x:row>
    <x:row r="16" spans="1:13" ht="21.949999999999999" customHeight="1">
      <x:c r="A16" s="59" t="s">
        <x:v>21</x:v>
      </x:c>
      <x:c r="B16" s="299" t="s">
        <x:v>51</x:v>
      </x:c>
      <x:c r="C16" s="79"/>
      <x:c r="D16" s="289" t="s">
        <x:v>81</x:v>
      </x:c>
      <x:c r="E16" s="290"/>
      <x:c r="F16" s="287">
        <x:v>7</x:v>
      </x:c>
      <x:c r="G16" s="287"/>
      <x:c r="H16" s="54"/>
      <x:c r="I16" s="58"/>
      <x:c r="J16" s="54" t="s">
        <x:v>105</x:v>
      </x:c>
      <x:c r="K16" s="58">
        <x:v>140290</x:v>
      </x:c>
      <x:c r="L16" s="60"/>
      <x:c r="M16" s="11"/>
    </x:row>
    <x:row r="17" spans="1:13" ht="21.949999999999999" customHeight="1">
      <x:c r="A17" s="59" t="s">
        <x:v>56</x:v>
      </x:c>
      <x:c r="B17" s="300"/>
      <x:c r="C17" s="134">
        <x:f>SUM('1:26'!$C$16)</x:f>
        <x:v>134</x:v>
      </x:c>
      <x:c r="D17" s="281"/>
      <x:c r="E17" s="282"/>
      <x:c r="F17" s="288">
        <x:f>SUM('1:26'!$F$16)</x:f>
        <x:v>314</x:v>
      </x:c>
      <x:c r="G17" s="288"/>
      <x:c r="H17" s="54" t="s">
        <x:v>18</x:v>
      </x:c>
      <x:c r="I17" s="58"/>
      <x:c r="J17" s="54" t="s">
        <x:v>97</x:v>
      </x:c>
      <x:c r="K17" s="58"/>
      <x:c r="L17" s="60"/>
      <x:c r="M17" s="11"/>
    </x:row>
    <x:row r="18" spans="1:13" ht="21.949999999999999" customHeight="1">
      <x:c r="A18" s="59" t="s">
        <x:v>21</x:v>
      </x:c>
      <x:c r="B18" s="299" t="s">
        <x:v>107</x:v>
      </x:c>
      <x:c r="C18" s="79">
        <x:v>48</x:v>
      </x:c>
      <x:c r="D18" s="289" t="s">
        <x:v>29</x:v>
      </x:c>
      <x:c r="E18" s="290"/>
      <x:c r="F18" s="297">
        <x:v>1</x:v>
      </x:c>
      <x:c r="G18" s="29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56</x:v>
      </x:c>
      <x:c r="B19" s="300"/>
      <x:c r="C19" s="134">
        <x:f>SUM('1:26'!$C$18)</x:f>
        <x:v>749</x:v>
      </x:c>
      <x:c r="D19" s="281"/>
      <x:c r="E19" s="282"/>
      <x:c r="F19" s="288">
        <x:f>SUM('1:26'!$F$18)</x:f>
        <x:v>75</x:v>
      </x:c>
      <x:c r="G19" s="288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108</x:v>
      </x:c>
      <x:c r="E20" s="262"/>
      <x:c r="F20" s="287">
        <x:v>59</x:v>
      </x:c>
      <x:c r="G20" s="287"/>
      <x:c r="H20" s="58"/>
      <x:c r="J20" s="54"/>
      <x:c r="K20" s="58"/>
      <x:c r="L20" s="60"/>
      <x:c r="M20" s="11"/>
    </x:row>
    <x:row r="21" spans="4:13" ht="21.949999999999999" customHeight="1">
      <x:c r="D21" s="262" t="s">
        <x:v>128</x:v>
      </x:c>
      <x:c r="E21" s="262"/>
      <x:c r="F21" s="288">
        <x:f>SUM('1:26'!$F$20)</x:f>
        <x:v>1400</x:v>
      </x:c>
      <x:c r="G21" s="288"/>
      <x:c r="H21" s="58"/>
      <x:c r="J21" s="54"/>
      <x:c r="K21" s="58"/>
      <x:c r="L21" s="60"/>
      <x:c r="M21" s="11"/>
    </x:row>
    <x:row r="22" spans="1:13" ht="32.100000000000001" customHeight="1">
      <x:c r="A22" s="261" t="s">
        <x:v>121</x:v>
      </x:c>
      <x:c r="B22" s="262"/>
      <x:c r="C22" s="286"/>
      <x:c r="D22" s="286"/>
      <x:c r="E22" s="286"/>
      <x:c r="F22" s="286"/>
      <x:c r="G22" s="286"/>
      <x:c r="H22" s="54"/>
      <x:c r="J22" s="54"/>
      <x:c r="K22" s="58"/>
      <x:c r="L22" s="60"/>
      <x:c r="M22" s="11"/>
    </x:row>
    <x:row r="23" spans="1:15" ht="34.149999999999999" customHeight="1">
      <x:c r="A23" s="261" t="s">
        <x:v>59</x:v>
      </x:c>
      <x:c r="B23" s="262"/>
      <x:c r="C23" s="317"/>
      <x:c r="D23" s="318"/>
      <x:c r="E23" s="318"/>
      <x:c r="F23" s="318"/>
      <x:c r="G23" s="318"/>
      <x:c r="H23" s="107" t="s">
        <x:v>95</x:v>
      </x:c>
      <x:c r="I23" s="108">
        <x:f>SUM(I4:I22)</x:f>
        <x:v>1497810</x:v>
      </x:c>
      <x:c r="J23" s="61" t="s">
        <x:v>70</x:v>
      </x:c>
      <x:c r="K23" s="62">
        <x:f>SUM(K4:K22)</x:f>
        <x:v>154590</x:v>
      </x:c>
      <x:c r="M23" s="88" t="s">
        <x:v>102</x:v>
      </x:c>
      <x:c r="N23" s="284">
        <x:f>C5+C6</x:f>
        <x:v>584100</x:v>
      </x:c>
      <x:c r="O23" s="285"/>
    </x:row>
    <x:row r="24" spans="1:11" ht="34.149999999999999" customHeight="1">
      <x:c r="A24" s="261" t="s">
        <x:v>152</x:v>
      </x:c>
      <x:c r="B24" s="262"/>
      <x:c r="C24" s="262" t="s">
        <x:v>86</x:v>
      </x:c>
      <x:c r="D24" s="262"/>
      <x:c r="E24" s="262" t="s">
        <x:v>62</x:v>
      </x:c>
      <x:c r="F24" s="262"/>
      <x:c r="G24" s="262"/>
      <x:c r="H24" s="107" t="s">
        <x:v>152</x:v>
      </x:c>
      <x:c r="I24" s="109">
        <x:f>I23/A25</x:f>
        <x:v>0.32272041713349997</x:v>
      </x:c>
      <x:c r="J24" s="61" t="s">
        <x:v>152</x:v>
      </x:c>
      <x:c r="K24" s="63">
        <x:f>K23/A25</x:f>
        <x:v>0.033308196156166509</x:v>
      </x:c>
    </x:row>
    <x:row r="25" spans="1:11" ht="34.149999999999999" customHeight="1">
      <x:c r="A25" s="313">
        <x:f>C2</x:f>
        <x:v>4641200</x:v>
      </x:c>
      <x:c r="B25" s="277"/>
      <x:c r="C25" s="364">
        <x:f>E25/I1</x:f>
        <x:v>4148384.6153846155</x:v>
      </x:c>
      <x:c r="D25" s="277"/>
      <x:c r="E25" s="277">
        <x:f>SUM('1:26'!$A$25)</x:f>
        <x:v>107858000</x:v>
      </x:c>
      <x:c r="F25" s="277"/>
      <x:c r="G25" s="277"/>
      <x:c r="H25" s="107" t="s">
        <x:v>156</x:v>
      </x:c>
      <x:c r="I25" s="108">
        <x:f>SUM('1:26'!$I$23)</x:f>
        <x:v>39434410</x:v>
      </x:c>
      <x:c r="J25" s="61" t="s">
        <x:v>156</x:v>
      </x:c>
      <x:c r="K25" s="62">
        <x:f>SUM('1:26'!$K$21)</x:f>
        <x:v>0</x:v>
      </x:c>
    </x:row>
    <x:row r="26" spans="1:11" ht="34.149999999999999" customHeight="1">
      <x:c r="A26" s="261" t="s">
        <x:v>68</x:v>
      </x:c>
      <x:c r="B26" s="262"/>
      <x:c r="C26" s="262"/>
      <x:c r="D26" s="262"/>
      <x:c r="E26" s="263"/>
      <x:c r="F26" s="263"/>
      <x:c r="G26" s="263"/>
      <x:c r="H26" s="107" t="s">
        <x:v>67</x:v>
      </x:c>
      <x:c r="I26" s="110">
        <x:f>I25/$E$25</x:f>
        <x:v>0.365614140814775</x:v>
      </x:c>
      <x:c r="J26" s="64" t="s">
        <x:v>67</x:v>
      </x:c>
      <x:c r="K26" s="65">
        <x:f>K25/$E$25</x:f>
        <x:v>0</x:v>
      </x:c>
    </x:row>
    <x:row r="27" spans="1:13" ht="30.949999999999999" customHeight="1">
      <x:c r="A27" s="319" t="s">
        <x:v>113</x:v>
      </x:c>
      <x:c r="B27" s="54" t="s">
        <x:v>17</x:v>
      </x:c>
      <x:c r="C27" s="277">
        <x:f>3300000/31</x:f>
        <x:v>106451.6129032258</x:v>
      </x:c>
      <x:c r="D27" s="277"/>
      <x:c r="E27" s="55" t="s">
        <x:v>12</x:v>
      </x:c>
      <x:c r="F27" s="263">
        <x:f>13000*5</x:f>
        <x:v>65000</x:v>
      </x:c>
      <x:c r="G27" s="263"/>
      <x:c r="H27" s="111" t="s">
        <x:v>69</x:v>
      </x:c>
      <x:c r="I27" s="112">
        <x:f>SUM(C27:D34,F27:G32)</x:f>
        <x:v>633741.93548387091</x:v>
      </x:c>
      <x:c r="M27" s="66"/>
    </x:row>
    <x:row r="28" spans="1:13" ht="30.949999999999999" customHeight="1">
      <x:c r="A28" s="320"/>
      <x:c r="B28" s="54" t="s">
        <x:v>161</x:v>
      </x:c>
      <x:c r="C28" s="314">
        <x:f>3300000/31</x:f>
        <x:v>106451.6129032258</x:v>
      </x:c>
      <x:c r="D28" s="315"/>
      <x:c r="E28" s="148" t="s">
        <x:v>37</x:v>
      </x:c>
      <x:c r="F28" s="316">
        <x:f>13000*10</x:f>
        <x:v>130000</x:v>
      </x:c>
      <x:c r="G28" s="316"/>
      <x:c r="H28" s="111" t="s">
        <x:v>152</x:v>
      </x:c>
      <x:c r="I28" s="113">
        <x:f>I27/$A$25</x:f>
        <x:v>0.13654699980260943</x:v>
      </x:c>
      <x:c r="M28" s="66"/>
    </x:row>
    <x:row r="29" spans="1:13" ht="30.949999999999999" customHeight="1">
      <x:c r="A29" s="320"/>
      <x:c r="B29" s="54" t="s">
        <x:v>38</x:v>
      </x:c>
      <x:c r="C29" s="277">
        <x:f>3300000/31</x:f>
        <x:v>106451.6129032258</x:v>
      </x:c>
      <x:c r="D29" s="277"/>
      <x:c r="E29" s="54" t="s">
        <x:v>147</x:v>
      </x:c>
      <x:c r="F29" s="263"/>
      <x:c r="G29" s="263"/>
      <x:c r="H29" s="111" t="s">
        <x:v>156</x:v>
      </x:c>
      <x:c r="I29" s="112">
        <x:f>SUM('1:26'!$I$25)</x:f>
        <x:v>524726890</x:v>
      </x:c>
      <x:c r="M29" s="66"/>
    </x:row>
    <x:row r="30" spans="1:13" ht="30.949999999999999" customHeight="1">
      <x:c r="A30" s="320"/>
      <x:c r="B30" s="55" t="s">
        <x:v>28</x:v>
      </x:c>
      <x:c r="C30" s="277">
        <x:f>1500000/31</x:f>
        <x:v>48387.096774193546</x:v>
      </x:c>
      <x:c r="D30" s="277"/>
      <x:c r="E30" s="55"/>
      <x:c r="F30" s="311"/>
      <x:c r="G30" s="312"/>
      <x:c r="H30" s="111" t="s">
        <x:v>67</x:v>
      </x:c>
      <x:c r="I30" s="113">
        <x:f>I29/$I$27</x:f>
        <x:v>827.98196019545969</x:v>
      </x:c>
      <x:c r="M30" s="66"/>
    </x:row>
    <x:row r="31" spans="1:7" customHeight="1">
      <x:c r="A31" s="320"/>
      <x:c r="B31" s="147"/>
      <x:c r="C31" s="309"/>
      <x:c r="D31" s="310"/>
      <x:c r="E31" s="55" t="s">
        <x:v>10</x:v>
      </x:c>
      <x:c r="F31" s="311"/>
      <x:c r="G31" s="312"/>
    </x:row>
    <x:row r="32" spans="1:7" customHeight="1">
      <x:c r="A32" s="320"/>
      <x:c r="B32" s="147"/>
      <x:c r="C32" s="309"/>
      <x:c r="D32" s="310"/>
      <x:c r="E32" s="55" t="s">
        <x:v>79</x:v>
      </x:c>
      <x:c r="F32" s="311">
        <x:v>71000</x:v>
      </x:c>
      <x:c r="G32" s="312"/>
    </x:row>
    <x:row r="33" spans="1:4" customHeight="1">
      <x:c r="A33" s="320"/>
      <x:c r="B33" s="54"/>
      <x:c r="C33" s="309"/>
      <x:c r="D33" s="310"/>
    </x:row>
    <x:row r="34" spans="1:4" customHeight="1">
      <x:c r="A34" s="321"/>
      <x:c r="B34" s="54"/>
      <x:c r="C34" s="311"/>
      <x:c r="D34" s="312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D14:E15"/>
    <x:mergeCell ref="B18:B19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9"/>
  <x:dimension ref="A1:O34"/>
  <x:sheetViews>
    <x:sheetView tabSelected="1" topLeftCell="A1" zoomScale="85" zoomScaleNormal="85" zoomScaleSheetLayoutView="75" workbookViewId="0">
      <x:selection activeCell="G1" activeCellId="0" sqref="G1:G1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122</x:v>
      </x:c>
      <x:c r="D1" s="68"/>
      <x:c r="E1" s="68">
        <x:v>1</x:v>
      </x:c>
      <x:c r="F1" s="68">
        <x:v>27</x:v>
      </x:c>
      <x:c r="G1" s="68" t="s">
        <x:v>25</x:v>
      </x:c>
      <x:c r="H1" s="52" t="s">
        <x:v>96</x:v>
      </x:c>
      <x:c r="I1" s="52">
        <x:f>F1-K1</x:f>
        <x:v>27</x:v>
      </x:c>
      <x:c r="J1" s="52" t="s">
        <x:v>89</x:v>
      </x:c>
      <x:c r="K1" s="52"/>
    </x:row>
    <x:row r="2" spans="1:11" ht="20.100000000000001" customHeight="1">
      <x:c r="A2" s="272" t="s">
        <x:v>50</x:v>
      </x:c>
      <x:c r="B2" s="273"/>
      <x:c r="C2" s="276">
        <x:f>SUM(C4:D7)</x:f>
        <x:v>4553600</x:v>
      </x:c>
      <x:c r="D2" s="276"/>
      <x:c r="E2" s="279" t="s">
        <x:v>20</x:v>
      </x:c>
      <x:c r="F2" s="280"/>
      <x:c r="G2" s="268">
        <x:v>126500</x:v>
      </x:c>
      <x:c r="H2" s="266" t="s">
        <x:v>54</x:v>
      </x:c>
      <x:c r="I2" s="267"/>
      <x:c r="J2" s="264" t="s">
        <x:v>143</x:v>
      </x:c>
      <x:c r="K2" s="265"/>
    </x:row>
    <x:row r="3" spans="1:11" ht="20.100000000000001" customHeight="1">
      <x:c r="A3" s="274"/>
      <x:c r="B3" s="275"/>
      <x:c r="C3" s="277"/>
      <x:c r="D3" s="277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1" ht="30.949999999999999" customHeight="1">
      <x:c r="A4" s="270" t="s">
        <x:v>41</x:v>
      </x:c>
      <x:c r="B4" s="271"/>
      <x:c r="C4" s="263">
        <x:v>4280200</x:v>
      </x:c>
      <x:c r="D4" s="263"/>
      <x:c r="E4" s="278" t="s">
        <x:v>160</x:v>
      </x:c>
      <x:c r="F4" s="278"/>
      <x:c r="G4" s="133">
        <x:f>INT(C4*0.0275)</x:f>
        <x:v>117705</x:v>
      </x:c>
      <x:c r="H4" s="54" t="s">
        <x:v>19</x:v>
      </x:c>
      <x:c r="I4" s="124">
        <x:f>185436+223552+43500</x:f>
        <x:v>452488</x:v>
      </x:c>
      <x:c r="J4" s="80" t="s">
        <x:v>24</x:v>
      </x:c>
      <x:c r="K4" s="58">
        <x:v>148000</x:v>
      </x:c>
    </x:row>
    <x:row r="5" spans="1:11" ht="30.949999999999999" customHeight="1">
      <x:c r="A5" s="270" t="s">
        <x:v>52</x:v>
      </x:c>
      <x:c r="B5" s="271"/>
      <x:c r="C5" s="263">
        <x:v>273400</x:v>
      </x:c>
      <x:c r="D5" s="263"/>
      <x:c r="E5" s="262" t="s">
        <x:v>136</x:v>
      </x:c>
      <x:c r="F5" s="262"/>
      <x:c r="G5" s="133">
        <x:f>INT(C5*0.01)</x:f>
        <x:v>2734</x:v>
      </x:c>
      <x:c r="H5" s="54" t="s">
        <x:v>54</x:v>
      </x:c>
      <x:c r="I5" s="124">
        <x:f>46900+50000+5320+12910+18710</x:f>
        <x:v>133840</x:v>
      </x:c>
      <x:c r="J5" s="81"/>
      <x:c r="K5" s="58"/>
    </x:row>
    <x:row r="6" spans="1:11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260000</x:v>
      </x:c>
      <x:c r="H6" s="54"/>
      <x:c r="I6" s="124"/>
      <x:c r="J6" s="81" t="s">
        <x:v>99</x:v>
      </x:c>
      <x:c r="K6" s="58"/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4">
        <x:v>114500</x:v>
      </x:c>
      <x:c r="J7" s="81" t="s">
        <x:v>106</x:v>
      </x:c>
      <x:c r="K7" s="58"/>
    </x:row>
    <x:row r="8" spans="1:11" ht="21.949999999999999" customHeight="1">
      <x:c r="A8" s="261" t="s">
        <x:v>98</x:v>
      </x:c>
      <x:c r="B8" s="262"/>
      <x:c r="C8" s="263">
        <x:v>139400</x:v>
      </x:c>
      <x:c r="D8" s="263"/>
      <x:c r="E8" s="289" t="s">
        <x:v>114</x:v>
      </x:c>
      <x:c r="F8" s="290"/>
      <x:c r="G8" s="295">
        <x:f>C5+G2-G6-C22</x:f>
        <x:v>139900</x:v>
      </x:c>
      <x:c r="H8" s="54" t="s">
        <x:v>14</x:v>
      </x:c>
      <x:c r="I8" s="124"/>
      <x:c r="J8" s="81"/>
      <x:c r="K8" s="58"/>
    </x:row>
    <x:row r="9" spans="1:11" ht="21.949999999999999" customHeight="1">
      <x:c r="A9" s="261"/>
      <x:c r="B9" s="262"/>
      <x:c r="C9" s="263"/>
      <x:c r="D9" s="263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30.949999999999999" customHeight="1">
      <x:c r="A10" s="261" t="s">
        <x:v>120</x:v>
      </x:c>
      <x:c r="B10" s="262"/>
      <x:c r="C10" s="263"/>
      <x:c r="D10" s="263"/>
      <x:c r="E10" s="262" t="s">
        <x:v>101</x:v>
      </x:c>
      <x:c r="F10" s="262"/>
      <x:c r="G10" s="55"/>
      <x:c r="H10" s="54"/>
      <x:c r="I10" s="124"/>
      <x:c r="J10" s="54" t="s">
        <x:v>23</x:v>
      </x:c>
      <x:c r="K10" s="58"/>
    </x:row>
    <x:row r="11" spans="1:11" ht="33" customHeight="1">
      <x:c r="A11" s="261" t="s">
        <x:v>115</x:v>
      </x:c>
      <x:c r="B11" s="262"/>
      <x:c r="C11" s="301"/>
      <x:c r="D11" s="301"/>
      <x:c r="E11" s="301"/>
      <x:c r="F11" s="301"/>
      <x:c r="G11" s="301"/>
      <x:c r="H11" s="54" t="s">
        <x:v>151</x:v>
      </x:c>
      <x:c r="I11" s="58"/>
      <x:c r="J11" s="54" t="s">
        <x:v>125</x:v>
      </x:c>
      <x:c r="K11" s="135"/>
    </x:row>
    <x:row r="12" spans="1:13" ht="21.949999999999999" customHeight="1">
      <x:c r="A12" s="59" t="s">
        <x:v>21</x:v>
      </x:c>
      <x:c r="B12" s="299" t="s">
        <x:v>8</x:v>
      </x:c>
      <x:c r="C12" s="79">
        <x:v>6</x:v>
      </x:c>
      <x:c r="D12" s="289" t="s">
        <x:v>83</x:v>
      </x:c>
      <x:c r="E12" s="290"/>
      <x:c r="F12" s="293">
        <x:v>33</x:v>
      </x:c>
      <x:c r="G12" s="294"/>
      <x:c r="H12" s="54" t="s">
        <x:v>58</x:v>
      </x:c>
      <x:c r="I12" s="58">
        <x:v>53400</x:v>
      </x:c>
      <x:c r="J12" s="54"/>
      <x:c r="K12" s="58"/>
      <x:c r="L12" s="60"/>
      <x:c r="M12" s="11"/>
    </x:row>
    <x:row r="13" spans="1:13" ht="21.949999999999999" customHeight="1">
      <x:c r="A13" s="59" t="s">
        <x:v>56</x:v>
      </x:c>
      <x:c r="B13" s="300"/>
      <x:c r="C13" s="134">
        <x:f>SUM('1:27'!$C$12)</x:f>
        <x:v>398</x:v>
      </x:c>
      <x:c r="D13" s="281"/>
      <x:c r="E13" s="282"/>
      <x:c r="F13" s="291">
        <x:f>SUM('1:27'!$F$12)</x:f>
        <x:v>548</x:v>
      </x:c>
      <x:c r="G13" s="292"/>
      <x:c r="H13" s="54" t="s">
        <x:v>92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21</x:v>
      </x:c>
      <x:c r="B14" s="299" t="s">
        <x:v>84</x:v>
      </x:c>
      <x:c r="C14" s="79">
        <x:v>27</x:v>
      </x:c>
      <x:c r="D14" s="289" t="s">
        <x:v>73</x:v>
      </x:c>
      <x:c r="E14" s="290"/>
      <x:c r="F14" s="293">
        <x:v>16</x:v>
      </x:c>
      <x:c r="G14" s="294"/>
      <x:c r="H14" s="54" t="s">
        <x:v>61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56</x:v>
      </x:c>
      <x:c r="B15" s="300"/>
      <x:c r="C15" s="134">
        <x:f>SUM('1:27'!$C$14)</x:f>
        <x:v>635</x:v>
      </x:c>
      <x:c r="D15" s="281"/>
      <x:c r="E15" s="282"/>
      <x:c r="F15" s="291">
        <x:f>SUM('1:27'!$F$14)</x:f>
        <x:v>365</x:v>
      </x:c>
      <x:c r="G15" s="292"/>
      <x:c r="H15" s="54" t="s">
        <x:v>64</x:v>
      </x:c>
      <x:c r="I15" s="58">
        <x:v>131400</x:v>
      </x:c>
      <x:c r="J15" s="54" t="s">
        <x:v>143</x:v>
      </x:c>
      <x:c r="K15" s="58"/>
      <x:c r="L15" s="60"/>
      <x:c r="M15" s="11"/>
    </x:row>
    <x:row r="16" spans="1:13" ht="21.949999999999999" customHeight="1">
      <x:c r="A16" s="59" t="s">
        <x:v>21</x:v>
      </x:c>
      <x:c r="B16" s="299" t="s">
        <x:v>51</x:v>
      </x:c>
      <x:c r="C16" s="79">
        <x:v>9</x:v>
      </x:c>
      <x:c r="D16" s="289" t="s">
        <x:v>81</x:v>
      </x:c>
      <x:c r="E16" s="290"/>
      <x:c r="F16" s="287">
        <x:v>5</x:v>
      </x:c>
      <x:c r="G16" s="287"/>
      <x:c r="H16" s="54"/>
      <x:c r="I16" s="58"/>
      <x:c r="J16" s="54" t="s">
        <x:v>105</x:v>
      </x:c>
      <x:c r="K16" s="58"/>
      <x:c r="L16" s="60"/>
      <x:c r="M16" s="11"/>
    </x:row>
    <x:row r="17" spans="1:13" ht="21.949999999999999" customHeight="1">
      <x:c r="A17" s="59" t="s">
        <x:v>56</x:v>
      </x:c>
      <x:c r="B17" s="300"/>
      <x:c r="C17" s="134">
        <x:f>SUM('1:27'!$C$16)</x:f>
        <x:v>143</x:v>
      </x:c>
      <x:c r="D17" s="281"/>
      <x:c r="E17" s="282"/>
      <x:c r="F17" s="288">
        <x:f>SUM('1:27'!$F$16)</x:f>
        <x:v>319</x:v>
      </x:c>
      <x:c r="G17" s="288"/>
      <x:c r="H17" s="54" t="s">
        <x:v>18</x:v>
      </x:c>
      <x:c r="I17" s="58"/>
      <x:c r="J17" s="54" t="s">
        <x:v>97</x:v>
      </x:c>
      <x:c r="K17" s="58"/>
      <x:c r="L17" s="60"/>
      <x:c r="M17" s="11"/>
    </x:row>
    <x:row r="18" spans="1:13" ht="21.949999999999999" customHeight="1">
      <x:c r="A18" s="59" t="s">
        <x:v>21</x:v>
      </x:c>
      <x:c r="B18" s="299" t="s">
        <x:v>107</x:v>
      </x:c>
      <x:c r="C18" s="79"/>
      <x:c r="D18" s="289" t="s">
        <x:v>29</x:v>
      </x:c>
      <x:c r="E18" s="290"/>
      <x:c r="F18" s="297">
        <x:v>2</x:v>
      </x:c>
      <x:c r="G18" s="29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56</x:v>
      </x:c>
      <x:c r="B19" s="300"/>
      <x:c r="C19" s="134">
        <x:f>SUM('1:27'!$C$18)</x:f>
        <x:v>749</x:v>
      </x:c>
      <x:c r="D19" s="281"/>
      <x:c r="E19" s="282"/>
      <x:c r="F19" s="288">
        <x:f>SUM('1:27'!$F$18)</x:f>
        <x:v>77</x:v>
      </x:c>
      <x:c r="G19" s="288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108</x:v>
      </x:c>
      <x:c r="E20" s="262"/>
      <x:c r="F20" s="287">
        <x:v>41</x:v>
      </x:c>
      <x:c r="G20" s="287"/>
      <x:c r="H20" s="58"/>
      <x:c r="J20" s="54"/>
      <x:c r="K20" s="58"/>
      <x:c r="L20" s="60"/>
      <x:c r="M20" s="11"/>
    </x:row>
    <x:row r="21" spans="4:13" ht="21.949999999999999" customHeight="1">
      <x:c r="D21" s="262" t="s">
        <x:v>128</x:v>
      </x:c>
      <x:c r="E21" s="262"/>
      <x:c r="F21" s="288">
        <x:f>SUM('1:27'!$F$20)</x:f>
        <x:v>1441</x:v>
      </x:c>
      <x:c r="G21" s="288"/>
      <x:c r="H21" s="58"/>
      <x:c r="J21" s="54"/>
      <x:c r="K21" s="58"/>
      <x:c r="L21" s="60"/>
      <x:c r="M21" s="11"/>
    </x:row>
    <x:row r="22" spans="1:13" ht="32.100000000000001" customHeight="1">
      <x:c r="A22" s="261" t="s">
        <x:v>121</x:v>
      </x:c>
      <x:c r="B22" s="262"/>
      <x:c r="C22" s="286"/>
      <x:c r="D22" s="286"/>
      <x:c r="E22" s="286"/>
      <x:c r="F22" s="286"/>
      <x:c r="G22" s="286"/>
      <x:c r="H22" s="54"/>
      <x:c r="J22" s="54"/>
      <x:c r="K22" s="58"/>
      <x:c r="L22" s="60"/>
      <x:c r="M22" s="11"/>
    </x:row>
    <x:row r="23" spans="1:15" ht="34.149999999999999" customHeight="1">
      <x:c r="A23" s="261" t="s">
        <x:v>59</x:v>
      </x:c>
      <x:c r="B23" s="262"/>
      <x:c r="C23" s="317"/>
      <x:c r="D23" s="318"/>
      <x:c r="E23" s="318"/>
      <x:c r="F23" s="318"/>
      <x:c r="G23" s="318"/>
      <x:c r="H23" s="107" t="s">
        <x:v>95</x:v>
      </x:c>
      <x:c r="I23" s="108">
        <x:f>SUM(I4:I22)</x:f>
        <x:v>885628</x:v>
      </x:c>
      <x:c r="J23" s="61" t="s">
        <x:v>70</x:v>
      </x:c>
      <x:c r="K23" s="62">
        <x:f>SUM(K4:K22)</x:f>
        <x:v>148000</x:v>
      </x:c>
      <x:c r="M23" s="88" t="s">
        <x:v>102</x:v>
      </x:c>
      <x:c r="N23" s="284">
        <x:f>C5+C6</x:f>
        <x:v>273400</x:v>
      </x:c>
      <x:c r="O23" s="285"/>
    </x:row>
    <x:row r="24" spans="1:11" ht="34.149999999999999" customHeight="1">
      <x:c r="A24" s="261" t="s">
        <x:v>152</x:v>
      </x:c>
      <x:c r="B24" s="262"/>
      <x:c r="C24" s="262" t="s">
        <x:v>86</x:v>
      </x:c>
      <x:c r="D24" s="262"/>
      <x:c r="E24" s="262" t="s">
        <x:v>62</x:v>
      </x:c>
      <x:c r="F24" s="262"/>
      <x:c r="G24" s="262"/>
      <x:c r="H24" s="107" t="s">
        <x:v>152</x:v>
      </x:c>
      <x:c r="I24" s="109">
        <x:f>I23/A25</x:f>
        <x:v>0.19448963457484189</x:v>
      </x:c>
      <x:c r="J24" s="61" t="s">
        <x:v>152</x:v>
      </x:c>
      <x:c r="K24" s="63">
        <x:f>K23/A25</x:f>
        <x:v>0.032501756851721714</x:v>
      </x:c>
    </x:row>
    <x:row r="25" spans="1:11" ht="34.149999999999999" customHeight="1">
      <x:c r="A25" s="313">
        <x:f>C2</x:f>
        <x:v>4553600</x:v>
      </x:c>
      <x:c r="B25" s="277"/>
      <x:c r="C25" s="277">
        <x:f>E25/I1</x:f>
        <x:v>4163392.5925925928</x:v>
      </x:c>
      <x:c r="D25" s="277"/>
      <x:c r="E25" s="277">
        <x:f>SUM('1:27'!$A$25)</x:f>
        <x:v>112411600</x:v>
      </x:c>
      <x:c r="F25" s="277"/>
      <x:c r="G25" s="277"/>
      <x:c r="H25" s="107" t="s">
        <x:v>156</x:v>
      </x:c>
      <x:c r="I25" s="108">
        <x:f>SUM('1:27'!$I$23)</x:f>
        <x:v>40320038</x:v>
      </x:c>
      <x:c r="J25" s="61" t="s">
        <x:v>156</x:v>
      </x:c>
      <x:c r="K25" s="62">
        <x:f>SUM('1:27'!$K$21)</x:f>
        <x:v>0</x:v>
      </x:c>
    </x:row>
    <x:row r="26" spans="1:11" ht="34.149999999999999" customHeight="1">
      <x:c r="A26" s="261" t="s">
        <x:v>68</x:v>
      </x:c>
      <x:c r="B26" s="262"/>
      <x:c r="C26" s="262"/>
      <x:c r="D26" s="262"/>
      <x:c r="E26" s="263"/>
      <x:c r="F26" s="263"/>
      <x:c r="G26" s="263"/>
      <x:c r="H26" s="107" t="s">
        <x:v>67</x:v>
      </x:c>
      <x:c r="I26" s="110">
        <x:f>I25/$E$25</x:f>
        <x:v>0.35868218226588716</x:v>
      </x:c>
      <x:c r="J26" s="64" t="s">
        <x:v>67</x:v>
      </x:c>
      <x:c r="K26" s="65">
        <x:f>K25/$E$25</x:f>
        <x:v>0</x:v>
      </x:c>
    </x:row>
    <x:row r="27" spans="1:13" ht="30.949999999999999" customHeight="1">
      <x:c r="A27" s="319" t="s">
        <x:v>113</x:v>
      </x:c>
      <x:c r="B27" s="54" t="s">
        <x:v>17</x:v>
      </x:c>
      <x:c r="C27" s="277">
        <x:f>3300000/31</x:f>
        <x:v>106451.6129032258</x:v>
      </x:c>
      <x:c r="D27" s="277"/>
      <x:c r="E27" s="55" t="s">
        <x:v>12</x:v>
      </x:c>
      <x:c r="F27" s="263">
        <x:f>13000*5</x:f>
        <x:v>65000</x:v>
      </x:c>
      <x:c r="G27" s="263"/>
      <x:c r="H27" s="111" t="s">
        <x:v>69</x:v>
      </x:c>
      <x:c r="I27" s="112">
        <x:f>SUM(C27:D34,F27:G32)</x:f>
        <x:v>633741.93548387091</x:v>
      </x:c>
      <x:c r="M27" s="66"/>
    </x:row>
    <x:row r="28" spans="1:13" ht="30.949999999999999" customHeight="1">
      <x:c r="A28" s="320"/>
      <x:c r="B28" s="54" t="s">
        <x:v>161</x:v>
      </x:c>
      <x:c r="C28" s="314">
        <x:f>3300000/31</x:f>
        <x:v>106451.6129032258</x:v>
      </x:c>
      <x:c r="D28" s="315"/>
      <x:c r="E28" s="148" t="s">
        <x:v>37</x:v>
      </x:c>
      <x:c r="F28" s="316">
        <x:f>13000*10</x:f>
        <x:v>130000</x:v>
      </x:c>
      <x:c r="G28" s="316"/>
      <x:c r="H28" s="111" t="s">
        <x:v>152</x:v>
      </x:c>
      <x:c r="I28" s="113">
        <x:f>I27/$A$25</x:f>
        <x:v>0.13917382630970462</x:v>
      </x:c>
      <x:c r="M28" s="66"/>
    </x:row>
    <x:row r="29" spans="1:13" ht="30.949999999999999" customHeight="1">
      <x:c r="A29" s="320"/>
      <x:c r="B29" s="54" t="s">
        <x:v>38</x:v>
      </x:c>
      <x:c r="C29" s="277">
        <x:f>3300000/31</x:f>
        <x:v>106451.6129032258</x:v>
      </x:c>
      <x:c r="D29" s="277"/>
      <x:c r="E29" s="54" t="s">
        <x:v>147</x:v>
      </x:c>
      <x:c r="F29" s="263"/>
      <x:c r="G29" s="263"/>
      <x:c r="H29" s="111" t="s">
        <x:v>156</x:v>
      </x:c>
      <x:c r="I29" s="112">
        <x:f>SUM('1:27'!$I$25)</x:f>
        <x:v>565046928</x:v>
      </x:c>
      <x:c r="M29" s="66"/>
    </x:row>
    <x:row r="30" spans="1:13" ht="30.949999999999999" customHeight="1">
      <x:c r="A30" s="320"/>
      <x:c r="B30" s="55" t="s">
        <x:v>28</x:v>
      </x:c>
      <x:c r="C30" s="277">
        <x:f>1500000/31</x:f>
        <x:v>48387.096774193546</x:v>
      </x:c>
      <x:c r="D30" s="277"/>
      <x:c r="E30" s="55"/>
      <x:c r="F30" s="311"/>
      <x:c r="G30" s="312"/>
      <x:c r="H30" s="111" t="s">
        <x:v>67</x:v>
      </x:c>
      <x:c r="I30" s="113">
        <x:f>I29/$I$27</x:f>
        <x:v>891.60413152804654</x:v>
      </x:c>
      <x:c r="M30" s="66"/>
    </x:row>
    <x:row r="31" spans="1:7" customHeight="1">
      <x:c r="A31" s="320"/>
      <x:c r="B31" s="147"/>
      <x:c r="C31" s="309"/>
      <x:c r="D31" s="310"/>
      <x:c r="E31" s="55" t="s">
        <x:v>10</x:v>
      </x:c>
      <x:c r="F31" s="311"/>
      <x:c r="G31" s="312"/>
    </x:row>
    <x:row r="32" spans="1:7" customHeight="1">
      <x:c r="A32" s="320"/>
      <x:c r="B32" s="147"/>
      <x:c r="C32" s="309"/>
      <x:c r="D32" s="310"/>
      <x:c r="E32" s="55" t="s">
        <x:v>79</x:v>
      </x:c>
      <x:c r="F32" s="311">
        <x:v>71000</x:v>
      </x:c>
      <x:c r="G32" s="312"/>
    </x:row>
    <x:row r="33" spans="1:4" customHeight="1">
      <x:c r="A33" s="320"/>
      <x:c r="B33" s="54"/>
      <x:c r="C33" s="309"/>
      <x:c r="D33" s="310"/>
    </x:row>
    <x:row r="34" spans="1:4" customHeight="1">
      <x:c r="A34" s="321"/>
      <x:c r="B34" s="54"/>
      <x:c r="C34" s="311"/>
      <x:c r="D34" s="312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D14:E15"/>
    <x:mergeCell ref="B18:B19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0"/>
  <x:dimension ref="A1:O34"/>
  <x:sheetViews>
    <x:sheetView tabSelected="1" topLeftCell="A1" zoomScale="85" zoomScaleNormal="85" zoomScaleSheetLayoutView="75" workbookViewId="0">
      <x:selection activeCell="G4" activeCellId="0" sqref="G4:G4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122</x:v>
      </x:c>
      <x:c r="D1" s="68"/>
      <x:c r="E1" s="68">
        <x:v>1</x:v>
      </x:c>
      <x:c r="F1" s="68">
        <x:v>28</x:v>
      </x:c>
      <x:c r="G1" s="68" t="s">
        <x:v>33</x:v>
      </x:c>
      <x:c r="H1" s="52" t="s">
        <x:v>96</x:v>
      </x:c>
      <x:c r="I1" s="52">
        <x:f>F1-K1</x:f>
        <x:v>28</x:v>
      </x:c>
      <x:c r="J1" s="52" t="s">
        <x:v>89</x:v>
      </x:c>
      <x:c r="K1" s="52"/>
    </x:row>
    <x:row r="2" spans="1:11" ht="20.100000000000001" customHeight="1">
      <x:c r="A2" s="272" t="s">
        <x:v>50</x:v>
      </x:c>
      <x:c r="B2" s="273"/>
      <x:c r="C2" s="276">
        <x:f>SUM(C4:D7)</x:f>
        <x:v>4581800</x:v>
      </x:c>
      <x:c r="D2" s="276"/>
      <x:c r="E2" s="279" t="s">
        <x:v>20</x:v>
      </x:c>
      <x:c r="F2" s="280"/>
      <x:c r="G2" s="268">
        <x:v>139400</x:v>
      </x:c>
      <x:c r="H2" s="266" t="s">
        <x:v>54</x:v>
      </x:c>
      <x:c r="I2" s="267"/>
      <x:c r="J2" s="264" t="s">
        <x:v>143</x:v>
      </x:c>
      <x:c r="K2" s="265"/>
    </x:row>
    <x:row r="3" spans="1:11" ht="20.100000000000001" customHeight="1">
      <x:c r="A3" s="274"/>
      <x:c r="B3" s="275"/>
      <x:c r="C3" s="277"/>
      <x:c r="D3" s="277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1" ht="30.949999999999999" customHeight="1">
      <x:c r="A4" s="270" t="s">
        <x:v>41</x:v>
      </x:c>
      <x:c r="B4" s="271"/>
      <x:c r="C4" s="263">
        <x:v>4323800</x:v>
      </x:c>
      <x:c r="D4" s="263"/>
      <x:c r="E4" s="278" t="s">
        <x:v>160</x:v>
      </x:c>
      <x:c r="F4" s="278"/>
      <x:c r="G4" s="133">
        <x:f>INT(C4*0.0275)</x:f>
        <x:v>118904</x:v>
      </x:c>
      <x:c r="H4" s="54" t="s">
        <x:v>19</x:v>
      </x:c>
      <x:c r="I4" s="124">
        <x:f>352434-60684</x:f>
        <x:v>291750</x:v>
      </x:c>
      <x:c r="J4" s="80" t="s">
        <x:v>24</x:v>
      </x:c>
      <x:c r="K4" s="58"/>
    </x:row>
    <x:row r="5" spans="1:11" ht="30.949999999999999" customHeight="1">
      <x:c r="A5" s="270" t="s">
        <x:v>52</x:v>
      </x:c>
      <x:c r="B5" s="271"/>
      <x:c r="C5" s="263">
        <x:v>258000</x:v>
      </x:c>
      <x:c r="D5" s="263"/>
      <x:c r="E5" s="262" t="s">
        <x:v>136</x:v>
      </x:c>
      <x:c r="F5" s="262"/>
      <x:c r="G5" s="133">
        <x:f>INT(C5*0.01)</x:f>
        <x:v>2580</x:v>
      </x:c>
      <x:c r="H5" s="54" t="s">
        <x:v>54</x:v>
      </x:c>
      <x:c r="I5" s="124">
        <x:f>18710+24720+12910+46900+44000</x:f>
        <x:v>147240</x:v>
      </x:c>
      <x:c r="J5" s="81"/>
      <x:c r="K5" s="58"/>
    </x:row>
    <x:row r="6" spans="1:11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280000</x:v>
      </x:c>
      <x:c r="H6" s="54"/>
      <x:c r="I6" s="124"/>
      <x:c r="J6" s="81" t="s">
        <x:v>99</x:v>
      </x:c>
      <x:c r="K6" s="58"/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4"/>
      <x:c r="J7" s="81" t="s">
        <x:v>106</x:v>
      </x:c>
      <x:c r="K7" s="58"/>
    </x:row>
    <x:row r="8" spans="1:11" ht="21.949999999999999" customHeight="1">
      <x:c r="A8" s="261" t="s">
        <x:v>98</x:v>
      </x:c>
      <x:c r="B8" s="262"/>
      <x:c r="C8" s="263">
        <x:v>117900</x:v>
      </x:c>
      <x:c r="D8" s="263"/>
      <x:c r="E8" s="289" t="s">
        <x:v>114</x:v>
      </x:c>
      <x:c r="F8" s="290"/>
      <x:c r="G8" s="295">
        <x:f>C5+G2-G6-C22</x:f>
        <x:v>117400</x:v>
      </x:c>
      <x:c r="H8" s="54" t="s">
        <x:v>14</x:v>
      </x:c>
      <x:c r="I8" s="124">
        <x:v>65000</x:v>
      </x:c>
      <x:c r="J8" s="81"/>
      <x:c r="K8" s="58"/>
    </x:row>
    <x:row r="9" spans="1:11" ht="21.949999999999999" customHeight="1">
      <x:c r="A9" s="261"/>
      <x:c r="B9" s="262"/>
      <x:c r="C9" s="263"/>
      <x:c r="D9" s="263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30.949999999999999" customHeight="1">
      <x:c r="A10" s="261" t="s">
        <x:v>120</x:v>
      </x:c>
      <x:c r="B10" s="262"/>
      <x:c r="C10" s="263">
        <x:v>63500</x:v>
      </x:c>
      <x:c r="D10" s="263"/>
      <x:c r="E10" s="262" t="s">
        <x:v>101</x:v>
      </x:c>
      <x:c r="F10" s="262"/>
      <x:c r="G10" s="55"/>
      <x:c r="H10" s="54"/>
      <x:c r="I10" s="124"/>
      <x:c r="J10" s="54" t="s">
        <x:v>23</x:v>
      </x:c>
      <x:c r="K10" s="58"/>
    </x:row>
    <x:row r="11" spans="1:11" ht="33" customHeight="1">
      <x:c r="A11" s="261" t="s">
        <x:v>115</x:v>
      </x:c>
      <x:c r="B11" s="262"/>
      <x:c r="C11" s="301" t="s">
        <x:v>141</x:v>
      </x:c>
      <x:c r="D11" s="301"/>
      <x:c r="E11" s="301"/>
      <x:c r="F11" s="301"/>
      <x:c r="G11" s="301"/>
      <x:c r="H11" s="54" t="s">
        <x:v>151</x:v>
      </x:c>
      <x:c r="I11" s="58"/>
      <x:c r="J11" s="54" t="s">
        <x:v>125</x:v>
      </x:c>
      <x:c r="K11" s="135"/>
    </x:row>
    <x:row r="12" spans="1:13" ht="21.949999999999999" customHeight="1">
      <x:c r="A12" s="59" t="s">
        <x:v>21</x:v>
      </x:c>
      <x:c r="B12" s="299" t="s">
        <x:v>8</x:v>
      </x:c>
      <x:c r="C12" s="79">
        <x:v>12</x:v>
      </x:c>
      <x:c r="D12" s="289" t="s">
        <x:v>83</x:v>
      </x:c>
      <x:c r="E12" s="290"/>
      <x:c r="F12" s="293">
        <x:v>17</x:v>
      </x:c>
      <x:c r="G12" s="294"/>
      <x:c r="H12" s="54" t="s">
        <x:v>58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56</x:v>
      </x:c>
      <x:c r="B13" s="300"/>
      <x:c r="C13" s="134">
        <x:f>SUM('1:28'!$C$12)</x:f>
        <x:v>410</x:v>
      </x:c>
      <x:c r="D13" s="281"/>
      <x:c r="E13" s="282"/>
      <x:c r="F13" s="291">
        <x:f>SUM('1:28'!$F$12)</x:f>
        <x:v>565</x:v>
      </x:c>
      <x:c r="G13" s="292"/>
      <x:c r="H13" s="54" t="s">
        <x:v>92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21</x:v>
      </x:c>
      <x:c r="B14" s="299" t="s">
        <x:v>84</x:v>
      </x:c>
      <x:c r="C14" s="79">
        <x:v>18</x:v>
      </x:c>
      <x:c r="D14" s="289" t="s">
        <x:v>73</x:v>
      </x:c>
      <x:c r="E14" s="290"/>
      <x:c r="F14" s="293">
        <x:v>20</x:v>
      </x:c>
      <x:c r="G14" s="294"/>
      <x:c r="H14" s="54" t="s">
        <x:v>61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56</x:v>
      </x:c>
      <x:c r="B15" s="300"/>
      <x:c r="C15" s="134">
        <x:f>SUM('1:28'!$C$14)</x:f>
        <x:v>653</x:v>
      </x:c>
      <x:c r="D15" s="281"/>
      <x:c r="E15" s="282"/>
      <x:c r="F15" s="291">
        <x:f>SUM('1:28'!$F$14)</x:f>
        <x:v>385</x:v>
      </x:c>
      <x:c r="G15" s="292"/>
      <x:c r="H15" s="54" t="s">
        <x:v>64</x:v>
      </x:c>
      <x:c r="I15" s="58">
        <x:f>9600+3500+34000</x:f>
        <x:v>47100</x:v>
      </x:c>
      <x:c r="J15" s="54" t="s">
        <x:v>143</x:v>
      </x:c>
      <x:c r="K15" s="58"/>
      <x:c r="L15" s="60"/>
      <x:c r="M15" s="11"/>
    </x:row>
    <x:row r="16" spans="1:13" ht="21.949999999999999" customHeight="1">
      <x:c r="A16" s="59" t="s">
        <x:v>21</x:v>
      </x:c>
      <x:c r="B16" s="299" t="s">
        <x:v>51</x:v>
      </x:c>
      <x:c r="C16" s="79">
        <x:v>5</x:v>
      </x:c>
      <x:c r="D16" s="289" t="s">
        <x:v>81</x:v>
      </x:c>
      <x:c r="E16" s="290"/>
      <x:c r="F16" s="287">
        <x:v>12</x:v>
      </x:c>
      <x:c r="G16" s="287"/>
      <x:c r="H16" s="54"/>
      <x:c r="I16" s="58"/>
      <x:c r="J16" s="54" t="s">
        <x:v>105</x:v>
      </x:c>
      <x:c r="K16" s="58">
        <x:v>135351</x:v>
      </x:c>
      <x:c r="L16" s="60"/>
      <x:c r="M16" s="11"/>
    </x:row>
    <x:row r="17" spans="1:13" ht="21.949999999999999" customHeight="1">
      <x:c r="A17" s="59" t="s">
        <x:v>56</x:v>
      </x:c>
      <x:c r="B17" s="300"/>
      <x:c r="C17" s="134">
        <x:f>SUM('1:28'!$C$16)</x:f>
        <x:v>148</x:v>
      </x:c>
      <x:c r="D17" s="281"/>
      <x:c r="E17" s="282"/>
      <x:c r="F17" s="288">
        <x:f>SUM('1:28'!$F$16)</x:f>
        <x:v>331</x:v>
      </x:c>
      <x:c r="G17" s="288"/>
      <x:c r="H17" s="54" t="s">
        <x:v>18</x:v>
      </x:c>
      <x:c r="I17" s="58">
        <x:v>4800</x:v>
      </x:c>
      <x:c r="J17" s="54" t="s">
        <x:v>97</x:v>
      </x:c>
      <x:c r="K17" s="58"/>
      <x:c r="L17" s="60"/>
      <x:c r="M17" s="11"/>
    </x:row>
    <x:row r="18" spans="1:13" ht="21.949999999999999" customHeight="1">
      <x:c r="A18" s="59" t="s">
        <x:v>21</x:v>
      </x:c>
      <x:c r="B18" s="299" t="s">
        <x:v>107</x:v>
      </x:c>
      <x:c r="C18" s="79">
        <x:v>31</x:v>
      </x:c>
      <x:c r="D18" s="289" t="s">
        <x:v>29</x:v>
      </x:c>
      <x:c r="E18" s="290"/>
      <x:c r="F18" s="297">
        <x:v>6</x:v>
      </x:c>
      <x:c r="G18" s="29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56</x:v>
      </x:c>
      <x:c r="B19" s="300"/>
      <x:c r="C19" s="134">
        <x:f>SUM('1:28'!$C$18)</x:f>
        <x:v>780</x:v>
      </x:c>
      <x:c r="D19" s="281"/>
      <x:c r="E19" s="282"/>
      <x:c r="F19" s="288">
        <x:f>SUM('1:28'!$F$18)</x:f>
        <x:v>83</x:v>
      </x:c>
      <x:c r="G19" s="288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108</x:v>
      </x:c>
      <x:c r="E20" s="262"/>
      <x:c r="F20" s="287">
        <x:v>59</x:v>
      </x:c>
      <x:c r="G20" s="287"/>
      <x:c r="H20" s="58"/>
      <x:c r="J20" s="54"/>
      <x:c r="K20" s="58"/>
      <x:c r="L20" s="60"/>
      <x:c r="M20" s="11"/>
    </x:row>
    <x:row r="21" spans="4:13" ht="21.949999999999999" customHeight="1">
      <x:c r="D21" s="262" t="s">
        <x:v>128</x:v>
      </x:c>
      <x:c r="E21" s="262"/>
      <x:c r="F21" s="288">
        <x:f>SUM('1:28'!$F$20)</x:f>
        <x:v>1500</x:v>
      </x:c>
      <x:c r="G21" s="288"/>
      <x:c r="H21" s="58"/>
      <x:c r="J21" s="54"/>
      <x:c r="K21" s="58"/>
      <x:c r="L21" s="60"/>
      <x:c r="M21" s="11"/>
    </x:row>
    <x:row r="22" spans="1:13" ht="32.100000000000001" customHeight="1">
      <x:c r="A22" s="261" t="s">
        <x:v>121</x:v>
      </x:c>
      <x:c r="B22" s="262"/>
      <x:c r="C22" s="286"/>
      <x:c r="D22" s="286"/>
      <x:c r="E22" s="286"/>
      <x:c r="F22" s="286"/>
      <x:c r="G22" s="286"/>
      <x:c r="H22" s="54"/>
      <x:c r="J22" s="54"/>
      <x:c r="K22" s="58"/>
      <x:c r="L22" s="60"/>
      <x:c r="M22" s="11"/>
    </x:row>
    <x:row r="23" spans="1:15" ht="34.149999999999999" customHeight="1">
      <x:c r="A23" s="261" t="s">
        <x:v>59</x:v>
      </x:c>
      <x:c r="B23" s="262"/>
      <x:c r="C23" s="317"/>
      <x:c r="D23" s="318"/>
      <x:c r="E23" s="318"/>
      <x:c r="F23" s="318"/>
      <x:c r="G23" s="318"/>
      <x:c r="H23" s="107" t="s">
        <x:v>95</x:v>
      </x:c>
      <x:c r="I23" s="108">
        <x:f>SUM(I4:I22)</x:f>
        <x:v>555890</x:v>
      </x:c>
      <x:c r="J23" s="61" t="s">
        <x:v>70</x:v>
      </x:c>
      <x:c r="K23" s="62">
        <x:f>SUM(K4:K22)</x:f>
        <x:v>135351</x:v>
      </x:c>
      <x:c r="M23" s="88" t="s">
        <x:v>102</x:v>
      </x:c>
      <x:c r="N23" s="284">
        <x:f>C5+C6</x:f>
        <x:v>258000</x:v>
      </x:c>
      <x:c r="O23" s="285"/>
    </x:row>
    <x:row r="24" spans="1:11" ht="34.149999999999999" customHeight="1">
      <x:c r="A24" s="261" t="s">
        <x:v>152</x:v>
      </x:c>
      <x:c r="B24" s="262"/>
      <x:c r="C24" s="262" t="s">
        <x:v>86</x:v>
      </x:c>
      <x:c r="D24" s="262"/>
      <x:c r="E24" s="262" t="s">
        <x:v>62</x:v>
      </x:c>
      <x:c r="F24" s="262"/>
      <x:c r="G24" s="262"/>
      <x:c r="H24" s="107" t="s">
        <x:v>152</x:v>
      </x:c>
      <x:c r="I24" s="109">
        <x:f>I23/A25</x:f>
        <x:v>0.12132567986380899</x:v>
      </x:c>
      <x:c r="J24" s="61" t="s">
        <x:v>152</x:v>
      </x:c>
      <x:c r="K24" s="63">
        <x:f>K23/A25</x:f>
        <x:v>0.029541010083373346</x:v>
      </x:c>
    </x:row>
    <x:row r="25" spans="1:11" ht="34.149999999999999" customHeight="1">
      <x:c r="A25" s="313">
        <x:f>C2</x:f>
        <x:v>4581800</x:v>
      </x:c>
      <x:c r="B25" s="277"/>
      <x:c r="C25" s="277">
        <x:f>E25/I1</x:f>
        <x:v>4178335.7142857141</x:v>
      </x:c>
      <x:c r="D25" s="277"/>
      <x:c r="E25" s="277">
        <x:f>SUM('1:28'!$A$25)</x:f>
        <x:v>116993400</x:v>
      </x:c>
      <x:c r="F25" s="277"/>
      <x:c r="G25" s="277"/>
      <x:c r="H25" s="107" t="s">
        <x:v>156</x:v>
      </x:c>
      <x:c r="I25" s="108">
        <x:f>SUM('1:28'!$I$23)</x:f>
        <x:v>40875928</x:v>
      </x:c>
      <x:c r="J25" s="61" t="s">
        <x:v>156</x:v>
      </x:c>
      <x:c r="K25" s="62">
        <x:f>SUM('1:28'!$K$21)</x:f>
        <x:v>0</x:v>
      </x:c>
    </x:row>
    <x:row r="26" spans="1:11" ht="34.149999999999999" customHeight="1">
      <x:c r="A26" s="261" t="s">
        <x:v>68</x:v>
      </x:c>
      <x:c r="B26" s="262"/>
      <x:c r="C26" s="262"/>
      <x:c r="D26" s="262"/>
      <x:c r="E26" s="263"/>
      <x:c r="F26" s="263"/>
      <x:c r="G26" s="263"/>
      <x:c r="H26" s="107" t="s">
        <x:v>67</x:v>
      </x:c>
      <x:c r="I26" s="110">
        <x:f>I25/$E$25</x:f>
        <x:v>0.34938661497144285</x:v>
      </x:c>
      <x:c r="J26" s="64" t="s">
        <x:v>67</x:v>
      </x:c>
      <x:c r="K26" s="65">
        <x:f>K25/$E$25</x:f>
        <x:v>0</x:v>
      </x:c>
    </x:row>
    <x:row r="27" spans="1:13" ht="30.949999999999999" customHeight="1">
      <x:c r="A27" s="319" t="s">
        <x:v>113</x:v>
      </x:c>
      <x:c r="B27" s="54" t="s">
        <x:v>17</x:v>
      </x:c>
      <x:c r="C27" s="277">
        <x:f>3300000/31</x:f>
        <x:v>106451.6129032258</x:v>
      </x:c>
      <x:c r="D27" s="277"/>
      <x:c r="E27" s="55" t="s">
        <x:v>12</x:v>
      </x:c>
      <x:c r="F27" s="263">
        <x:f>13000*5</x:f>
        <x:v>65000</x:v>
      </x:c>
      <x:c r="G27" s="263"/>
      <x:c r="H27" s="111" t="s">
        <x:v>69</x:v>
      </x:c>
      <x:c r="I27" s="112">
        <x:f>SUM(C27:D34,F27:G32)</x:f>
        <x:v>635741.93548387091</x:v>
      </x:c>
      <x:c r="M27" s="66"/>
    </x:row>
    <x:row r="28" spans="1:13" ht="30.949999999999999" customHeight="1">
      <x:c r="A28" s="320"/>
      <x:c r="B28" s="54" t="s">
        <x:v>161</x:v>
      </x:c>
      <x:c r="C28" s="314">
        <x:f>3300000/31</x:f>
        <x:v>106451.6129032258</x:v>
      </x:c>
      <x:c r="D28" s="315"/>
      <x:c r="E28" s="148" t="s">
        <x:v>37</x:v>
      </x:c>
      <x:c r="F28" s="316"/>
      <x:c r="G28" s="316"/>
      <x:c r="H28" s="111" t="s">
        <x:v>152</x:v>
      </x:c>
      <x:c r="I28" s="113">
        <x:f>I27/$A$25</x:f>
        <x:v>0.13875375081493538</x:v>
      </x:c>
      <x:c r="M28" s="66"/>
    </x:row>
    <x:row r="29" spans="1:13" ht="30.949999999999999" customHeight="1">
      <x:c r="A29" s="320"/>
      <x:c r="B29" s="54" t="s">
        <x:v>38</x:v>
      </x:c>
      <x:c r="C29" s="277">
        <x:f>3300000/31</x:f>
        <x:v>106451.6129032258</x:v>
      </x:c>
      <x:c r="D29" s="277"/>
      <x:c r="E29" s="54" t="s">
        <x:v>147</x:v>
      </x:c>
      <x:c r="F29" s="263"/>
      <x:c r="G29" s="263"/>
      <x:c r="H29" s="111" t="s">
        <x:v>156</x:v>
      </x:c>
      <x:c r="I29" s="112">
        <x:f>SUM('1:28'!$I$25)</x:f>
        <x:v>605922856</x:v>
      </x:c>
      <x:c r="M29" s="66"/>
    </x:row>
    <x:row r="30" spans="1:13" ht="30.949999999999999" customHeight="1">
      <x:c r="A30" s="320"/>
      <x:c r="B30" s="55" t="s">
        <x:v>28</x:v>
      </x:c>
      <x:c r="C30" s="277">
        <x:f>1500000/31</x:f>
        <x:v>48387.096774193546</x:v>
      </x:c>
      <x:c r="D30" s="277"/>
      <x:c r="E30" s="55"/>
      <x:c r="F30" s="311"/>
      <x:c r="G30" s="312"/>
      <x:c r="H30" s="111" t="s">
        <x:v>67</x:v>
      </x:c>
      <x:c r="I30" s="113">
        <x:f>I29/$I$27</x:f>
        <x:v>953.09562289425628</x:v>
      </x:c>
      <x:c r="M30" s="66"/>
    </x:row>
    <x:row r="31" spans="1:7" customHeight="1">
      <x:c r="A31" s="320"/>
      <x:c r="B31" s="147"/>
      <x:c r="C31" s="309"/>
      <x:c r="D31" s="310"/>
      <x:c r="E31" s="55" t="s">
        <x:v>10</x:v>
      </x:c>
      <x:c r="F31" s="311"/>
      <x:c r="G31" s="312"/>
    </x:row>
    <x:row r="32" spans="1:7" customHeight="1">
      <x:c r="A32" s="320"/>
      <x:c r="B32" s="147"/>
      <x:c r="C32" s="309"/>
      <x:c r="D32" s="310"/>
      <x:c r="E32" s="55" t="s">
        <x:v>79</x:v>
      </x:c>
      <x:c r="F32" s="311">
        <x:f>132000+71000</x:f>
        <x:v>203000</x:v>
      </x:c>
      <x:c r="G32" s="312"/>
    </x:row>
    <x:row r="33" spans="1:4" customHeight="1">
      <x:c r="A33" s="320"/>
      <x:c r="B33" s="54"/>
      <x:c r="C33" s="309"/>
      <x:c r="D33" s="310"/>
    </x:row>
    <x:row r="34" spans="1:4" customHeight="1">
      <x:c r="A34" s="321"/>
      <x:c r="B34" s="54"/>
      <x:c r="C34" s="311"/>
      <x:c r="D34" s="312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D12:E13"/>
    <x:mergeCell ref="B14:B15"/>
    <x:mergeCell ref="B16:B17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D16:E17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D18:E19"/>
    <x:mergeCell ref="F28:G28"/>
    <x:mergeCell ref="D21:E21"/>
    <x:mergeCell ref="F21:G21"/>
    <x:mergeCell ref="E2:F3"/>
    <x:mergeCell ref="G2:G3"/>
    <x:mergeCell ref="D14:E15"/>
    <x:mergeCell ref="B18:B19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1"/>
  <x:dimension ref="A1:O34"/>
  <x:sheetViews>
    <x:sheetView tabSelected="1" topLeftCell="A1" zoomScale="85" zoomScaleNormal="85" zoomScaleSheetLayoutView="75" workbookViewId="0">
      <x:selection activeCell="E6" activeCellId="0" sqref="E6:F7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122</x:v>
      </x:c>
      <x:c r="D1" s="68"/>
      <x:c r="E1" s="68">
        <x:v>1</x:v>
      </x:c>
      <x:c r="F1" s="68">
        <x:v>29</x:v>
      </x:c>
      <x:c r="G1" s="68" t="s">
        <x:v>7</x:v>
      </x:c>
      <x:c r="H1" s="52" t="s">
        <x:v>96</x:v>
      </x:c>
      <x:c r="I1" s="52">
        <x:f>F1-K1</x:f>
        <x:v>29</x:v>
      </x:c>
      <x:c r="J1" s="52" t="s">
        <x:v>89</x:v>
      </x:c>
      <x:c r="K1" s="52"/>
    </x:row>
    <x:row r="2" spans="1:11" ht="20.100000000000001" customHeight="1">
      <x:c r="A2" s="272" t="s">
        <x:v>50</x:v>
      </x:c>
      <x:c r="B2" s="273"/>
      <x:c r="C2" s="276">
        <x:f>SUM(C4:D7)</x:f>
        <x:v>4376500</x:v>
      </x:c>
      <x:c r="D2" s="276"/>
      <x:c r="E2" s="279" t="s">
        <x:v>20</x:v>
      </x:c>
      <x:c r="F2" s="280"/>
      <x:c r="G2" s="268">
        <x:v>117900</x:v>
      </x:c>
      <x:c r="H2" s="266" t="s">
        <x:v>54</x:v>
      </x:c>
      <x:c r="I2" s="267"/>
      <x:c r="J2" s="264" t="s">
        <x:v>143</x:v>
      </x:c>
      <x:c r="K2" s="265"/>
    </x:row>
    <x:row r="3" spans="1:11" ht="20.100000000000001" customHeight="1">
      <x:c r="A3" s="274"/>
      <x:c r="B3" s="275"/>
      <x:c r="C3" s="277"/>
      <x:c r="D3" s="277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1" ht="30.949999999999999" customHeight="1">
      <x:c r="A4" s="270" t="s">
        <x:v>41</x:v>
      </x:c>
      <x:c r="B4" s="271"/>
      <x:c r="C4" s="263">
        <x:v>3807200</x:v>
      </x:c>
      <x:c r="D4" s="263"/>
      <x:c r="E4" s="278" t="s">
        <x:v>160</x:v>
      </x:c>
      <x:c r="F4" s="278"/>
      <x:c r="G4" s="133">
        <x:f>INT(C4*0.0275)</x:f>
        <x:v>104698</x:v>
      </x:c>
      <x:c r="H4" s="54" t="s">
        <x:v>19</x:v>
      </x:c>
      <x:c r="I4" s="124">
        <x:f>452000+154530+229540+343992</x:f>
        <x:v>1180062</x:v>
      </x:c>
      <x:c r="J4" s="80" t="s">
        <x:v>24</x:v>
      </x:c>
      <x:c r="K4" s="58">
        <x:v>30000</x:v>
      </x:c>
    </x:row>
    <x:row r="5" spans="1:11" ht="30.949999999999999" customHeight="1">
      <x:c r="A5" s="270" t="s">
        <x:v>52</x:v>
      </x:c>
      <x:c r="B5" s="271"/>
      <x:c r="C5" s="263">
        <x:v>569300</x:v>
      </x:c>
      <x:c r="D5" s="263"/>
      <x:c r="E5" s="262" t="s">
        <x:v>136</x:v>
      </x:c>
      <x:c r="F5" s="262"/>
      <x:c r="G5" s="133">
        <x:f>INT(C5*0.01)</x:f>
        <x:v>5693</x:v>
      </x:c>
      <x:c r="H5" s="54" t="s">
        <x:v>54</x:v>
      </x:c>
      <x:c r="I5" s="124">
        <x:f>46900+50000+16720+5570+30300</x:f>
        <x:v>149490</x:v>
      </x:c>
      <x:c r="J5" s="81"/>
      <x:c r="K5" s="58"/>
    </x:row>
    <x:row r="6" spans="1:11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480000</x:v>
      </x:c>
      <x:c r="H6" s="54"/>
      <x:c r="I6" s="124"/>
      <x:c r="J6" s="81" t="s">
        <x:v>99</x:v>
      </x:c>
      <x:c r="K6" s="58"/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4">
        <x:v>298000</x:v>
      </x:c>
      <x:c r="J7" s="81" t="s">
        <x:v>106</x:v>
      </x:c>
      <x:c r="K7" s="58"/>
    </x:row>
    <x:row r="8" spans="1:11" ht="21.949999999999999" customHeight="1">
      <x:c r="A8" s="261" t="s">
        <x:v>98</x:v>
      </x:c>
      <x:c r="B8" s="262"/>
      <x:c r="C8" s="263">
        <x:v>207200</x:v>
      </x:c>
      <x:c r="D8" s="263"/>
      <x:c r="E8" s="289" t="s">
        <x:v>114</x:v>
      </x:c>
      <x:c r="F8" s="290"/>
      <x:c r="G8" s="295">
        <x:f>C5+G2-G6-C22</x:f>
        <x:v>207200</x:v>
      </x:c>
      <x:c r="H8" s="54" t="s">
        <x:v>14</x:v>
      </x:c>
      <x:c r="I8" s="124"/>
      <x:c r="J8" s="81"/>
      <x:c r="K8" s="58"/>
    </x:row>
    <x:row r="9" spans="1:11" ht="21.949999999999999" customHeight="1">
      <x:c r="A9" s="261"/>
      <x:c r="B9" s="262"/>
      <x:c r="C9" s="263"/>
      <x:c r="D9" s="263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30.949999999999999" customHeight="1">
      <x:c r="A10" s="261" t="s">
        <x:v>120</x:v>
      </x:c>
      <x:c r="B10" s="262"/>
      <x:c r="C10" s="263">
        <x:v>70000</x:v>
      </x:c>
      <x:c r="D10" s="263"/>
      <x:c r="E10" s="262" t="s">
        <x:v>101</x:v>
      </x:c>
      <x:c r="F10" s="262"/>
      <x:c r="G10" s="55"/>
      <x:c r="H10" s="54"/>
      <x:c r="I10" s="124"/>
      <x:c r="J10" s="54" t="s">
        <x:v>23</x:v>
      </x:c>
      <x:c r="K10" s="58"/>
    </x:row>
    <x:row r="11" spans="1:11" ht="33" customHeight="1">
      <x:c r="A11" s="261" t="s">
        <x:v>115</x:v>
      </x:c>
      <x:c r="B11" s="262"/>
      <x:c r="C11" s="301" t="s">
        <x:v>138</x:v>
      </x:c>
      <x:c r="D11" s="301"/>
      <x:c r="E11" s="301"/>
      <x:c r="F11" s="301"/>
      <x:c r="G11" s="301"/>
      <x:c r="H11" s="54" t="s">
        <x:v>151</x:v>
      </x:c>
      <x:c r="I11" s="58"/>
      <x:c r="J11" s="54" t="s">
        <x:v>125</x:v>
      </x:c>
      <x:c r="K11" s="135"/>
    </x:row>
    <x:row r="12" spans="1:13" ht="21.949999999999999" customHeight="1">
      <x:c r="A12" s="59" t="s">
        <x:v>21</x:v>
      </x:c>
      <x:c r="B12" s="299" t="s">
        <x:v>8</x:v>
      </x:c>
      <x:c r="C12" s="79">
        <x:v>7</x:v>
      </x:c>
      <x:c r="D12" s="289" t="s">
        <x:v>83</x:v>
      </x:c>
      <x:c r="E12" s="290"/>
      <x:c r="F12" s="293">
        <x:v>16</x:v>
      </x:c>
      <x:c r="G12" s="294"/>
      <x:c r="H12" s="54" t="s">
        <x:v>58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56</x:v>
      </x:c>
      <x:c r="B13" s="300"/>
      <x:c r="C13" s="134">
        <x:f>SUM('1:29'!$C$12)</x:f>
        <x:v>417</x:v>
      </x:c>
      <x:c r="D13" s="281"/>
      <x:c r="E13" s="282"/>
      <x:c r="F13" s="291">
        <x:f>SUM('1:29'!$F$12)</x:f>
        <x:v>581</x:v>
      </x:c>
      <x:c r="G13" s="292"/>
      <x:c r="H13" s="54" t="s">
        <x:v>92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21</x:v>
      </x:c>
      <x:c r="B14" s="299" t="s">
        <x:v>84</x:v>
      </x:c>
      <x:c r="C14" s="79">
        <x:v>28</x:v>
      </x:c>
      <x:c r="D14" s="289" t="s">
        <x:v>73</x:v>
      </x:c>
      <x:c r="E14" s="290"/>
      <x:c r="F14" s="293">
        <x:v>9</x:v>
      </x:c>
      <x:c r="G14" s="294"/>
      <x:c r="H14" s="54" t="s">
        <x:v>61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56</x:v>
      </x:c>
      <x:c r="B15" s="300"/>
      <x:c r="C15" s="134">
        <x:f>SUM('1:29'!$C$14)</x:f>
        <x:v>681</x:v>
      </x:c>
      <x:c r="D15" s="281"/>
      <x:c r="E15" s="282"/>
      <x:c r="F15" s="291">
        <x:f>SUM('1:29'!$F$14)</x:f>
        <x:v>394</x:v>
      </x:c>
      <x:c r="G15" s="292"/>
      <x:c r="H15" s="54" t="s">
        <x:v>64</x:v>
      </x:c>
      <x:c r="I15" s="58">
        <x:v>145100</x:v>
      </x:c>
      <x:c r="J15" s="54" t="s">
        <x:v>143</x:v>
      </x:c>
      <x:c r="K15" s="58"/>
      <x:c r="L15" s="60"/>
      <x:c r="M15" s="11"/>
    </x:row>
    <x:row r="16" spans="1:13" ht="21.949999999999999" customHeight="1">
      <x:c r="A16" s="59" t="s">
        <x:v>21</x:v>
      </x:c>
      <x:c r="B16" s="299" t="s">
        <x:v>51</x:v>
      </x:c>
      <x:c r="C16" s="79">
        <x:v>11</x:v>
      </x:c>
      <x:c r="D16" s="289" t="s">
        <x:v>81</x:v>
      </x:c>
      <x:c r="E16" s="290"/>
      <x:c r="F16" s="287">
        <x:v>13</x:v>
      </x:c>
      <x:c r="G16" s="287"/>
      <x:c r="H16" s="54"/>
      <x:c r="I16" s="58">
        <x:v>82000</x:v>
      </x:c>
      <x:c r="J16" s="54" t="s">
        <x:v>105</x:v>
      </x:c>
      <x:c r="K16" s="58"/>
      <x:c r="L16" s="60"/>
      <x:c r="M16" s="11"/>
    </x:row>
    <x:row r="17" spans="1:13" ht="21.949999999999999" customHeight="1">
      <x:c r="A17" s="59" t="s">
        <x:v>56</x:v>
      </x:c>
      <x:c r="B17" s="300"/>
      <x:c r="C17" s="134">
        <x:f>SUM('1:29'!$C$16)</x:f>
        <x:v>159</x:v>
      </x:c>
      <x:c r="D17" s="281"/>
      <x:c r="E17" s="282"/>
      <x:c r="F17" s="288">
        <x:f>SUM('1:29'!$F$16)</x:f>
        <x:v>344</x:v>
      </x:c>
      <x:c r="G17" s="288"/>
      <x:c r="H17" s="54" t="s">
        <x:v>18</x:v>
      </x:c>
      <x:c r="I17" s="58"/>
      <x:c r="J17" s="54" t="s">
        <x:v>97</x:v>
      </x:c>
      <x:c r="K17" s="58"/>
      <x:c r="L17" s="60"/>
      <x:c r="M17" s="11"/>
    </x:row>
    <x:row r="18" spans="1:13" ht="21.949999999999999" customHeight="1">
      <x:c r="A18" s="59" t="s">
        <x:v>21</x:v>
      </x:c>
      <x:c r="B18" s="299" t="s">
        <x:v>107</x:v>
      </x:c>
      <x:c r="C18" s="79">
        <x:v>35</x:v>
      </x:c>
      <x:c r="D18" s="289" t="s">
        <x:v>29</x:v>
      </x:c>
      <x:c r="E18" s="290"/>
      <x:c r="F18" s="297">
        <x:v>0</x:v>
      </x:c>
      <x:c r="G18" s="29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56</x:v>
      </x:c>
      <x:c r="B19" s="300"/>
      <x:c r="C19" s="134">
        <x:f>SUM('1:29'!$C$18)</x:f>
        <x:v>815</x:v>
      </x:c>
      <x:c r="D19" s="281"/>
      <x:c r="E19" s="282"/>
      <x:c r="F19" s="288">
        <x:f>SUM('1:29'!$F$18)</x:f>
        <x:v>83</x:v>
      </x:c>
      <x:c r="G19" s="288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108</x:v>
      </x:c>
      <x:c r="E20" s="262"/>
      <x:c r="F20" s="287">
        <x:v>59</x:v>
      </x:c>
      <x:c r="G20" s="287"/>
      <x:c r="H20" s="58"/>
      <x:c r="J20" s="54"/>
      <x:c r="K20" s="58"/>
      <x:c r="L20" s="60"/>
      <x:c r="M20" s="11"/>
    </x:row>
    <x:row r="21" spans="4:13" ht="21.949999999999999" customHeight="1">
      <x:c r="D21" s="262" t="s">
        <x:v>128</x:v>
      </x:c>
      <x:c r="E21" s="262"/>
      <x:c r="F21" s="288">
        <x:f>SUM('1:29'!$F$20)</x:f>
        <x:v>1559</x:v>
      </x:c>
      <x:c r="G21" s="288"/>
      <x:c r="H21" s="58"/>
      <x:c r="J21" s="54"/>
      <x:c r="K21" s="58"/>
      <x:c r="L21" s="60"/>
      <x:c r="M21" s="11"/>
    </x:row>
    <x:row r="22" spans="1:13" ht="32.100000000000001" customHeight="1">
      <x:c r="A22" s="261" t="s">
        <x:v>121</x:v>
      </x:c>
      <x:c r="B22" s="262"/>
      <x:c r="C22" s="286"/>
      <x:c r="D22" s="286"/>
      <x:c r="E22" s="286"/>
      <x:c r="F22" s="286"/>
      <x:c r="G22" s="286"/>
      <x:c r="H22" s="54"/>
      <x:c r="J22" s="54"/>
      <x:c r="K22" s="58"/>
      <x:c r="L22" s="60"/>
      <x:c r="M22" s="11"/>
    </x:row>
    <x:row r="23" spans="1:15" ht="34.149999999999999" customHeight="1">
      <x:c r="A23" s="261" t="s">
        <x:v>59</x:v>
      </x:c>
      <x:c r="B23" s="262"/>
      <x:c r="C23" s="317"/>
      <x:c r="D23" s="318"/>
      <x:c r="E23" s="318"/>
      <x:c r="F23" s="318"/>
      <x:c r="G23" s="318"/>
      <x:c r="H23" s="107" t="s">
        <x:v>95</x:v>
      </x:c>
      <x:c r="I23" s="108">
        <x:f>SUM(I4:I22)</x:f>
        <x:v>1854652</x:v>
      </x:c>
      <x:c r="J23" s="61" t="s">
        <x:v>70</x:v>
      </x:c>
      <x:c r="K23" s="62">
        <x:f>SUM(K4:K22)</x:f>
        <x:v>30000</x:v>
      </x:c>
      <x:c r="M23" s="88" t="s">
        <x:v>102</x:v>
      </x:c>
      <x:c r="N23" s="284">
        <x:f>C5+C6</x:f>
        <x:v>569300</x:v>
      </x:c>
      <x:c r="O23" s="285"/>
    </x:row>
    <x:row r="24" spans="1:11" ht="34.149999999999999" customHeight="1">
      <x:c r="A24" s="261" t="s">
        <x:v>152</x:v>
      </x:c>
      <x:c r="B24" s="262"/>
      <x:c r="C24" s="262" t="s">
        <x:v>86</x:v>
      </x:c>
      <x:c r="D24" s="262"/>
      <x:c r="E24" s="262" t="s">
        <x:v>62</x:v>
      </x:c>
      <x:c r="F24" s="262"/>
      <x:c r="G24" s="262"/>
      <x:c r="H24" s="107" t="s">
        <x:v>152</x:v>
      </x:c>
      <x:c r="I24" s="109">
        <x:f>I23/A25</x:f>
        <x:v>0.42377516280132527</x:v>
      </x:c>
      <x:c r="J24" s="61" t="s">
        <x:v>152</x:v>
      </x:c>
      <x:c r="K24" s="63">
        <x:f>K23/A25</x:f>
        <x:v>0.006854792642522564</x:v>
      </x:c>
    </x:row>
    <x:row r="25" spans="1:11" ht="34.149999999999999" customHeight="1">
      <x:c r="A25" s="313">
        <x:f>C2</x:f>
        <x:v>4376500</x:v>
      </x:c>
      <x:c r="B25" s="277"/>
      <x:c r="C25" s="277">
        <x:f>E25/I1</x:f>
        <x:v>4185168.9655172415</x:v>
      </x:c>
      <x:c r="D25" s="277"/>
      <x:c r="E25" s="277">
        <x:f>SUM('1:29'!$A$25)</x:f>
        <x:v>121369900</x:v>
      </x:c>
      <x:c r="F25" s="277"/>
      <x:c r="G25" s="277"/>
      <x:c r="H25" s="107" t="s">
        <x:v>156</x:v>
      </x:c>
      <x:c r="I25" s="108">
        <x:f>SUM('1:29'!$I$23)</x:f>
        <x:v>42730580</x:v>
      </x:c>
      <x:c r="J25" s="61" t="s">
        <x:v>156</x:v>
      </x:c>
      <x:c r="K25" s="62">
        <x:f>SUM('1:29'!$K$23)</x:f>
        <x:v>2357691</x:v>
      </x:c>
    </x:row>
    <x:row r="26" spans="1:11" ht="34.149999999999999" customHeight="1">
      <x:c r="A26" s="261" t="s">
        <x:v>68</x:v>
      </x:c>
      <x:c r="B26" s="262"/>
      <x:c r="C26" s="262"/>
      <x:c r="D26" s="262"/>
      <x:c r="E26" s="263"/>
      <x:c r="F26" s="263"/>
      <x:c r="G26" s="263"/>
      <x:c r="H26" s="107" t="s">
        <x:v>67</x:v>
      </x:c>
      <x:c r="I26" s="110">
        <x:f>I25/$E$25</x:f>
        <x:v>0.35206900557716536</x:v>
      </x:c>
      <x:c r="J26" s="64" t="s">
        <x:v>67</x:v>
      </x:c>
      <x:c r="K26" s="65">
        <x:f>K25/$E$25</x:f>
        <x:v>0.019425664847709356</x:v>
      </x:c>
    </x:row>
    <x:row r="27" spans="1:13" ht="30.949999999999999" customHeight="1">
      <x:c r="A27" s="319" t="s">
        <x:v>113</x:v>
      </x:c>
      <x:c r="B27" s="54" t="s">
        <x:v>17</x:v>
      </x:c>
      <x:c r="C27" s="277">
        <x:f>3300000/31</x:f>
        <x:v>106451.6129032258</x:v>
      </x:c>
      <x:c r="D27" s="277"/>
      <x:c r="E27" s="55" t="s">
        <x:v>12</x:v>
      </x:c>
      <x:c r="F27" s="263">
        <x:f>13000*5</x:f>
        <x:v>65000</x:v>
      </x:c>
      <x:c r="G27" s="263"/>
      <x:c r="H27" s="111" t="s">
        <x:v>69</x:v>
      </x:c>
      <x:c r="I27" s="112">
        <x:f>SUM(C27:D34,F27:G32)</x:f>
        <x:v>484741.93548387091</x:v>
      </x:c>
      <x:c r="M27" s="66"/>
    </x:row>
    <x:row r="28" spans="1:13" ht="30.949999999999999" customHeight="1">
      <x:c r="A28" s="320"/>
      <x:c r="B28" s="54" t="s">
        <x:v>161</x:v>
      </x:c>
      <x:c r="C28" s="314">
        <x:f>3300000/31</x:f>
        <x:v>106451.6129032258</x:v>
      </x:c>
      <x:c r="D28" s="315"/>
      <x:c r="E28" s="148" t="s">
        <x:v>37</x:v>
      </x:c>
      <x:c r="F28" s="316">
        <x:f>13000*4</x:f>
        <x:v>52000</x:v>
      </x:c>
      <x:c r="G28" s="316"/>
      <x:c r="H28" s="111" t="s">
        <x:v>152</x:v>
      </x:c>
      <x:c r="I28" s="113">
        <x:f>I27/$A$25</x:f>
        <x:v>0.11076018176256619</x:v>
      </x:c>
      <x:c r="M28" s="66"/>
    </x:row>
    <x:row r="29" spans="1:13" ht="30.949999999999999" customHeight="1">
      <x:c r="A29" s="320"/>
      <x:c r="B29" s="54" t="s">
        <x:v>38</x:v>
      </x:c>
      <x:c r="C29" s="277">
        <x:f>3300000/31</x:f>
        <x:v>106451.6129032258</x:v>
      </x:c>
      <x:c r="D29" s="277"/>
      <x:c r="E29" s="54" t="s">
        <x:v>147</x:v>
      </x:c>
      <x:c r="F29" s="263"/>
      <x:c r="G29" s="263"/>
      <x:c r="H29" s="111" t="s">
        <x:v>156</x:v>
      </x:c>
      <x:c r="I29" s="112">
        <x:f>SUM('1:29'!$I$27)</x:f>
        <x:v>17631066.129032254</x:v>
      </x:c>
      <x:c r="M29" s="66"/>
    </x:row>
    <x:row r="30" spans="1:13" ht="30.949999999999999" customHeight="1">
      <x:c r="A30" s="320"/>
      <x:c r="B30" s="55" t="s">
        <x:v>28</x:v>
      </x:c>
      <x:c r="C30" s="277">
        <x:f>1500000/31</x:f>
        <x:v>48387.096774193546</x:v>
      </x:c>
      <x:c r="D30" s="277"/>
      <x:c r="E30" s="55"/>
      <x:c r="F30" s="311"/>
      <x:c r="G30" s="312"/>
      <x:c r="H30" s="111" t="s">
        <x:v>67</x:v>
      </x:c>
      <x:c r="I30" s="113">
        <x:f>I29/$I$27</x:f>
        <x:v>36.372066946163571</x:v>
      </x:c>
      <x:c r="M30" s="66"/>
    </x:row>
    <x:row r="31" spans="1:7" customHeight="1">
      <x:c r="A31" s="320"/>
      <x:c r="B31" s="147"/>
      <x:c r="C31" s="309"/>
      <x:c r="D31" s="310"/>
      <x:c r="E31" s="55" t="s">
        <x:v>10</x:v>
      </x:c>
      <x:c r="F31" s="311"/>
      <x:c r="G31" s="312"/>
    </x:row>
    <x:row r="32" spans="1:7" customHeight="1">
      <x:c r="A32" s="320"/>
      <x:c r="B32" s="147"/>
      <x:c r="C32" s="309"/>
      <x:c r="D32" s="310"/>
      <x:c r="E32" s="55" t="s">
        <x:v>79</x:v>
      </x:c>
      <x:c r="F32" s="311"/>
      <x:c r="G32" s="312"/>
    </x:row>
    <x:row r="33" spans="1:4" customHeight="1">
      <x:c r="A33" s="320"/>
      <x:c r="B33" s="54"/>
      <x:c r="C33" s="309"/>
      <x:c r="D33" s="310"/>
    </x:row>
    <x:row r="34" spans="1:4" customHeight="1">
      <x:c r="A34" s="321"/>
      <x:c r="B34" s="54"/>
      <x:c r="C34" s="311"/>
      <x:c r="D34" s="312"/>
    </x:row>
  </x:sheetData>
  <x:mergeCells count="74"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F32:G32"/>
    <x:mergeCell ref="A25:B25"/>
    <x:mergeCell ref="C25:D25"/>
    <x:mergeCell ref="E25:G25"/>
    <x:mergeCell ref="A26:B26"/>
    <x:mergeCell ref="C26:D26"/>
    <x:mergeCell ref="E26:G26"/>
    <x:mergeCell ref="A23:B23"/>
    <x:mergeCell ref="C23:G23"/>
    <x:mergeCell ref="N23:O23"/>
    <x:mergeCell ref="A24:B24"/>
    <x:mergeCell ref="C24:D24"/>
    <x:mergeCell ref="E24:G24"/>
    <x:mergeCell ref="D20:E20"/>
    <x:mergeCell ref="F20:G20"/>
    <x:mergeCell ref="D21:E21"/>
    <x:mergeCell ref="F21:G21"/>
    <x:mergeCell ref="A22:B22"/>
    <x:mergeCell ref="C22:G22"/>
    <x:mergeCell ref="B16:B17"/>
    <x:mergeCell ref="D16:E17"/>
    <x:mergeCell ref="F16:G16"/>
    <x:mergeCell ref="F17:G17"/>
    <x:mergeCell ref="D18:E19"/>
    <x:mergeCell ref="F18:G18"/>
    <x:mergeCell ref="F19:G19"/>
    <x:mergeCell ref="B14:B15"/>
    <x:mergeCell ref="F14:G14"/>
    <x:mergeCell ref="F15:G15"/>
    <x:mergeCell ref="D12:E13"/>
    <x:mergeCell ref="F12:G12"/>
    <x:mergeCell ref="F13:G1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J2:K2"/>
    <x:mergeCell ref="A2:B3"/>
    <x:mergeCell ref="C2:D3"/>
    <x:mergeCell ref="E2:F3"/>
    <x:mergeCell ref="G2:G3"/>
    <x:mergeCell ref="H2:I2"/>
    <x:mergeCell ref="D14:E15"/>
    <x:mergeCell ref="B18:B19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2"/>
  <x:dimension ref="A1:O34"/>
  <x:sheetViews>
    <x:sheetView tabSelected="1" topLeftCell="A1" zoomScale="85" zoomScaleNormal="85" zoomScaleSheetLayoutView="75" workbookViewId="0">
      <x:selection activeCell="E25" activeCellId="0" sqref="E25:G25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122</x:v>
      </x:c>
      <x:c r="D1" s="68"/>
      <x:c r="E1" s="68">
        <x:v>1</x:v>
      </x:c>
      <x:c r="F1" s="68">
        <x:v>30</x:v>
      </x:c>
      <x:c r="G1" s="68" t="s">
        <x:v>30</x:v>
      </x:c>
      <x:c r="H1" s="52" t="s">
        <x:v>96</x:v>
      </x:c>
      <x:c r="I1" s="52">
        <x:f>F1-K1</x:f>
        <x:v>30</x:v>
      </x:c>
      <x:c r="J1" s="52" t="s">
        <x:v>89</x:v>
      </x:c>
      <x:c r="K1" s="52"/>
    </x:row>
    <x:row r="2" spans="1:11" ht="20.100000000000001" customHeight="1">
      <x:c r="A2" s="272" t="s">
        <x:v>50</x:v>
      </x:c>
      <x:c r="B2" s="273"/>
      <x:c r="C2" s="276">
        <x:f>SUM(C4:D7)</x:f>
        <x:v>5328700</x:v>
      </x:c>
      <x:c r="D2" s="276"/>
      <x:c r="E2" s="279" t="s">
        <x:v>20</x:v>
      </x:c>
      <x:c r="F2" s="280"/>
      <x:c r="G2" s="268">
        <x:v>207200</x:v>
      </x:c>
      <x:c r="H2" s="266" t="s">
        <x:v>54</x:v>
      </x:c>
      <x:c r="I2" s="267"/>
      <x:c r="J2" s="264" t="s">
        <x:v>143</x:v>
      </x:c>
      <x:c r="K2" s="265"/>
    </x:row>
    <x:row r="3" spans="1:11" ht="20.100000000000001" customHeight="1">
      <x:c r="A3" s="274"/>
      <x:c r="B3" s="275"/>
      <x:c r="C3" s="277"/>
      <x:c r="D3" s="277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1" ht="30.949999999999999" customHeight="1">
      <x:c r="A4" s="270" t="s">
        <x:v>41</x:v>
      </x:c>
      <x:c r="B4" s="271"/>
      <x:c r="C4" s="263">
        <x:v>4586500</x:v>
      </x:c>
      <x:c r="D4" s="263"/>
      <x:c r="E4" s="278" t="s">
        <x:v>160</x:v>
      </x:c>
      <x:c r="F4" s="278"/>
      <x:c r="G4" s="133">
        <x:f>INT(C4*0.0275)</x:f>
        <x:v>126128</x:v>
      </x:c>
      <x:c r="H4" s="54" t="s">
        <x:v>19</x:v>
      </x:c>
      <x:c r="I4" s="124">
        <x:f>289416+243512+185436+452000+343992+10</x:f>
        <x:v>1514366</x:v>
      </x:c>
      <x:c r="J4" s="80" t="s">
        <x:v>24</x:v>
      </x:c>
      <x:c r="K4" s="58"/>
    </x:row>
    <x:row r="5" spans="1:11" ht="30.949999999999999" customHeight="1">
      <x:c r="A5" s="270" t="s">
        <x:v>52</x:v>
      </x:c>
      <x:c r="B5" s="271"/>
      <x:c r="C5" s="263">
        <x:v>742200</x:v>
      </x:c>
      <x:c r="D5" s="263"/>
      <x:c r="E5" s="262" t="s">
        <x:v>136</x:v>
      </x:c>
      <x:c r="F5" s="262"/>
      <x:c r="G5" s="133">
        <x:f>INT(C5*0.01)</x:f>
        <x:v>7422</x:v>
      </x:c>
      <x:c r="H5" s="54" t="s">
        <x:v>54</x:v>
      </x:c>
      <x:c r="I5" s="124">
        <x:f>50000+44000+29656+39380+18710</x:f>
        <x:v>181746</x:v>
      </x:c>
      <x:c r="J5" s="81"/>
      <x:c r="K5" s="58"/>
    </x:row>
    <x:row r="6" spans="1:11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850000</x:v>
      </x:c>
      <x:c r="H6" s="54"/>
      <x:c r="I6" s="124"/>
      <x:c r="J6" s="81" t="s">
        <x:v>99</x:v>
      </x:c>
      <x:c r="K6" s="58"/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4">
        <x:v>619150</x:v>
      </x:c>
      <x:c r="J7" s="81" t="s">
        <x:v>106</x:v>
      </x:c>
      <x:c r="K7" s="58"/>
    </x:row>
    <x:row r="8" spans="1:11" ht="21.949999999999999" customHeight="1">
      <x:c r="A8" s="261" t="s">
        <x:v>98</x:v>
      </x:c>
      <x:c r="B8" s="262"/>
      <x:c r="C8" s="263">
        <x:v>99700</x:v>
      </x:c>
      <x:c r="D8" s="263"/>
      <x:c r="E8" s="289" t="s">
        <x:v>114</x:v>
      </x:c>
      <x:c r="F8" s="290"/>
      <x:c r="G8" s="295">
        <x:f>C5+G2-G6-C22</x:f>
        <x:v>99400</x:v>
      </x:c>
      <x:c r="H8" s="54" t="s">
        <x:v>14</x:v>
      </x:c>
      <x:c r="I8" s="124">
        <x:v>65000</x:v>
      </x:c>
      <x:c r="J8" s="81"/>
      <x:c r="K8" s="58"/>
    </x:row>
    <x:row r="9" spans="1:11" ht="21.949999999999999" customHeight="1">
      <x:c r="A9" s="261"/>
      <x:c r="B9" s="262"/>
      <x:c r="C9" s="263"/>
      <x:c r="D9" s="263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30.949999999999999" customHeight="1">
      <x:c r="A10" s="261" t="s">
        <x:v>120</x:v>
      </x:c>
      <x:c r="B10" s="262"/>
      <x:c r="C10" s="263">
        <x:v>66000</x:v>
      </x:c>
      <x:c r="D10" s="263"/>
      <x:c r="E10" s="262" t="s">
        <x:v>101</x:v>
      </x:c>
      <x:c r="F10" s="262"/>
      <x:c r="G10" s="55"/>
      <x:c r="H10" s="54"/>
      <x:c r="I10" s="124"/>
      <x:c r="J10" s="54" t="s">
        <x:v>23</x:v>
      </x:c>
      <x:c r="K10" s="58"/>
    </x:row>
    <x:row r="11" spans="1:11" ht="33" customHeight="1">
      <x:c r="A11" s="261" t="s">
        <x:v>115</x:v>
      </x:c>
      <x:c r="B11" s="262"/>
      <x:c r="C11" s="301" t="s">
        <x:v>40</x:v>
      </x:c>
      <x:c r="D11" s="301"/>
      <x:c r="E11" s="301"/>
      <x:c r="F11" s="301"/>
      <x:c r="G11" s="301"/>
      <x:c r="H11" s="54" t="s">
        <x:v>151</x:v>
      </x:c>
      <x:c r="I11" s="58"/>
      <x:c r="J11" s="54" t="s">
        <x:v>125</x:v>
      </x:c>
      <x:c r="K11" s="135"/>
    </x:row>
    <x:row r="12" spans="1:13" ht="21.949999999999999" customHeight="1">
      <x:c r="A12" s="59" t="s">
        <x:v>21</x:v>
      </x:c>
      <x:c r="B12" s="299" t="s">
        <x:v>8</x:v>
      </x:c>
      <x:c r="C12" s="79">
        <x:v>13</x:v>
      </x:c>
      <x:c r="D12" s="289" t="s">
        <x:v>83</x:v>
      </x:c>
      <x:c r="E12" s="290"/>
      <x:c r="F12" s="293">
        <x:v>24</x:v>
      </x:c>
      <x:c r="G12" s="294"/>
      <x:c r="H12" s="54" t="s">
        <x:v>58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56</x:v>
      </x:c>
      <x:c r="B13" s="300"/>
      <x:c r="C13" s="134">
        <x:f>SUM('1:30'!$C$12)</x:f>
        <x:v>430</x:v>
      </x:c>
      <x:c r="D13" s="281"/>
      <x:c r="E13" s="282"/>
      <x:c r="F13" s="291">
        <x:f>SUM('1:30'!$F$12)</x:f>
        <x:v>605</x:v>
      </x:c>
      <x:c r="G13" s="292"/>
      <x:c r="H13" s="54" t="s">
        <x:v>92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21</x:v>
      </x:c>
      <x:c r="B14" s="299" t="s">
        <x:v>84</x:v>
      </x:c>
      <x:c r="C14" s="79">
        <x:v>26</x:v>
      </x:c>
      <x:c r="D14" s="289" t="s">
        <x:v>73</x:v>
      </x:c>
      <x:c r="E14" s="290"/>
      <x:c r="F14" s="293">
        <x:v>11</x:v>
      </x:c>
      <x:c r="G14" s="294"/>
      <x:c r="H14" s="54" t="s">
        <x:v>61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56</x:v>
      </x:c>
      <x:c r="B15" s="300"/>
      <x:c r="C15" s="134">
        <x:f>SUM('1:30'!$C$14)</x:f>
        <x:v>707</x:v>
      </x:c>
      <x:c r="D15" s="281"/>
      <x:c r="E15" s="282"/>
      <x:c r="F15" s="291">
        <x:f>SUM('1:30'!$F$14)</x:f>
        <x:v>405</x:v>
      </x:c>
      <x:c r="G15" s="292"/>
      <x:c r="H15" s="54" t="s">
        <x:v>64</x:v>
      </x:c>
      <x:c r="I15" s="58">
        <x:v>188300</x:v>
      </x:c>
      <x:c r="J15" s="54" t="s">
        <x:v>143</x:v>
      </x:c>
      <x:c r="K15" s="58"/>
      <x:c r="L15" s="60"/>
      <x:c r="M15" s="11"/>
    </x:row>
    <x:row r="16" spans="1:13" ht="21.949999999999999" customHeight="1">
      <x:c r="A16" s="59" t="s">
        <x:v>21</x:v>
      </x:c>
      <x:c r="B16" s="299" t="s">
        <x:v>51</x:v>
      </x:c>
      <x:c r="C16" s="79">
        <x:v>9</x:v>
      </x:c>
      <x:c r="D16" s="289" t="s">
        <x:v>81</x:v>
      </x:c>
      <x:c r="E16" s="290"/>
      <x:c r="F16" s="287">
        <x:v>20</x:v>
      </x:c>
      <x:c r="G16" s="287"/>
      <x:c r="H16" s="54"/>
      <x:c r="I16" s="58"/>
      <x:c r="J16" s="54" t="s">
        <x:v>105</x:v>
      </x:c>
      <x:c r="K16" s="58">
        <x:v>31900</x:v>
      </x:c>
      <x:c r="L16" s="60"/>
      <x:c r="M16" s="11"/>
    </x:row>
    <x:row r="17" spans="1:13" ht="21.949999999999999" customHeight="1">
      <x:c r="A17" s="59" t="s">
        <x:v>56</x:v>
      </x:c>
      <x:c r="B17" s="300"/>
      <x:c r="C17" s="134">
        <x:f>SUM('1:30'!$C$16)</x:f>
        <x:v>168</x:v>
      </x:c>
      <x:c r="D17" s="281"/>
      <x:c r="E17" s="282"/>
      <x:c r="F17" s="288">
        <x:f>SUM('1:30'!$F$16)</x:f>
        <x:v>364</x:v>
      </x:c>
      <x:c r="G17" s="288"/>
      <x:c r="H17" s="54" t="s">
        <x:v>18</x:v>
      </x:c>
      <x:c r="I17" s="58"/>
      <x:c r="J17" s="54" t="s">
        <x:v>97</x:v>
      </x:c>
      <x:c r="K17" s="58"/>
      <x:c r="L17" s="60"/>
      <x:c r="M17" s="11"/>
    </x:row>
    <x:row r="18" spans="1:13" ht="21.949999999999999" customHeight="1">
      <x:c r="A18" s="59" t="s">
        <x:v>21</x:v>
      </x:c>
      <x:c r="B18" s="299" t="s">
        <x:v>107</x:v>
      </x:c>
      <x:c r="C18" s="79">
        <x:v>33</x:v>
      </x:c>
      <x:c r="D18" s="289" t="s">
        <x:v>29</x:v>
      </x:c>
      <x:c r="E18" s="290"/>
      <x:c r="F18" s="297">
        <x:v>6</x:v>
      </x:c>
      <x:c r="G18" s="29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56</x:v>
      </x:c>
      <x:c r="B19" s="300"/>
      <x:c r="C19" s="134">
        <x:f>SUM('1:30'!$C$18)</x:f>
        <x:v>848</x:v>
      </x:c>
      <x:c r="D19" s="281"/>
      <x:c r="E19" s="282"/>
      <x:c r="F19" s="288">
        <x:f>SUM('1:30'!$F$18)</x:f>
        <x:v>89</x:v>
      </x:c>
      <x:c r="G19" s="288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108</x:v>
      </x:c>
      <x:c r="E20" s="262"/>
      <x:c r="F20" s="287">
        <x:v>69</x:v>
      </x:c>
      <x:c r="G20" s="287"/>
      <x:c r="H20" s="58"/>
      <x:c r="J20" s="54"/>
      <x:c r="K20" s="58"/>
      <x:c r="L20" s="60"/>
      <x:c r="M20" s="11"/>
    </x:row>
    <x:row r="21" spans="4:13" ht="21.949999999999999" customHeight="1">
      <x:c r="D21" s="262" t="s">
        <x:v>128</x:v>
      </x:c>
      <x:c r="E21" s="262"/>
      <x:c r="F21" s="288">
        <x:f>SUM('1:30'!$F$20)</x:f>
        <x:v>1628</x:v>
      </x:c>
      <x:c r="G21" s="288"/>
      <x:c r="H21" s="58"/>
      <x:c r="J21" s="54"/>
      <x:c r="K21" s="58"/>
      <x:c r="L21" s="60"/>
      <x:c r="M21" s="11"/>
    </x:row>
    <x:row r="22" spans="1:13" ht="32.100000000000001" customHeight="1">
      <x:c r="A22" s="261" t="s">
        <x:v>121</x:v>
      </x:c>
      <x:c r="B22" s="262"/>
      <x:c r="C22" s="286"/>
      <x:c r="D22" s="286"/>
      <x:c r="E22" s="286"/>
      <x:c r="F22" s="286"/>
      <x:c r="G22" s="286"/>
      <x:c r="H22" s="54"/>
      <x:c r="J22" s="54"/>
      <x:c r="K22" s="58"/>
      <x:c r="L22" s="60"/>
      <x:c r="M22" s="11"/>
    </x:row>
    <x:row r="23" spans="1:15" ht="34.149999999999999" customHeight="1">
      <x:c r="A23" s="261" t="s">
        <x:v>59</x:v>
      </x:c>
      <x:c r="B23" s="262"/>
      <x:c r="C23" s="317"/>
      <x:c r="D23" s="318"/>
      <x:c r="E23" s="318"/>
      <x:c r="F23" s="318"/>
      <x:c r="G23" s="318"/>
      <x:c r="H23" s="107" t="s">
        <x:v>95</x:v>
      </x:c>
      <x:c r="I23" s="108">
        <x:f>SUM(I4:I22)</x:f>
        <x:v>2568562</x:v>
      </x:c>
      <x:c r="J23" s="61" t="s">
        <x:v>70</x:v>
      </x:c>
      <x:c r="K23" s="62">
        <x:f>SUM(K4:K22)</x:f>
        <x:v>31900</x:v>
      </x:c>
      <x:c r="M23" s="88" t="s">
        <x:v>102</x:v>
      </x:c>
      <x:c r="N23" s="284">
        <x:f>C5+C6</x:f>
        <x:v>742200</x:v>
      </x:c>
      <x:c r="O23" s="285"/>
    </x:row>
    <x:row r="24" spans="1:11" ht="34.149999999999999" customHeight="1">
      <x:c r="A24" s="261" t="s">
        <x:v>152</x:v>
      </x:c>
      <x:c r="B24" s="262"/>
      <x:c r="C24" s="262" t="s">
        <x:v>86</x:v>
      </x:c>
      <x:c r="D24" s="262"/>
      <x:c r="E24" s="262" t="s">
        <x:v>62</x:v>
      </x:c>
      <x:c r="F24" s="262"/>
      <x:c r="G24" s="262"/>
      <x:c r="H24" s="107" t="s">
        <x:v>152</x:v>
      </x:c>
      <x:c r="I24" s="109">
        <x:f>I23/A25</x:f>
        <x:v>0.48202413346594852</x:v>
      </x:c>
      <x:c r="J24" s="61" t="s">
        <x:v>152</x:v>
      </x:c>
      <x:c r="K24" s="63">
        <x:f>K23/A25</x:f>
        <x:v>0.00598645072907088</x:v>
      </x:c>
    </x:row>
    <x:row r="25" spans="1:11" ht="34.149999999999999" customHeight="1">
      <x:c r="A25" s="313">
        <x:f>C2</x:f>
        <x:v>5328700</x:v>
      </x:c>
      <x:c r="B25" s="277"/>
      <x:c r="C25" s="277">
        <x:f>E25/I1</x:f>
        <x:v>4223286.666666667</x:v>
      </x:c>
      <x:c r="D25" s="277"/>
      <x:c r="E25" s="277">
        <x:f>SUM('1:30'!$A$25)</x:f>
        <x:v>126698600</x:v>
      </x:c>
      <x:c r="F25" s="277"/>
      <x:c r="G25" s="277"/>
      <x:c r="H25" s="107" t="s">
        <x:v>156</x:v>
      </x:c>
      <x:c r="I25" s="108">
        <x:f>SUM('1:30'!$I$23)</x:f>
        <x:v>45299142</x:v>
      </x:c>
      <x:c r="J25" s="61" t="s">
        <x:v>156</x:v>
      </x:c>
      <x:c r="K25" s="62">
        <x:f>SUM('1:30'!$K$23)</x:f>
        <x:v>2389591</x:v>
      </x:c>
    </x:row>
    <x:row r="26" spans="1:11" ht="34.149999999999999" customHeight="1">
      <x:c r="A26" s="261" t="s">
        <x:v>68</x:v>
      </x:c>
      <x:c r="B26" s="262"/>
      <x:c r="C26" s="262"/>
      <x:c r="D26" s="262"/>
      <x:c r="E26" s="263"/>
      <x:c r="F26" s="263"/>
      <x:c r="G26" s="263"/>
      <x:c r="H26" s="107" t="s">
        <x:v>67</x:v>
      </x:c>
      <x:c r="I26" s="110">
        <x:f>I25/$E$25</x:f>
        <x:v>0.35753466889136898</x:v>
      </x:c>
      <x:c r="J26" s="64" t="s">
        <x:v>67</x:v>
      </x:c>
      <x:c r="K26" s="65">
        <x:f>K25/$E$25</x:f>
        <x:v>0.018860437289756951</x:v>
      </x:c>
    </x:row>
    <x:row r="27" spans="1:13" ht="30.949999999999999" customHeight="1">
      <x:c r="A27" s="319" t="s">
        <x:v>113</x:v>
      </x:c>
      <x:c r="B27" s="54" t="s">
        <x:v>17</x:v>
      </x:c>
      <x:c r="C27" s="277">
        <x:f>3300000/31</x:f>
        <x:v>106451.6129032258</x:v>
      </x:c>
      <x:c r="D27" s="277"/>
      <x:c r="E27" s="55" t="s">
        <x:v>12</x:v>
      </x:c>
      <x:c r="F27" s="263">
        <x:f>13000*5</x:f>
        <x:v>65000</x:v>
      </x:c>
      <x:c r="G27" s="263"/>
      <x:c r="H27" s="111" t="s">
        <x:v>69</x:v>
      </x:c>
      <x:c r="I27" s="112">
        <x:f>SUM(C27:D34,F27:G32)</x:f>
        <x:v>640241.93548387091</x:v>
      </x:c>
      <x:c r="M27" s="66"/>
    </x:row>
    <x:row r="28" spans="1:13" ht="30.949999999999999" customHeight="1">
      <x:c r="A28" s="320"/>
      <x:c r="B28" s="54" t="s">
        <x:v>161</x:v>
      </x:c>
      <x:c r="C28" s="314">
        <x:f>3300000/31</x:f>
        <x:v>106451.6129032258</x:v>
      </x:c>
      <x:c r="D28" s="315"/>
      <x:c r="E28" s="148" t="s">
        <x:v>37</x:v>
      </x:c>
      <x:c r="F28" s="316">
        <x:f>13000*10.5</x:f>
        <x:v>136500</x:v>
      </x:c>
      <x:c r="G28" s="316"/>
      <x:c r="H28" s="111" t="s">
        <x:v>152</x:v>
      </x:c>
      <x:c r="I28" s="113">
        <x:f>I27/$A$25</x:f>
        <x:v>0.12014974299245049</x:v>
      </x:c>
      <x:c r="M28" s="66"/>
    </x:row>
    <x:row r="29" spans="1:13" ht="30.949999999999999" customHeight="1">
      <x:c r="A29" s="320"/>
      <x:c r="B29" s="54" t="s">
        <x:v>38</x:v>
      </x:c>
      <x:c r="C29" s="277">
        <x:f>3300000/31</x:f>
        <x:v>106451.6129032258</x:v>
      </x:c>
      <x:c r="D29" s="277"/>
      <x:c r="E29" s="54" t="s">
        <x:v>147</x:v>
      </x:c>
      <x:c r="F29" s="263"/>
      <x:c r="G29" s="263"/>
      <x:c r="H29" s="111" t="s">
        <x:v>156</x:v>
      </x:c>
      <x:c r="I29" s="112">
        <x:f>SUM('1:30'!$I$27)</x:f>
        <x:v>18271308.064516123</x:v>
      </x:c>
      <x:c r="M29" s="66"/>
    </x:row>
    <x:row r="30" spans="1:13" ht="30.949999999999999" customHeight="1">
      <x:c r="A30" s="320"/>
      <x:c r="B30" s="55" t="s">
        <x:v>28</x:v>
      </x:c>
      <x:c r="C30" s="277">
        <x:f>1500000/31</x:f>
        <x:v>48387.096774193546</x:v>
      </x:c>
      <x:c r="D30" s="277"/>
      <x:c r="E30" s="55"/>
      <x:c r="F30" s="311"/>
      <x:c r="G30" s="312"/>
      <x:c r="H30" s="111" t="s">
        <x:v>67</x:v>
      </x:c>
      <x:c r="I30" s="113">
        <x:f>I29/$I$27</x:f>
        <x:v>28.538130746945452</x:v>
      </x:c>
      <x:c r="M30" s="66"/>
    </x:row>
    <x:row r="31" spans="1:7" customHeight="1">
      <x:c r="A31" s="320"/>
      <x:c r="B31" s="147"/>
      <x:c r="C31" s="309"/>
      <x:c r="D31" s="310"/>
      <x:c r="E31" s="55" t="s">
        <x:v>10</x:v>
      </x:c>
      <x:c r="F31" s="311"/>
      <x:c r="G31" s="312"/>
    </x:row>
    <x:row r="32" spans="1:7" customHeight="1">
      <x:c r="A32" s="320"/>
      <x:c r="B32" s="147"/>
      <x:c r="C32" s="309"/>
      <x:c r="D32" s="310"/>
      <x:c r="E32" s="55" t="s">
        <x:v>79</x:v>
      </x:c>
      <x:c r="F32" s="311">
        <x:v>71000</x:v>
      </x:c>
      <x:c r="G32" s="312"/>
    </x:row>
    <x:row r="33" spans="1:4" customHeight="1">
      <x:c r="A33" s="320"/>
      <x:c r="B33" s="54"/>
      <x:c r="C33" s="309"/>
      <x:c r="D33" s="310"/>
    </x:row>
    <x:row r="34" spans="1:4" customHeight="1">
      <x:c r="A34" s="321"/>
      <x:c r="B34" s="54"/>
      <x:c r="C34" s="311"/>
      <x:c r="D34" s="312"/>
    </x:row>
  </x:sheetData>
  <x:mergeCells count="74"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F32:G32"/>
    <x:mergeCell ref="A25:B25"/>
    <x:mergeCell ref="C25:D25"/>
    <x:mergeCell ref="E25:G25"/>
    <x:mergeCell ref="A26:B26"/>
    <x:mergeCell ref="C26:D26"/>
    <x:mergeCell ref="E26:G26"/>
    <x:mergeCell ref="A23:B23"/>
    <x:mergeCell ref="C23:G23"/>
    <x:mergeCell ref="N23:O23"/>
    <x:mergeCell ref="A24:B24"/>
    <x:mergeCell ref="C24:D24"/>
    <x:mergeCell ref="E24:G24"/>
    <x:mergeCell ref="D20:E20"/>
    <x:mergeCell ref="F20:G20"/>
    <x:mergeCell ref="D21:E21"/>
    <x:mergeCell ref="F21:G21"/>
    <x:mergeCell ref="A22:B22"/>
    <x:mergeCell ref="C22:G22"/>
    <x:mergeCell ref="B16:B17"/>
    <x:mergeCell ref="D16:E17"/>
    <x:mergeCell ref="F16:G16"/>
    <x:mergeCell ref="F17:G17"/>
    <x:mergeCell ref="D18:E19"/>
    <x:mergeCell ref="F18:G18"/>
    <x:mergeCell ref="F19:G19"/>
    <x:mergeCell ref="B14:B15"/>
    <x:mergeCell ref="F14:G14"/>
    <x:mergeCell ref="F15:G15"/>
    <x:mergeCell ref="D12:E13"/>
    <x:mergeCell ref="F12:G12"/>
    <x:mergeCell ref="F13:G1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J2:K2"/>
    <x:mergeCell ref="A2:B3"/>
    <x:mergeCell ref="C2:D3"/>
    <x:mergeCell ref="E2:F3"/>
    <x:mergeCell ref="G2:G3"/>
    <x:mergeCell ref="H2:I2"/>
    <x:mergeCell ref="D14:E15"/>
    <x:mergeCell ref="B18:B19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3"/>
  <x:dimension ref="A1:O34"/>
  <x:sheetViews>
    <x:sheetView tabSelected="1" topLeftCell="A1" zoomScale="85" zoomScaleNormal="85" zoomScaleSheetLayoutView="75" workbookViewId="0">
      <x:selection activeCell="I7" activeCellId="0" sqref="I7:I7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122</x:v>
      </x:c>
      <x:c r="D1" s="68"/>
      <x:c r="E1" s="68">
        <x:v>1</x:v>
      </x:c>
      <x:c r="F1" s="68">
        <x:v>31</x:v>
      </x:c>
      <x:c r="G1" s="68" t="s">
        <x:v>9</x:v>
      </x:c>
      <x:c r="H1" s="52" t="s">
        <x:v>96</x:v>
      </x:c>
      <x:c r="I1" s="52">
        <x:f>F1-K1</x:f>
        <x:v>31</x:v>
      </x:c>
      <x:c r="J1" s="52" t="s">
        <x:v>89</x:v>
      </x:c>
      <x:c r="K1" s="52"/>
    </x:row>
    <x:row r="2" spans="1:11" ht="20.100000000000001" customHeight="1">
      <x:c r="A2" s="272" t="s">
        <x:v>50</x:v>
      </x:c>
      <x:c r="B2" s="273"/>
      <x:c r="C2" s="276">
        <x:f>SUM(C4:D7)</x:f>
        <x:v>4908700</x:v>
      </x:c>
      <x:c r="D2" s="276"/>
      <x:c r="E2" s="279" t="s">
        <x:v>20</x:v>
      </x:c>
      <x:c r="F2" s="280"/>
      <x:c r="G2" s="268">
        <x:v>99700</x:v>
      </x:c>
      <x:c r="H2" s="266" t="s">
        <x:v>54</x:v>
      </x:c>
      <x:c r="I2" s="267"/>
      <x:c r="J2" s="264" t="s">
        <x:v>143</x:v>
      </x:c>
      <x:c r="K2" s="265"/>
    </x:row>
    <x:row r="3" spans="1:11" ht="20.100000000000001" customHeight="1">
      <x:c r="A3" s="274"/>
      <x:c r="B3" s="275"/>
      <x:c r="C3" s="277"/>
      <x:c r="D3" s="277"/>
      <x:c r="E3" s="281"/>
      <x:c r="F3" s="282"/>
      <x:c r="G3" s="269"/>
      <x:c r="H3" s="54" t="s">
        <x:v>36</x:v>
      </x:c>
      <x:c r="I3" s="56" t="s">
        <x:v>5</x:v>
      </x:c>
      <x:c r="J3" s="57" t="s">
        <x:v>36</x:v>
      </x:c>
      <x:c r="K3" s="56" t="s">
        <x:v>5</x:v>
      </x:c>
    </x:row>
    <x:row r="4" spans="1:11" ht="30.949999999999999" customHeight="1">
      <x:c r="A4" s="270" t="s">
        <x:v>41</x:v>
      </x:c>
      <x:c r="B4" s="271"/>
      <x:c r="C4" s="263">
        <x:v>3724800</x:v>
      </x:c>
      <x:c r="D4" s="263"/>
      <x:c r="E4" s="278" t="s">
        <x:v>160</x:v>
      </x:c>
      <x:c r="F4" s="278"/>
      <x:c r="G4" s="133">
        <x:f>INT(C4*0.0275)</x:f>
        <x:v>102432</x:v>
      </x:c>
      <x:c r="H4" s="54" t="s">
        <x:v>19</x:v>
      </x:c>
      <x:c r="I4" s="124">
        <x:f>343992+904000</x:f>
        <x:v>1247992</x:v>
      </x:c>
      <x:c r="J4" s="80" t="s">
        <x:v>24</x:v>
      </x:c>
      <x:c r="K4" s="58"/>
    </x:row>
    <x:row r="5" spans="1:11" ht="30.949999999999999" customHeight="1">
      <x:c r="A5" s="270" t="s">
        <x:v>52</x:v>
      </x:c>
      <x:c r="B5" s="271"/>
      <x:c r="C5" s="263">
        <x:v>1183900</x:v>
      </x:c>
      <x:c r="D5" s="263"/>
      <x:c r="E5" s="262" t="s">
        <x:v>136</x:v>
      </x:c>
      <x:c r="F5" s="262"/>
      <x:c r="G5" s="133">
        <x:f>INT(C5*0.01)</x:f>
        <x:v>11839</x:v>
      </x:c>
      <x:c r="H5" s="54" t="s">
        <x:v>54</x:v>
      </x:c>
      <x:c r="I5" s="124">
        <x:f>60500+29656+44000+46900+50000+30932+25820+18710+20150</x:f>
        <x:v>326668</x:v>
      </x:c>
      <x:c r="J5" s="81"/>
      <x:c r="K5" s="58"/>
    </x:row>
    <x:row r="6" spans="1:11" ht="21.949999999999999" customHeight="1">
      <x:c r="A6" s="257" t="s">
        <x:v>74</x:v>
      </x:c>
      <x:c r="B6" s="258"/>
      <x:c r="C6" s="302"/>
      <x:c r="D6" s="303"/>
      <x:c r="E6" s="289" t="s">
        <x:v>117</x:v>
      </x:c>
      <x:c r="F6" s="290"/>
      <x:c r="G6" s="283">
        <x:v>1200000</x:v>
      </x:c>
      <x:c r="H6" s="54"/>
      <x:c r="I6" s="124"/>
      <x:c r="J6" s="81" t="s">
        <x:v>99</x:v>
      </x:c>
      <x:c r="K6" s="58"/>
    </x:row>
    <x:row r="7" spans="1:11" ht="21.949999999999999" customHeight="1">
      <x:c r="A7" s="259"/>
      <x:c r="B7" s="260"/>
      <x:c r="C7" s="304"/>
      <x:c r="D7" s="305"/>
      <x:c r="E7" s="281"/>
      <x:c r="F7" s="282"/>
      <x:c r="G7" s="269"/>
      <x:c r="H7" s="54" t="s">
        <x:v>11</x:v>
      </x:c>
      <x:c r="I7" s="124"/>
      <x:c r="J7" s="81" t="s">
        <x:v>106</x:v>
      </x:c>
      <x:c r="K7" s="58"/>
    </x:row>
    <x:row r="8" spans="1:11" ht="21.949999999999999" customHeight="1">
      <x:c r="A8" s="261" t="s">
        <x:v>98</x:v>
      </x:c>
      <x:c r="B8" s="262"/>
      <x:c r="C8" s="263">
        <x:v>83600</x:v>
      </x:c>
      <x:c r="D8" s="263"/>
      <x:c r="E8" s="289" t="s">
        <x:v>114</x:v>
      </x:c>
      <x:c r="F8" s="290"/>
      <x:c r="G8" s="295">
        <x:f>C5+G2-G6-C22</x:f>
        <x:v>83600</x:v>
      </x:c>
      <x:c r="H8" s="54" t="s">
        <x:v>14</x:v>
      </x:c>
      <x:c r="I8" s="124"/>
      <x:c r="J8" s="81"/>
      <x:c r="K8" s="58"/>
    </x:row>
    <x:row r="9" spans="1:11" ht="21.949999999999999" customHeight="1">
      <x:c r="A9" s="261"/>
      <x:c r="B9" s="262"/>
      <x:c r="C9" s="263"/>
      <x:c r="D9" s="263"/>
      <x:c r="E9" s="281"/>
      <x:c r="F9" s="282"/>
      <x:c r="G9" s="296"/>
      <x:c r="H9" s="54"/>
      <x:c r="I9" s="124"/>
      <x:c r="J9" s="54" t="s">
        <x:v>154</x:v>
      </x:c>
      <x:c r="K9" s="58"/>
    </x:row>
    <x:row r="10" spans="1:11" ht="30.949999999999999" customHeight="1">
      <x:c r="A10" s="261" t="s">
        <x:v>120</x:v>
      </x:c>
      <x:c r="B10" s="262"/>
      <x:c r="C10" s="263">
        <x:v>119000</x:v>
      </x:c>
      <x:c r="D10" s="263"/>
      <x:c r="E10" s="262" t="s">
        <x:v>101</x:v>
      </x:c>
      <x:c r="F10" s="262"/>
      <x:c r="G10" s="55"/>
      <x:c r="H10" s="54"/>
      <x:c r="I10" s="124"/>
      <x:c r="J10" s="54" t="s">
        <x:v>23</x:v>
      </x:c>
      <x:c r="K10" s="58"/>
    </x:row>
    <x:row r="11" spans="1:11" ht="33" customHeight="1">
      <x:c r="A11" s="261" t="s">
        <x:v>115</x:v>
      </x:c>
      <x:c r="B11" s="262"/>
      <x:c r="C11" s="301" t="s">
        <x:v>123</x:v>
      </x:c>
      <x:c r="D11" s="301"/>
      <x:c r="E11" s="301"/>
      <x:c r="F11" s="301"/>
      <x:c r="G11" s="301"/>
      <x:c r="H11" s="54" t="s">
        <x:v>151</x:v>
      </x:c>
      <x:c r="I11" s="58"/>
      <x:c r="J11" s="54" t="s">
        <x:v>125</x:v>
      </x:c>
      <x:c r="K11" s="135"/>
    </x:row>
    <x:row r="12" spans="1:13" ht="21.949999999999999" customHeight="1">
      <x:c r="A12" s="59" t="s">
        <x:v>21</x:v>
      </x:c>
      <x:c r="B12" s="299" t="s">
        <x:v>8</x:v>
      </x:c>
      <x:c r="C12" s="79">
        <x:v>20</x:v>
      </x:c>
      <x:c r="D12" s="289" t="s">
        <x:v>83</x:v>
      </x:c>
      <x:c r="E12" s="290"/>
      <x:c r="F12" s="293">
        <x:v>31</x:v>
      </x:c>
      <x:c r="G12" s="294"/>
      <x:c r="H12" s="54" t="s">
        <x:v>58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56</x:v>
      </x:c>
      <x:c r="B13" s="300"/>
      <x:c r="C13" s="134">
        <x:f>SUM('1:31'!$C$12)</x:f>
        <x:v>450</x:v>
      </x:c>
      <x:c r="D13" s="281"/>
      <x:c r="E13" s="282"/>
      <x:c r="F13" s="291">
        <x:f>SUM('1:31'!$F$12)</x:f>
        <x:v>636</x:v>
      </x:c>
      <x:c r="G13" s="292"/>
      <x:c r="H13" s="54" t="s">
        <x:v>92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21</x:v>
      </x:c>
      <x:c r="B14" s="299" t="s">
        <x:v>84</x:v>
      </x:c>
      <x:c r="C14" s="79">
        <x:v>26</x:v>
      </x:c>
      <x:c r="D14" s="289" t="s">
        <x:v>73</x:v>
      </x:c>
      <x:c r="E14" s="290"/>
      <x:c r="F14" s="293">
        <x:v>25</x:v>
      </x:c>
      <x:c r="G14" s="294"/>
      <x:c r="H14" s="54" t="s">
        <x:v>61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56</x:v>
      </x:c>
      <x:c r="B15" s="300"/>
      <x:c r="C15" s="134">
        <x:f>SUM('1:31'!$C$14)</x:f>
        <x:v>733</x:v>
      </x:c>
      <x:c r="D15" s="281"/>
      <x:c r="E15" s="282"/>
      <x:c r="F15" s="291">
        <x:f>SUM('1:31'!$F$14)</x:f>
        <x:v>430</x:v>
      </x:c>
      <x:c r="G15" s="292"/>
      <x:c r="H15" s="54" t="s">
        <x:v>64</x:v>
      </x:c>
      <x:c r="I15" s="58">
        <x:f>4900+5500+10500+20500+34000+3500+27000</x:f>
        <x:v>105900</x:v>
      </x:c>
      <x:c r="J15" s="54" t="s">
        <x:v>143</x:v>
      </x:c>
      <x:c r="K15" s="58"/>
      <x:c r="L15" s="60"/>
      <x:c r="M15" s="11"/>
    </x:row>
    <x:row r="16" spans="1:13" ht="21.949999999999999" customHeight="1">
      <x:c r="A16" s="59" t="s">
        <x:v>21</x:v>
      </x:c>
      <x:c r="B16" s="299" t="s">
        <x:v>51</x:v>
      </x:c>
      <x:c r="C16" s="79">
        <x:v>9</x:v>
      </x:c>
      <x:c r="D16" s="289" t="s">
        <x:v>81</x:v>
      </x:c>
      <x:c r="E16" s="290"/>
      <x:c r="F16" s="287">
        <x:v>13</x:v>
      </x:c>
      <x:c r="G16" s="287"/>
      <x:c r="H16" s="54"/>
      <x:c r="I16" s="58"/>
      <x:c r="J16" s="54" t="s">
        <x:v>105</x:v>
      </x:c>
      <x:c r="K16" s="58"/>
      <x:c r="L16" s="60"/>
      <x:c r="M16" s="11"/>
    </x:row>
    <x:row r="17" spans="1:13" ht="21.949999999999999" customHeight="1">
      <x:c r="A17" s="59" t="s">
        <x:v>56</x:v>
      </x:c>
      <x:c r="B17" s="300"/>
      <x:c r="C17" s="134">
        <x:f>SUM('1:31'!$C$16)</x:f>
        <x:v>177</x:v>
      </x:c>
      <x:c r="D17" s="281"/>
      <x:c r="E17" s="282"/>
      <x:c r="F17" s="288">
        <x:f>SUM('1:31'!$F$16)</x:f>
        <x:v>377</x:v>
      </x:c>
      <x:c r="G17" s="288"/>
      <x:c r="H17" s="54" t="s">
        <x:v>18</x:v>
      </x:c>
      <x:c r="I17" s="58"/>
      <x:c r="J17" s="54" t="s">
        <x:v>97</x:v>
      </x:c>
      <x:c r="K17" s="58"/>
      <x:c r="L17" s="60"/>
      <x:c r="M17" s="11"/>
    </x:row>
    <x:row r="18" spans="1:13" ht="21.949999999999999" customHeight="1">
      <x:c r="A18" s="59" t="s">
        <x:v>21</x:v>
      </x:c>
      <x:c r="B18" s="299" t="s">
        <x:v>107</x:v>
      </x:c>
      <x:c r="C18" s="79">
        <x:v>47</x:v>
      </x:c>
      <x:c r="D18" s="289" t="s">
        <x:v>29</x:v>
      </x:c>
      <x:c r="E18" s="290"/>
      <x:c r="F18" s="297">
        <x:v>3</x:v>
      </x:c>
      <x:c r="G18" s="298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56</x:v>
      </x:c>
      <x:c r="B19" s="300"/>
      <x:c r="C19" s="134">
        <x:f>SUM('1:31'!$C$18)</x:f>
        <x:v>895</x:v>
      </x:c>
      <x:c r="D19" s="281"/>
      <x:c r="E19" s="282"/>
      <x:c r="F19" s="288">
        <x:f>SUM('1:31'!$F$18)</x:f>
        <x:v>92</x:v>
      </x:c>
      <x:c r="G19" s="288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62" t="s">
        <x:v>108</x:v>
      </x:c>
      <x:c r="E20" s="262"/>
      <x:c r="F20" s="287">
        <x:v>56</x:v>
      </x:c>
      <x:c r="G20" s="287"/>
      <x:c r="H20" s="58"/>
      <x:c r="J20" s="54"/>
      <x:c r="K20" s="58"/>
      <x:c r="L20" s="60"/>
      <x:c r="M20" s="11"/>
    </x:row>
    <x:row r="21" spans="4:13" ht="21.949999999999999" customHeight="1">
      <x:c r="D21" s="262" t="s">
        <x:v>128</x:v>
      </x:c>
      <x:c r="E21" s="262"/>
      <x:c r="F21" s="288">
        <x:f>SUM('1:31'!$F$20)</x:f>
        <x:v>1684</x:v>
      </x:c>
      <x:c r="G21" s="288"/>
      <x:c r="H21" s="58"/>
      <x:c r="J21" s="54"/>
      <x:c r="K21" s="58"/>
      <x:c r="L21" s="60"/>
      <x:c r="M21" s="11"/>
    </x:row>
    <x:row r="22" spans="1:13" ht="32.100000000000001" customHeight="1">
      <x:c r="A22" s="261" t="s">
        <x:v>121</x:v>
      </x:c>
      <x:c r="B22" s="262"/>
      <x:c r="C22" s="286"/>
      <x:c r="D22" s="286"/>
      <x:c r="E22" s="286"/>
      <x:c r="F22" s="286"/>
      <x:c r="G22" s="286"/>
      <x:c r="H22" s="54"/>
      <x:c r="J22" s="54"/>
      <x:c r="K22" s="58"/>
      <x:c r="L22" s="60"/>
      <x:c r="M22" s="11"/>
    </x:row>
    <x:row r="23" spans="1:15" ht="34.149999999999999" customHeight="1">
      <x:c r="A23" s="261" t="s">
        <x:v>59</x:v>
      </x:c>
      <x:c r="B23" s="262"/>
      <x:c r="C23" s="317"/>
      <x:c r="D23" s="318"/>
      <x:c r="E23" s="318"/>
      <x:c r="F23" s="318"/>
      <x:c r="G23" s="318"/>
      <x:c r="H23" s="107" t="s">
        <x:v>95</x:v>
      </x:c>
      <x:c r="I23" s="108">
        <x:f>SUM(I4:I22)</x:f>
        <x:v>1680560</x:v>
      </x:c>
      <x:c r="J23" s="61" t="s">
        <x:v>70</x:v>
      </x:c>
      <x:c r="K23" s="62">
        <x:f>SUM(K4:K22)</x:f>
        <x:v>0</x:v>
      </x:c>
      <x:c r="M23" s="88" t="s">
        <x:v>102</x:v>
      </x:c>
      <x:c r="N23" s="284">
        <x:f>C5+C6</x:f>
        <x:v>1183900</x:v>
      </x:c>
      <x:c r="O23" s="285"/>
    </x:row>
    <x:row r="24" spans="1:11" ht="34.149999999999999" customHeight="1">
      <x:c r="A24" s="261" t="s">
        <x:v>152</x:v>
      </x:c>
      <x:c r="B24" s="262"/>
      <x:c r="C24" s="262" t="s">
        <x:v>86</x:v>
      </x:c>
      <x:c r="D24" s="262"/>
      <x:c r="E24" s="262" t="s">
        <x:v>62</x:v>
      </x:c>
      <x:c r="F24" s="262"/>
      <x:c r="G24" s="262"/>
      <x:c r="H24" s="107" t="s">
        <x:v>152</x:v>
      </x:c>
      <x:c r="I24" s="109">
        <x:f>I23/A25</x:f>
        <x:v>0.34236355857966466</x:v>
      </x:c>
      <x:c r="J24" s="61" t="s">
        <x:v>152</x:v>
      </x:c>
      <x:c r="K24" s="63">
        <x:f>K23/A25</x:f>
        <x:v>0</x:v>
      </x:c>
    </x:row>
    <x:row r="25" spans="1:11" ht="34.149999999999999" customHeight="1">
      <x:c r="A25" s="313">
        <x:f>C2</x:f>
        <x:v>4908700</x:v>
      </x:c>
      <x:c r="B25" s="277"/>
      <x:c r="C25" s="277">
        <x:f>E25/I1</x:f>
        <x:v>4245396.7741935486</x:v>
      </x:c>
      <x:c r="D25" s="277"/>
      <x:c r="E25" s="277">
        <x:f>SUM('1:31'!$A$25)</x:f>
        <x:v>131607300</x:v>
      </x:c>
      <x:c r="F25" s="277"/>
      <x:c r="G25" s="277"/>
      <x:c r="H25" s="107" t="s">
        <x:v>156</x:v>
      </x:c>
      <x:c r="I25" s="108">
        <x:f>SUM('1:31'!$I$23)</x:f>
        <x:v>46979702</x:v>
      </x:c>
      <x:c r="J25" s="61" t="s">
        <x:v>156</x:v>
      </x:c>
      <x:c r="K25" s="62">
        <x:f>SUM('1:31'!$K$23)</x:f>
        <x:v>2389591</x:v>
      </x:c>
    </x:row>
    <x:row r="26" spans="1:11" ht="34.149999999999999" customHeight="1">
      <x:c r="A26" s="261" t="s">
        <x:v>68</x:v>
      </x:c>
      <x:c r="B26" s="262"/>
      <x:c r="C26" s="262"/>
      <x:c r="D26" s="262"/>
      <x:c r="E26" s="263"/>
      <x:c r="F26" s="263"/>
      <x:c r="G26" s="263"/>
      <x:c r="H26" s="107" t="s">
        <x:v>67</x:v>
      </x:c>
      <x:c r="I26" s="110">
        <x:f>I25/$E$25</x:f>
        <x:v>0.35696881555962323</x:v>
      </x:c>
      <x:c r="J26" s="64" t="s">
        <x:v>67</x:v>
      </x:c>
      <x:c r="K26" s="65">
        <x:f>K25/$E$25</x:f>
        <x:v>0.018156979134136178</x:v>
      </x:c>
    </x:row>
    <x:row r="27" spans="1:13" ht="30.949999999999999" customHeight="1">
      <x:c r="A27" s="319" t="s">
        <x:v>113</x:v>
      </x:c>
      <x:c r="B27" s="54" t="s">
        <x:v>17</x:v>
      </x:c>
      <x:c r="C27" s="277">
        <x:f>3300000/31</x:f>
        <x:v>106451.6129032258</x:v>
      </x:c>
      <x:c r="D27" s="277"/>
      <x:c r="E27" s="55" t="s">
        <x:v>12</x:v>
      </x:c>
      <x:c r="F27" s="263"/>
      <x:c r="G27" s="263"/>
      <x:c r="H27" s="111" t="s">
        <x:v>69</x:v>
      </x:c>
      <x:c r="I27" s="112">
        <x:f>SUM(C27:D34,F27:G32)</x:f>
        <x:v>548741.93548387091</x:v>
      </x:c>
      <x:c r="M27" s="66"/>
    </x:row>
    <x:row r="28" spans="1:13" ht="30.949999999999999" customHeight="1">
      <x:c r="A28" s="320"/>
      <x:c r="B28" s="54" t="s">
        <x:v>161</x:v>
      </x:c>
      <x:c r="C28" s="314">
        <x:f>3300000/31</x:f>
        <x:v>106451.6129032258</x:v>
      </x:c>
      <x:c r="D28" s="315"/>
      <x:c r="E28" s="148" t="s">
        <x:v>37</x:v>
      </x:c>
      <x:c r="F28" s="316">
        <x:f>13000*8</x:f>
        <x:v>104000</x:v>
      </x:c>
      <x:c r="G28" s="316"/>
      <x:c r="H28" s="111" t="s">
        <x:v>152</x:v>
      </x:c>
      <x:c r="I28" s="113">
        <x:f>I27/$A$25</x:f>
        <x:v>0.11178966640533561</x:v>
      </x:c>
      <x:c r="M28" s="66"/>
    </x:row>
    <x:row r="29" spans="1:13" ht="30.949999999999999" customHeight="1">
      <x:c r="A29" s="320"/>
      <x:c r="B29" s="54" t="s">
        <x:v>38</x:v>
      </x:c>
      <x:c r="C29" s="277">
        <x:f>3300000/31</x:f>
        <x:v>106451.6129032258</x:v>
      </x:c>
      <x:c r="D29" s="277"/>
      <x:c r="E29" s="54" t="s">
        <x:v>147</x:v>
      </x:c>
      <x:c r="F29" s="263"/>
      <x:c r="G29" s="263"/>
      <x:c r="H29" s="111" t="s">
        <x:v>156</x:v>
      </x:c>
      <x:c r="I29" s="112">
        <x:f>SUM('1:31'!$I$27)</x:f>
        <x:v>18820049.999999993</x:v>
      </x:c>
      <x:c r="M29" s="66"/>
    </x:row>
    <x:row r="30" spans="1:13" ht="30.949999999999999" customHeight="1">
      <x:c r="A30" s="320"/>
      <x:c r="B30" s="55" t="s">
        <x:v>28</x:v>
      </x:c>
      <x:c r="C30" s="277">
        <x:f>1500000/31</x:f>
        <x:v>48387.096774193546</x:v>
      </x:c>
      <x:c r="D30" s="277"/>
      <x:c r="E30" s="55"/>
      <x:c r="F30" s="311"/>
      <x:c r="G30" s="312"/>
      <x:c r="H30" s="111" t="s">
        <x:v>67</x:v>
      </x:c>
      <x:c r="I30" s="113">
        <x:f>I29/$I$27</x:f>
        <x:v>34.296722708835446</x:v>
      </x:c>
      <x:c r="M30" s="66"/>
    </x:row>
    <x:row r="31" spans="1:7" customHeight="1">
      <x:c r="A31" s="320"/>
      <x:c r="B31" s="147"/>
      <x:c r="C31" s="309"/>
      <x:c r="D31" s="310"/>
      <x:c r="E31" s="55" t="s">
        <x:v>10</x:v>
      </x:c>
      <x:c r="F31" s="311"/>
      <x:c r="G31" s="312"/>
    </x:row>
    <x:row r="32" spans="1:7" customHeight="1">
      <x:c r="A32" s="320"/>
      <x:c r="B32" s="147"/>
      <x:c r="C32" s="309"/>
      <x:c r="D32" s="310"/>
      <x:c r="E32" s="55" t="s">
        <x:v>79</x:v>
      </x:c>
      <x:c r="F32" s="311">
        <x:v>77000</x:v>
      </x:c>
      <x:c r="G32" s="312"/>
    </x:row>
    <x:row r="33" spans="1:4" customHeight="1">
      <x:c r="A33" s="320"/>
      <x:c r="B33" s="54"/>
      <x:c r="C33" s="309"/>
      <x:c r="D33" s="310"/>
    </x:row>
    <x:row r="34" spans="1:4" customHeight="1">
      <x:c r="A34" s="321"/>
      <x:c r="B34" s="54"/>
      <x:c r="C34" s="311"/>
      <x:c r="D34" s="312"/>
    </x:row>
  </x:sheetData>
  <x:mergeCells count="74">
    <x:mergeCell ref="J2:K2"/>
    <x:mergeCell ref="A2:B3"/>
    <x:mergeCell ref="C2:D3"/>
    <x:mergeCell ref="E2:F3"/>
    <x:mergeCell ref="G2:G3"/>
    <x:mergeCell ref="H2:I2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A4:B4"/>
    <x:mergeCell ref="C4:D4"/>
    <x:mergeCell ref="E4:F4"/>
    <x:mergeCell ref="A5:B5"/>
    <x:mergeCell ref="C5:D5"/>
    <x:mergeCell ref="E5:F5"/>
    <x:mergeCell ref="B14:B15"/>
    <x:mergeCell ref="F14:G14"/>
    <x:mergeCell ref="F15:G15"/>
    <x:mergeCell ref="D12:E13"/>
    <x:mergeCell ref="F12:G12"/>
    <x:mergeCell ref="F13:G13"/>
    <x:mergeCell ref="B16:B17"/>
    <x:mergeCell ref="D16:E17"/>
    <x:mergeCell ref="F16:G16"/>
    <x:mergeCell ref="F17:G17"/>
    <x:mergeCell ref="D18:E19"/>
    <x:mergeCell ref="F18:G18"/>
    <x:mergeCell ref="F19:G19"/>
    <x:mergeCell ref="D20:E20"/>
    <x:mergeCell ref="F20:G20"/>
    <x:mergeCell ref="D21:E21"/>
    <x:mergeCell ref="F21:G21"/>
    <x:mergeCell ref="A22:B22"/>
    <x:mergeCell ref="C22:G22"/>
    <x:mergeCell ref="A23:B23"/>
    <x:mergeCell ref="C23:G23"/>
    <x:mergeCell ref="N23:O23"/>
    <x:mergeCell ref="A24:B24"/>
    <x:mergeCell ref="C24:D24"/>
    <x:mergeCell ref="E24:G24"/>
    <x:mergeCell ref="A25:B25"/>
    <x:mergeCell ref="C25:D25"/>
    <x:mergeCell ref="E25:G25"/>
    <x:mergeCell ref="A26:B26"/>
    <x:mergeCell ref="C26:D26"/>
    <x:mergeCell ref="E26:G26"/>
    <x:mergeCell ref="A27:A34"/>
    <x:mergeCell ref="C27:D27"/>
    <x:mergeCell ref="F27:G27"/>
    <x:mergeCell ref="C28:D28"/>
    <x:mergeCell ref="F28:G28"/>
    <x:mergeCell ref="C29:D29"/>
    <x:mergeCell ref="F29:G29"/>
    <x:mergeCell ref="C33:D33"/>
    <x:mergeCell ref="C34:D34"/>
    <x:mergeCell ref="C30:D30"/>
    <x:mergeCell ref="F30:G30"/>
    <x:mergeCell ref="C31:D31"/>
    <x:mergeCell ref="F31:G31"/>
    <x:mergeCell ref="C32:D32"/>
    <x:mergeCell ref="F32:G32"/>
    <x:mergeCell ref="D14:E15"/>
    <x:mergeCell ref="B18:B19"/>
    <x:mergeCell ref="B12:B13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4"/>
  <x:dimension ref="A1:A1"/>
  <x:sheetViews>
    <x:sheetView topLeftCell="A1" zoomScale="66" zoomScaleNormal="66" zoomScaleSheetLayoutView="75" workbookViewId="0">
      <x:selection activeCell="A1" activeCellId="0" sqref="A1:A1"/>
    </x:sheetView>
  </x:sheetViews>
  <x:sheetFormatPr defaultColWidth="9" defaultRowHeight="16.5"/>
  <x:sheetData/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4" baseType="lpstr">
      <vt:lpstr>월합산</vt:lpstr>
      <vt:lpstr>결산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Chart1</vt:lpstr>
    </vt:vector>
  </ep:TitlesOfParts>
  <ep:TotalTime>228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현지</dc:creator>
  <cp:lastModifiedBy>신재호</cp:lastModifiedBy>
  <cp:revision>29</cp:revision>
  <cp:lastPrinted>2020-08-02T09:11:11.000</cp:lastPrinted>
  <dcterms:created xsi:type="dcterms:W3CDTF">2017-10-12T05:43:00.000</dcterms:created>
  <dcterms:modified xsi:type="dcterms:W3CDTF">2026-04-27T17:22:01.667</dcterms:modified>
  <cp:version>1000.0100.01</cp:version>
</cp:coreProperties>
</file>