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1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Chart1" sheetId="33" state="hidden" r:id="rId36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<x:sst xmlns:r="http://schemas.openxmlformats.org/officeDocument/2006/relationships" xmlns:c="http://schemas.openxmlformats.org/drawingml/2006/chart" xmlns:x="http://schemas.openxmlformats.org/spreadsheetml/2006/main" count="2916" uniqueCount="166">
  <x:si>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</x:si>
  <x:si>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</x:si>
  <x:si>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</x:si>
  <x:si>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</x:si>
  <x:si>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</x:si>
  <x:si>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</x:si>
  <x:si>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</x:si>
  <x:si>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</x:si>
  <x:si>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</x:si>
  <x:si>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</x:si>
  <x:si>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</x:si>
  <x:si>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</x:si>
  <x:si>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</x:si>
  <x:si>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</x:si>
  <x:si>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</x:si>
  <x:si>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</x:si>
  <x:si>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</x:si>
  <x:si>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</x:si>
  <x:si>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</x:si>
  <x:si>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</x:si>
  <x:si>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</x:si>
  <x:si>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</x:si>
  <x:si>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</x:si>
  <x:si>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직원B</x:t>
  </x:si>
  <x:si>
    <x:t>주류</x:t>
  </x:si>
  <x:si>
    <x:t>목요일</x:t>
  </x:si>
  <x:si>
    <x:t>총비용</x:t>
  </x:si>
  <x:si>
    <x:t>업체</x:t>
  </x:si>
  <x:si>
    <x:t>금요일</x:t>
  </x:si>
  <x:si>
    <x:t>수</x:t>
  </x:si>
  <x:si>
    <x:t>생갈비</x:t>
  </x:si>
  <x:si>
    <x:t>금</x:t>
  </x:si>
  <x:si>
    <x:t>알바A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</x:si>
  <x:si>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</x:si>
  <x:si>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</x:si>
  <x:si>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</x:si>
  <x:si>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</x:si>
  <x:si>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</x:si>
  <x:si>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</x:si>
  <x:si>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</x:si>
  <x:si>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</x:si>
  <x:si>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</x:si>
  <x:si>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</x:si>
  <x:si>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</x:si>
  <x:si>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</x:si>
  <x:si>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</x:si>
  <x:si>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</x:si>
  <x:si>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</x:si>
  <x:si>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</x:si>
  <x:si>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</x:si>
  <x:si>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</x:si>
  <x:si>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</x:si>
  <x:si>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</x:si>
  <x:si>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</x:si>
  <x:si>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</x:si>
  <x:si>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</x:si>
  <x:si>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</x:si>
  <x:si>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</x:si>
  <x:si>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</x:si>
  <x:si>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</x:si>
  <x:si>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</x:si>
  <x:si>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</x:si>
  <x:si>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</x:si>
  <x:si>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</x:si>
  <x:si>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</x:si>
  <x:si>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</x:si>
  <x:si>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</x:si>
  <x:si>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손익분기점 매출액 X</x:t>
  </x:si>
  <x:si>
    <x:t>take
out</x:t>
  </x:si>
  <x:si>
    <x:t>손익분기점 매출액</x:t>
  </x:si>
  <x:si>
    <x:t>체험단 50,000원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</x:si>
  <x:si>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</x:si>
  <x:si>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</x:si>
  <x:si>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</x:si>
  <x:si>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</x:si>
  <x:si>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</x:si>
  <x:si>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</x:si>
  <x:si>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</x:si>
  <x:si>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</x:si>
  <x:si>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</x:si>
  <x:si>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</x:si>
  <x:si>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</x:si>
  <x:si>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</x:si>
  <x:si>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</x:si>
  <x:si>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</x:si>
  <x:si>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</x:si>
  <x:si>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</x:si>
  <x:si>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</x:si>
  <x:si>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</x:si>
  <x:si>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</x:si>
  <x:si>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</x:si>
  <x:si>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</x:si>
  <x:si>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</x:si>
  <x:si>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</x:si>
  <x:si>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</x:si>
  <x:si>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</x:si>
  <x:si>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</x:si>
  <x:si>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</x:si>
  <x:si>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</x:si>
  <x:si>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</x:si>
  <x:si>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</x:si>
  <x:si>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</x:si>
  <x:si>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</x:si>
  <x:si>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</x:si>
  <x:si>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</x:si>
  <x:si>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</x:si>
  <x:si>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</x:si>
  <x:si>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</x:si>
  <x:si>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</x:si>
  <x:si>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</x:si>
  <x:si>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</x:si>
  <x:si>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</x:si>
  <x:si>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</x:si>
  <x:si>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</x:si>
  <x:si>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</x:si>
  <x:si>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</x:si>
  <x:si>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</x:si>
  <x:si>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</x:si>
  <x:si>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</x:si>
  <x:si>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</x:si>
  <x:si>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</x:si>
  <x:si>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</x:si>
  <x:si>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</x:si>
  <x:si>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</x:si>
  <x:si>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</x:si>
  <x:si>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</x:si>
  <x:si>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</x:si>
  <x:si>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</x:si>
  <x:si>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</x:si>
  <x:si>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</x:si>
  <x:si>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</x:si>
  <x:si>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</x:si>
  <x:si>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</x:si>
  <x:si>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</x:si>
  <x:si>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</x:si>
  <x:si>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</x:si>
  <x:si>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</x:si>
  <x:si>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</x:si>
  <x:si>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</x:si>
  <x:si>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</x:si>
  <x:si>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</x:si>
  <x:si>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</x:si>
  <x:si>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</x:si>
  <x:si>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</x:si>
  <x:si>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</x:si>
  <x:si>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</x:si>
  <x:si>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</x:si>
  <x:si>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</x:si>
  <x:si>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</x:si>
  <x:si>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</x:si>
  <x:si>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리뷰노트 50,000원</x:t>
  </x:si>
  <x:si>
    <x:t>선결제할인81,000 리뷰노트 49,000+50,000</x:t>
  </x:si>
  <x:si>
    <x:t>3053 고객님 선결제 남은 금액 196,000 전액 사용했습니다.</x:t>
  </x:si>
  <x:si>
    <x:t>알바C</x:t>
  </x:si>
  <x:si>
    <x:t>6월</x:t>
  </x:si>
  <x:si>
    <x:t>ㄴ</x:t>
  </x:si>
  <x:si>
    <x:t>직원F</x:t>
  </x:si>
  <x:si>
    <x:t>월요일</x:t>
  </x:si>
  <x:si>
    <x:t>체험단 95,000원</x:t>
  </x:si>
  <x:si>
    <x:t>리뷰노트 50,000</x:t>
  </x:si>
  <x:si>
    <x:t>6월 테이블수</x:t>
  </x:si>
  <x:si>
    <x:t>e-식권 62,000원</x:t>
  </x:si>
  <x:si>
    <x:t>리뷰노트 49,000원</x:t>
  </x:si>
  <x:si>
    <x:t>e-식권 91,000원 24,000원 육회 할인</x:t>
  </x:si>
  <x:si>
    <x:t>서비스 순두부찌개 1 , 1등고기 1</x:t>
  </x:si>
  <x:si>
    <x:t>배문설고객님  143,000원 선결제 사용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</x:si>
</x:sst>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54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1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x:xf numFmtId="164" fontId="13" fillId="0" borderId="34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x:xf numFmtId="9" fontId="0" fillId="0" borderId="27" xfId="1" applyNumberFormat="1" applyBorder="1">
      <x:alignment horizontal="general" vertical="center"/>
    </x:xf>
    <x:xf numFmtId="9" fontId="0" fillId="0" borderId="8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3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30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30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0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30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3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30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5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2025년4,054,0003,868,000186,000126,000157,000배문설고객님  143,000원 선결제 사용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7</c:v>
                </c:pt>
                <c:pt idx="1">
                  <c:v>131</c:v>
                </c:pt>
                <c:pt idx="2">
                  <c:v>24</c:v>
                </c:pt>
                <c:pt idx="3">
                  <c:v>386</c:v>
                </c:pt>
                <c:pt idx="4">
                  <c:v>7</c:v>
                </c:pt>
                <c:pt idx="5">
                  <c:v>49</c:v>
                </c:pt>
                <c:pt idx="6">
                  <c:v/>
                </c:pt>
                <c:pt idx="7">
                  <c:v>298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3877300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/>
                </c:pt>
                <c:pt idx="19">
                  <c:v>112903.225806452</c:v>
                </c:pt>
                <c:pt idx="20">
                  <c:v/>
                </c:pt>
                <c:pt idx="21">
                  <c:v/>
                </c:pt>
                <c:pt idx="22">
                  <c:v>52650</c:v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6월시재카드수수료(2.75%)현금수수료(1%)통장입금마감잔금카드할인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38773000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/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6</c:v>
                </c:pt>
                <c:pt idx="1">
                  <c:v>61</c:v>
                </c:pt>
                <c:pt idx="2">
                  <c:v>8</c:v>
                </c:pt>
                <c:pt idx="3">
                  <c:v>199</c:v>
                </c:pt>
                <c:pt idx="4">
                  <c:v>26</c:v>
                </c:pt>
                <c:pt idx="5">
                  <c:v>115</c:v>
                </c:pt>
                <c:pt idx="6">
                  <c:v>9</c:v>
                </c:pt>
                <c:pt idx="7">
                  <c:v>115</c:v>
                </c:pt>
                <c:pt idx="8">
                  <c:v>54</c:v>
                </c:pt>
                <c:pt idx="9">
                  <c:v>547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50000</c:v>
                </c:pt>
                <c:pt idx="17">
                  <c:v/>
                </c:pt>
                <c:pt idx="18">
                  <c:v/>
                </c:pt>
                <c:pt idx="19">
                  <c:v>120000</c:v>
                </c:pt>
                <c:pt idx="20">
                  <c:v>132000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화140,000106,3701,860200,000126,000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10금액221,000119,47656,000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61800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458276</c:v>
                </c:pt>
                <c:pt idx="11">
                  <c:v>0.113042920572274</c:v>
                </c:pt>
                <c:pt idx="12">
                  <c:v>0</c:v>
                </c:pt>
                <c:pt idx="13">
                  <c:v>0</c:v>
                </c:pt>
                <c:pt idx="14">
                  <c:v>822391.935483871</c:v>
                </c:pt>
                <c:pt idx="15">
                  <c:v>0.202859382211118</c:v>
                </c:pt>
                <c:pt idx="16">
                  <c:v>68438261</c:v>
                </c:pt>
                <c:pt idx="17">
                  <c:v>83.2185458624822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금액14,667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4054000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14666.6666666667</c:v>
                </c:pt>
                <c:pt idx="12">
                  <c:v>0.00361782601545798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chart" Target="../charts/chart5.xml"  /></Relationships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3" t="s">
        <x:v>74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</x:row>
    <x:row r="2" spans="1:11" ht="30.949999999999999" customHeight="1">
      <x:c r="A2" s="197" t="s">
        <x:v>9</x:v>
      </x:c>
      <x:c r="B2" s="198"/>
      <x:c r="C2" s="199">
        <x:f>C3+G3+C5</x:f>
        <x:v>0</x:v>
      </x:c>
      <x:c r="D2" s="200"/>
      <x:c r="E2" s="201" t="s">
        <x:v>12</x:v>
      </x:c>
      <x:c r="F2" s="202"/>
      <x:c r="G2" s="6"/>
      <x:c r="H2" s="203" t="s">
        <x:v>76</x:v>
      </x:c>
      <x:c r="I2" s="204"/>
      <x:c r="J2" s="204"/>
      <x:c r="K2" s="205"/>
    </x:row>
    <x:row r="3" spans="1:11" ht="30.949999999999999" customHeight="1">
      <x:c r="A3" s="206" t="s">
        <x:v>125</x:v>
      </x:c>
      <x:c r="B3" s="207"/>
      <x:c r="C3" s="208">
        <x:f>SUM('1'!C3)</x:f>
        <x:v>0</x:v>
      </x:c>
      <x:c r="D3" s="208"/>
      <x:c r="E3" s="207" t="s">
        <x:v>132</x:v>
      </x:c>
      <x:c r="F3" s="207"/>
      <x:c r="G3" s="7">
        <x:f>SUM('1'!G3)</x:f>
        <x:v>0</x:v>
      </x:c>
      <x:c r="H3" s="209"/>
      <x:c r="I3" s="210"/>
      <x:c r="J3" s="210"/>
      <x:c r="K3" s="211"/>
    </x:row>
    <x:row r="4" spans="1:11" ht="30.949999999999999" customHeight="1">
      <x:c r="A4" s="218" t="s">
        <x:v>123</x:v>
      </x:c>
      <x:c r="B4" s="219"/>
      <x:c r="C4" s="220">
        <x:f>C21</x:f>
        <x:v>0</x:v>
      </x:c>
      <x:c r="D4" s="220"/>
      <x:c r="E4" s="221" t="s">
        <x:v>14</x:v>
      </x:c>
      <x:c r="F4" s="219"/>
      <x:c r="G4" s="8">
        <x:f>C17</x:f>
        <x:v>0</x:v>
      </x:c>
      <x:c r="H4" s="212"/>
      <x:c r="I4" s="213"/>
      <x:c r="J4" s="213"/>
      <x:c r="K4" s="214"/>
    </x:row>
    <x:row r="5" spans="1:11" ht="30.949999999999999" customHeight="1">
      <x:c r="A5" s="206" t="s">
        <x:v>107</x:v>
      </x:c>
      <x:c r="B5" s="207"/>
      <x:c r="C5" s="222">
        <x:f>C6+G6</x:f>
        <x:v>0</x:v>
      </x:c>
      <x:c r="D5" s="223"/>
      <x:c r="E5" s="221" t="s">
        <x:v>17</x:v>
      </x:c>
      <x:c r="F5" s="219"/>
      <x:c r="G5" s="8">
        <x:f>C4-G4</x:f>
        <x:v>0</x:v>
      </x:c>
      <x:c r="H5" s="212"/>
      <x:c r="I5" s="213"/>
      <x:c r="J5" s="213"/>
      <x:c r="K5" s="214"/>
    </x:row>
    <x:row r="6" spans="1:11" ht="30.949999999999999" customHeight="1">
      <x:c r="A6" s="206" t="s">
        <x:v>146</x:v>
      </x:c>
      <x:c r="B6" s="207"/>
      <x:c r="C6" s="208">
        <x:f>SUM('1'!C7)</x:f>
        <x:v>0</x:v>
      </x:c>
      <x:c r="D6" s="208"/>
      <x:c r="E6" s="207" t="s">
        <x:v>90</x:v>
      </x:c>
      <x:c r="F6" s="207"/>
      <x:c r="G6" s="7">
        <x:f>SUM('1'!G7)</x:f>
        <x:v>0</x:v>
      </x:c>
      <x:c r="H6" s="212"/>
      <x:c r="I6" s="213"/>
      <x:c r="J6" s="213"/>
      <x:c r="K6" s="214"/>
    </x:row>
    <x:row r="7" spans="1:11" ht="30.949999999999999" customHeight="1">
      <x:c r="A7" s="206" t="s">
        <x:v>106</x:v>
      </x:c>
      <x:c r="B7" s="207"/>
      <x:c r="C7" s="224"/>
      <x:c r="D7" s="224"/>
      <x:c r="E7" s="224"/>
      <x:c r="F7" s="224"/>
      <x:c r="G7" s="224"/>
      <x:c r="H7" s="215"/>
      <x:c r="I7" s="216"/>
      <x:c r="J7" s="216"/>
      <x:c r="K7" s="217"/>
    </x:row>
    <x:row r="8" spans="1:11" ht="30.949999999999999" customHeight="1">
      <x:c r="A8" s="206"/>
      <x:c r="B8" s="207"/>
      <x:c r="C8" s="224"/>
      <x:c r="D8" s="224"/>
      <x:c r="E8" s="224"/>
      <x:c r="F8" s="224"/>
      <x:c r="G8" s="224"/>
      <x:c r="H8" s="5" t="s">
        <x:v>68</x:v>
      </x:c>
      <x:c r="I8" s="225" t="s">
        <x:v>99</x:v>
      </x:c>
      <x:c r="J8" s="226"/>
      <x:c r="K8" s="9">
        <x:f>SUM('1'!K9)</x:f>
        <x:v>0</x:v>
      </x:c>
    </x:row>
    <x:row r="9" spans="1:11" ht="30.949999999999999" customHeight="1">
      <x:c r="A9" s="206"/>
      <x:c r="B9" s="207"/>
      <x:c r="C9" s="224"/>
      <x:c r="D9" s="224"/>
      <x:c r="E9" s="224"/>
      <x:c r="F9" s="224"/>
      <x:c r="G9" s="224"/>
      <x:c r="H9" s="207" t="s">
        <x:v>35</x:v>
      </x:c>
      <x:c r="I9" s="225" t="s">
        <x:v>99</x:v>
      </x:c>
      <x:c r="J9" s="226"/>
      <x:c r="K9" s="9">
        <x:f>SUM('1'!K10)</x:f>
        <x:v>0</x:v>
      </x:c>
    </x:row>
    <x:row r="10" spans="1:11" ht="30.949999999999999" customHeight="1">
      <x:c r="A10" s="206"/>
      <x:c r="B10" s="207"/>
      <x:c r="C10" s="224"/>
      <x:c r="D10" s="224"/>
      <x:c r="E10" s="224"/>
      <x:c r="F10" s="224"/>
      <x:c r="G10" s="224"/>
      <x:c r="H10" s="207"/>
      <x:c r="I10" s="227" t="s">
        <x:v>142</x:v>
      </x:c>
      <x:c r="J10" s="228"/>
      <x:c r="K10" s="10">
        <x:f>SUM('1'!K11)</x:f>
        <x:v>14666.666666666666</x:v>
      </x:c>
    </x:row>
    <x:row r="11" spans="1:11" ht="32.100000000000001" customHeight="1">
      <x:c r="A11" s="218" t="s">
        <x:v>86</x:v>
      </x:c>
      <x:c r="B11" s="219"/>
      <x:c r="C11" s="229"/>
      <x:c r="D11" s="230"/>
      <x:c r="E11" s="230"/>
      <x:c r="F11" s="230"/>
      <x:c r="G11" s="231"/>
      <x:c r="H11" s="3" t="s">
        <x:v>135</x:v>
      </x:c>
      <x:c r="I11" s="229"/>
      <x:c r="J11" s="230"/>
      <x:c r="K11" s="232"/>
    </x:row>
    <x:row r="12" spans="1:11" ht="69.950000000000003" customHeight="1">
      <x:c r="A12" s="218" t="s">
        <x:v>127</x:v>
      </x:c>
      <x:c r="B12" s="219"/>
      <x:c r="C12" s="233"/>
      <x:c r="D12" s="234"/>
      <x:c r="E12" s="234"/>
      <x:c r="F12" s="234"/>
      <x:c r="G12" s="235"/>
      <x:c r="H12" s="3" t="s">
        <x:v>140</x:v>
      </x:c>
      <x:c r="I12" s="233"/>
      <x:c r="J12" s="234"/>
      <x:c r="K12" s="236"/>
    </x:row>
    <x:row r="13" spans="1:11" ht="30.949999999999999" customHeight="1">
      <x:c r="A13" s="206" t="s">
        <x:v>91</x:v>
      </x:c>
      <x:c r="B13" s="207"/>
      <x:c r="C13" s="221" t="s">
        <x:v>89</x:v>
      </x:c>
      <x:c r="D13" s="219"/>
      <x:c r="E13" s="221" t="s">
        <x:v>104</x:v>
      </x:c>
      <x:c r="F13" s="237"/>
      <x:c r="G13" s="219"/>
      <x:c r="H13" s="207" t="s">
        <x:v>80</x:v>
      </x:c>
      <x:c r="I13" s="207"/>
      <x:c r="J13" s="207" t="s">
        <x:v>88</x:v>
      </x:c>
      <x:c r="K13" s="238"/>
    </x:row>
    <x:row r="14" spans="1:11" ht="30.949999999999999" customHeight="1">
      <x:c r="A14" s="239">
        <x:f>C2</x:f>
        <x:v>0</x:v>
      </x:c>
      <x:c r="B14" s="240"/>
      <x:c r="C14" s="241" t="e">
        <x:f>ROUNDDOWN((E14/A14),-4)</x:f>
        <x:v>#DIV/0!</x:v>
      </x:c>
      <x:c r="D14" s="240"/>
      <x:c r="E14" s="241">
        <x:f>C2</x:f>
        <x:v>0</x:v>
      </x:c>
      <x:c r="F14" s="242"/>
      <x:c r="G14" s="240"/>
      <x:c r="H14" s="233"/>
      <x:c r="I14" s="235"/>
      <x:c r="J14" s="233"/>
      <x:c r="K14" s="236"/>
    </x:row>
    <x:row r="15" spans="1:11" ht="30.949999999999999" customHeight="1">
      <x:c r="A15" s="206" t="s">
        <x:v>145</x:v>
      </x:c>
      <x:c r="B15" s="207"/>
      <x:c r="C15" s="221"/>
      <x:c r="D15" s="219"/>
      <x:c r="E15" s="221"/>
      <x:c r="F15" s="237"/>
      <x:c r="G15" s="219"/>
      <x:c r="H15" s="233"/>
      <x:c r="I15" s="235"/>
      <x:c r="J15" s="233"/>
      <x:c r="K15" s="236"/>
    </x:row>
    <x:row r="16" spans="1:11" ht="30.949999999999999" customHeight="1">
      <x:c r="A16" s="218" t="s">
        <x:v>75</x:v>
      </x:c>
      <x:c r="B16" s="237"/>
      <x:c r="C16" s="237"/>
      <x:c r="D16" s="237"/>
      <x:c r="E16" s="237"/>
      <x:c r="F16" s="219"/>
      <x:c r="G16" s="207" t="s">
        <x:v>75</x:v>
      </x:c>
      <x:c r="H16" s="207"/>
      <x:c r="I16" s="207"/>
      <x:c r="J16" s="207"/>
      <x:c r="K16" s="238"/>
    </x:row>
    <x:row r="17" spans="1:11" ht="30.949999999999999" customHeight="1">
      <x:c r="A17" s="206" t="s">
        <x:v>3</x:v>
      </x:c>
      <x:c r="B17" s="207"/>
      <x:c r="C17" s="208"/>
      <x:c r="D17" s="208"/>
      <x:c r="E17" s="208"/>
      <x:c r="F17" s="208"/>
      <x:c r="G17" s="3" t="s">
        <x:v>3</x:v>
      </x:c>
      <x:c r="H17" s="208"/>
      <x:c r="I17" s="208"/>
      <x:c r="J17" s="208"/>
      <x:c r="K17" s="244"/>
    </x:row>
    <x:row r="18" spans="1:11" ht="30.949999999999999" customHeight="1">
      <x:c r="A18" s="206" t="s">
        <x:v>55</x:v>
      </x:c>
      <x:c r="B18" s="207"/>
      <x:c r="C18" s="208"/>
      <x:c r="D18" s="208"/>
      <x:c r="E18" s="208"/>
      <x:c r="F18" s="208"/>
      <x:c r="G18" s="3" t="s">
        <x:v>55</x:v>
      </x:c>
      <x:c r="H18" s="208"/>
      <x:c r="I18" s="208"/>
      <x:c r="J18" s="208"/>
      <x:c r="K18" s="244"/>
    </x:row>
    <x:row r="19" spans="1:11" ht="30.949999999999999" customHeight="1">
      <x:c r="A19" s="206" t="s">
        <x:v>13</x:v>
      </x:c>
      <x:c r="B19" s="207"/>
      <x:c r="C19" s="208"/>
      <x:c r="D19" s="208"/>
      <x:c r="E19" s="208"/>
      <x:c r="F19" s="208"/>
      <x:c r="G19" s="3" t="s">
        <x:v>13</x:v>
      </x:c>
      <x:c r="H19" s="208"/>
      <x:c r="I19" s="208"/>
      <x:c r="J19" s="208"/>
      <x:c r="K19" s="244"/>
    </x:row>
    <x:row r="20" spans="1:11" ht="30.949999999999999" customHeight="1">
      <x:c r="A20" s="206" t="s">
        <x:v>46</x:v>
      </x:c>
      <x:c r="B20" s="207"/>
      <x:c r="C20" s="208"/>
      <x:c r="D20" s="208"/>
      <x:c r="E20" s="208"/>
      <x:c r="F20" s="208"/>
      <x:c r="G20" s="3" t="s">
        <x:v>46</x:v>
      </x:c>
      <x:c r="H20" s="208"/>
      <x:c r="I20" s="208"/>
      <x:c r="J20" s="208"/>
      <x:c r="K20" s="244"/>
    </x:row>
    <x:row r="21" spans="1:11" ht="30.949999999999999" customHeight="1">
      <x:c r="A21" s="245" t="s">
        <x:v>57</x:v>
      </x:c>
      <x:c r="B21" s="246"/>
      <x:c r="C21" s="247">
        <x:f>SUM(C17:E20)</x:f>
        <x:v>0</x:v>
      </x:c>
      <x:c r="D21" s="248"/>
      <x:c r="E21" s="248"/>
      <x:c r="F21" s="249"/>
      <x:c r="G21" s="4" t="s">
        <x:v>57</x:v>
      </x:c>
      <x:c r="H21" s="250">
        <x:f>SUM(H17:K20)</x:f>
        <x:v>0</x:v>
      </x:c>
      <x:c r="I21" s="250"/>
      <x:c r="J21" s="250"/>
      <x:c r="K21" s="251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="110" zoomScaleNormal="110" zoomScaleSheetLayoutView="75" workbookViewId="0">
      <x:selection activeCell="O14" activeCellId="0" sqref="O14:O14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1" t="s">
        <x:v>154</x:v>
      </x:c>
    </x:row>
    <x:row r="2" spans="1:2" ht="16.399999999999999">
      <x:c r="A2" s="11"/>
      <x:c r="B2" s="11"/>
    </x:row>
    <x:row r="3" ht="16.399999999999999"/>
    <x:row r="4" spans="1:16" customHeight="1">
      <x:c r="A4" s="174" t="s">
        <x:v>95</x:v>
      </x:c>
      <x:c r="B4" s="175"/>
      <x:c r="C4" s="175"/>
      <x:c r="D4" s="175"/>
      <x:c r="E4" s="176"/>
      <x:c r="F4" s="174" t="s">
        <x:v>83</x:v>
      </x:c>
      <x:c r="G4" s="175"/>
      <x:c r="H4" s="175"/>
      <x:c r="I4" s="175"/>
      <x:c r="J4" s="175"/>
      <x:c r="K4" s="176"/>
      <x:c r="M4" s="70"/>
      <x:c r="N4" s="70"/>
      <x:c r="O4" s="70"/>
      <x:c r="P4" s="70"/>
    </x:row>
    <x:row r="5" spans="1:16" s="15" customFormat="1" ht="17.149999999999999">
      <x:c r="A5" s="177" t="s">
        <x:v>2</x:v>
      </x:c>
      <x:c r="B5" s="178"/>
      <x:c r="C5" s="13"/>
      <x:c r="D5" s="13" t="s">
        <x:v>112</x:v>
      </x:c>
      <x:c r="E5" s="14" t="s">
        <x:v>147</x:v>
      </x:c>
      <x:c r="F5" s="12" t="s">
        <x:v>2</x:v>
      </x:c>
      <x:c r="G5" s="13" t="s">
        <x:v>27</x:v>
      </x:c>
      <x:c r="H5" s="13" t="s">
        <x:v>42</x:v>
      </x:c>
      <x:c r="I5" s="14"/>
      <x:c r="J5" s="13" t="s">
        <x:v>112</x:v>
      </x:c>
      <x:c r="K5" s="14"/>
      <x:c r="M5" s="77" t="s">
        <x:v>134</x:v>
      </x:c>
      <x:c r="N5" s="128">
        <x:f>SUM('1:30'!G6)</x:f>
        <x:v>20391000</x:v>
      </x:c>
      <x:c r="O5" s="70"/>
      <x:c r="P5" s="70"/>
    </x:row>
    <x:row r="6" spans="1:16" ht="16.399999999999999">
      <x:c r="A6" s="153" t="s">
        <x:v>38</x:v>
      </x:c>
      <x:c r="B6" s="154"/>
      <x:c r="C6" s="16">
        <x:v>6985000</x:v>
      </x:c>
      <x:c r="D6" s="16">
        <x:f>C6</x:f>
        <x:v>6985000</x:v>
      </x:c>
      <x:c r="E6" s="147">
        <x:f>D6/$B$45</x:f>
        <x:v>0.052995557781090788</x:v>
      </x:c>
      <x:c r="F6" s="169" t="s">
        <x:v>6</x:v>
      </x:c>
      <x:c r="G6" s="67" t="s">
        <x:v>20</x:v>
      </x:c>
      <x:c r="H6" s="16">
        <x:f>SUM('1:30'!I4)</x:f>
        <x:v>33512194</x:v>
      </x:c>
      <x:c r="I6" s="71">
        <x:f>H6/$B$45</x:f>
        <x:v>0.25425875640631695</x:v>
      </x:c>
      <x:c r="J6" s="172">
        <x:f>SUM(H6:H18)</x:f>
        <x:v>47950692</x:v>
      </x:c>
      <x:c r="K6" s="179">
        <x:f>J6/$B$45</x:f>
        <x:v>0.36380439062695602</x:v>
      </x:c>
      <x:c r="M6" s="76"/>
      <x:c r="N6" s="129"/>
      <x:c r="O6" s="70"/>
      <x:c r="P6" s="70"/>
    </x:row>
    <x:row r="7" spans="1:16" ht="16.75">
      <x:c r="A7" s="153" t="s">
        <x:v>41</x:v>
      </x:c>
      <x:c r="B7" s="154"/>
      <x:c r="C7" s="16">
        <x:v>2600000</x:v>
      </x:c>
      <x:c r="D7" s="16">
        <x:f>C7</x:f>
        <x:v>2600000</x:v>
      </x:c>
      <x:c r="E7" s="17">
        <x:f t="shared" ref="E7:E17" si="0">D7/$B$45</x:f>
        <x:v>0.019726335036626495</x:v>
      </x:c>
      <x:c r="F7" s="170"/>
      <x:c r="G7" s="67" t="s">
        <x:v>6</x:v>
      </x:c>
      <x:c r="H7" s="16">
        <x:f>SUM('1:30'!I5)</x:f>
        <x:v>5249108</x:v>
      </x:c>
      <x:c r="I7" s="71">
        <x:f>H7/$B$45</x:f>
        <x:v>0.039825255019783241</x:v>
      </x:c>
      <x:c r="J7" s="159"/>
      <x:c r="K7" s="168"/>
      <x:c r="M7" s="78" t="s">
        <x:v>30</x:v>
      </x:c>
      <x:c r="N7" s="130">
        <x:f>SUM('30'!C15)</x:f>
        <x:v>1310</x:v>
      </x:c>
      <x:c r="O7" s="70"/>
      <x:c r="P7" s="70"/>
    </x:row>
    <x:row r="8" spans="1:16" ht="16.399999999999999">
      <x:c r="A8" s="153" t="s">
        <x:v>5</x:v>
      </x:c>
      <x:c r="B8" s="154"/>
      <x:c r="C8" s="16">
        <x:v>154000</x:v>
      </x:c>
      <x:c r="D8" s="16">
        <x:f t="shared" ref="D8:D17" si="1">C8</x:f>
        <x:v>154000</x:v>
      </x:c>
      <x:c r="E8" s="17">
        <x:f>D8/$B$45</x:f>
        <x:v>0.0011684059983232615</x:v>
      </x:c>
      <x:c r="F8" s="170"/>
      <x:c r="G8" s="67" t="s">
        <x:v>24</x:v>
      </x:c>
      <x:c r="H8" s="16">
        <x:f>SUM('1:30'!I7)</x:f>
        <x:v>3976890</x:v>
      </x:c>
      <x:c r="I8" s="146">
        <x:f>H8/$B$45</x:f>
        <x:v>0.030172870978388281</x:v>
      </x:c>
      <x:c r="J8" s="159"/>
      <x:c r="K8" s="168"/>
      <x:c r="M8" s="79" t="s">
        <x:v>45</x:v>
      </x:c>
      <x:c r="N8" s="131">
        <x:f>SUM('30'!C13)</x:f>
        <x:v>451</x:v>
      </x:c>
      <x:c r="O8" s="70"/>
      <x:c r="P8" s="70"/>
    </x:row>
    <x:row r="9" spans="1:16" ht="16.399999999999999">
      <x:c r="A9" s="155" t="s">
        <x:v>10</x:v>
      </x:c>
      <x:c r="B9" s="154"/>
      <x:c r="C9" s="16">
        <x:v>670000</x:v>
      </x:c>
      <x:c r="D9" s="16">
        <x:f t="shared" si="1"/>
        <x:v>670000</x:v>
      </x:c>
      <x:c r="E9" s="17">
        <x:f t="shared" si="0"/>
        <x:v>0.0050833247978999043</x:v>
      </x:c>
      <x:c r="F9" s="170"/>
      <x:c r="G9" s="67" t="s">
        <x:v>48</x:v>
      </x:c>
      <x:c r="H9" s="16">
        <x:f>SUM('1:30'!I8)</x:f>
        <x:v>798000</x:v>
      </x:c>
      <x:c r="I9" s="146">
        <x:f>H9/$B$45</x:f>
        <x:v>0.0060544674458569009</x:v>
      </x:c>
      <x:c r="J9" s="159"/>
      <x:c r="K9" s="168"/>
      <x:c r="M9" s="79" t="s">
        <x:v>54</x:v>
      </x:c>
      <x:c r="N9" s="131">
        <x:f>SUM('30'!C17)</x:f>
        <x:v>194</x:v>
      </x:c>
      <x:c r="O9" s="70"/>
      <x:c r="P9" s="70"/>
    </x:row>
    <x:row r="10" spans="1:16" ht="16.399999999999999">
      <x:c r="A10" s="153" t="s">
        <x:v>84</x:v>
      </x:c>
      <x:c r="B10" s="154"/>
      <x:c r="C10" s="16">
        <x:v>66000</x:v>
      </x:c>
      <x:c r="D10" s="16">
        <x:f t="shared" si="1"/>
        <x:v>66000</x:v>
      </x:c>
      <x:c r="E10" s="17">
        <x:f t="shared" si="0"/>
        <x:v>0.00050074542785282633</x:v>
      </x:c>
      <x:c r="F10" s="170"/>
      <x:c r="G10" s="67" t="s">
        <x:v>61</x:v>
      </x:c>
      <x:c r="H10" s="16">
        <x:f>SUM('1:30'!I11)</x:f>
        <x:v>200000</x:v>
      </x:c>
      <x:c r="I10" s="71">
        <x:f>H10/$B$45</x:f>
        <x:v>0.0015174103874328073</x:v>
      </x:c>
      <x:c r="J10" s="159"/>
      <x:c r="K10" s="168"/>
      <x:c r="M10" s="79" t="s">
        <x:v>136</x:v>
      </x:c>
      <x:c r="N10" s="131">
        <x:f>SUM('30'!F13)</x:f>
        <x:v>266</x:v>
      </x:c>
      <x:c r="O10" s="70"/>
      <x:c r="P10" s="70"/>
    </x:row>
    <x:row r="11" spans="1:16" ht="16.399999999999999">
      <x:c r="A11" s="153" t="s">
        <x:v>49</x:v>
      </x:c>
      <x:c r="B11" s="154"/>
      <x:c r="C11" s="16">
        <x:v>330000</x:v>
      </x:c>
      <x:c r="D11" s="16">
        <x:f t="shared" si="1"/>
        <x:v>330000</x:v>
      </x:c>
      <x:c r="E11" s="17">
        <x:f t="shared" si="0"/>
        <x:v>0.0025037271392641318</x:v>
      </x:c>
      <x:c r="F11" s="170"/>
      <x:c r="G11" s="67" t="s">
        <x:v>105</x:v>
      </x:c>
      <x:c r="H11" s="16">
        <x:f>SUM('1:30'!I12)</x:f>
        <x:v>0</x:v>
      </x:c>
      <x:c r="I11" s="71">
        <x:f t="shared" ref="I11:I12" si="2">H11/$B$45</x:f>
        <x:v>0</x:v>
      </x:c>
      <x:c r="J11" s="159"/>
      <x:c r="K11" s="168"/>
      <x:c r="M11" s="79" t="s">
        <x:v>98</x:v>
      </x:c>
      <x:c r="N11" s="131">
        <x:f>SUM('30'!F15)</x:f>
        <x:v>560</x:v>
      </x:c>
      <x:c r="O11" s="70"/>
      <x:c r="P11" s="70"/>
    </x:row>
    <x:row r="12" spans="1:16" ht="16.399999999999999">
      <x:c r="A12" s="153" t="s">
        <x:v>40</x:v>
      </x:c>
      <x:c r="B12" s="154"/>
      <x:c r="C12" s="16">
        <x:v>48000</x:v>
      </x:c>
      <x:c r="D12" s="16">
        <x:f t="shared" si="1"/>
        <x:v>48000</x:v>
      </x:c>
      <x:c r="E12" s="17">
        <x:f t="shared" si="0"/>
        <x:v>0.00036417849298387372</x:v>
      </x:c>
      <x:c r="F12" s="170"/>
      <x:c r="G12" s="54" t="s">
        <x:v>124</x:v>
      </x:c>
      <x:c r="H12" s="16">
        <x:f>SUM('1:30'!I13)</x:f>
        <x:v>240000</x:v>
      </x:c>
      <x:c r="I12" s="71">
        <x:f t="shared" si="2"/>
        <x:v>0.0018208924649193686</x:v>
      </x:c>
      <x:c r="J12" s="159"/>
      <x:c r="K12" s="168"/>
      <x:c r="M12" s="79" t="s">
        <x:v>120</x:v>
      </x:c>
      <x:c r="N12" s="131">
        <x:f>SUM('30'!F17)</x:f>
        <x:v>552</x:v>
      </x:c>
      <x:c r="O12" s="70"/>
      <x:c r="P12" s="70"/>
    </x:row>
    <x:row r="13" spans="1:16" ht="16.399999999999999">
      <x:c r="A13" s="155" t="s">
        <x:v>103</x:v>
      </x:c>
      <x:c r="B13" s="154"/>
      <x:c r="C13" s="16">
        <x:v>66000</x:v>
      </x:c>
      <x:c r="D13" s="16">
        <x:f t="shared" si="1"/>
        <x:v>66000</x:v>
      </x:c>
      <x:c r="E13" s="17">
        <x:f t="shared" si="0"/>
        <x:v>0.00050074542785282633</x:v>
      </x:c>
      <x:c r="F13" s="170"/>
      <x:c r="G13" s="54" t="s">
        <x:v>114</x:v>
      </x:c>
      <x:c r="H13" s="16">
        <x:f>SUM('1:30'!I14)</x:f>
        <x:v>0</x:v>
      </x:c>
      <x:c r="I13" s="71">
        <x:f>H13/$B$45</x:f>
        <x:v>0</x:v>
      </x:c>
      <x:c r="J13" s="159"/>
      <x:c r="K13" s="168"/>
      <x:c r="M13" s="145" t="s">
        <x:v>94</x:v>
      </x:c>
      <x:c r="N13" s="131">
        <x:f>SUM('30'!C19)</x:f>
        <x:v>1080</x:v>
      </x:c>
      <x:c r="O13" s="70"/>
      <x:c r="P13" s="70"/>
    </x:row>
    <x:row r="14" spans="1:16" ht="16.399999999999999">
      <x:c r="A14" s="153"/>
      <x:c r="B14" s="154"/>
      <x:c r="C14" s="16"/>
      <x:c r="D14" s="16">
        <x:f t="shared" si="1"/>
        <x:v>0</x:v>
      </x:c>
      <x:c r="E14" s="17">
        <x:f t="shared" si="0"/>
        <x:v>0</x:v>
      </x:c>
      <x:c r="F14" s="170"/>
      <x:c r="G14" s="54" t="s">
        <x:v>7</x:v>
      </x:c>
      <x:c r="H14" s="16">
        <x:f>SUM('1:30'!I17)</x:f>
        <x:v>36800</x:v>
      </x:c>
      <x:c r="I14" s="71">
        <x:f>H14/$B$45</x:f>
        <x:v>0.00027920351128763653</x:v>
      </x:c>
      <x:c r="J14" s="159"/>
      <x:c r="K14" s="168"/>
      <x:c r="M14" s="133" t="s">
        <x:v>133</x:v>
      </x:c>
      <x:c r="N14" s="131">
        <x:f>SUM('30'!F19)</x:f>
        <x:v>403</x:v>
      </x:c>
      <x:c r="O14" s="70"/>
      <x:c r="P14" s="70"/>
    </x:row>
    <x:row r="15" spans="1:16" ht="16.75">
      <x:c r="A15" s="153"/>
      <x:c r="B15" s="154"/>
      <x:c r="C15" s="16"/>
      <x:c r="D15" s="16">
        <x:f t="shared" si="1"/>
        <x:v>0</x:v>
      </x:c>
      <x:c r="E15" s="17">
        <x:f t="shared" si="0"/>
        <x:v>0</x:v>
      </x:c>
      <x:c r="F15" s="170"/>
      <x:c r="G15" s="69" t="s">
        <x:v>109</x:v>
      </x:c>
      <x:c r="H15" s="93">
        <x:f>SUM('1:30'!I15)</x:f>
        <x:v>3937700</x:v>
      </x:c>
      <x:c r="I15" s="73">
        <x:f>H15/$B$45</x:f>
        <x:v>0.029875534412970823</x:v>
      </x:c>
      <x:c r="J15" s="159"/>
      <x:c r="K15" s="168"/>
      <x:c r="M15" s="142" t="s">
        <x:v>160</x:v>
      </x:c>
      <x:c r="N15" s="132">
        <x:f>SUM('30'!F21)</x:f>
        <x:v>1809</x:v>
      </x:c>
      <x:c r="O15" s="70"/>
      <x:c r="P15" s="70"/>
    </x:row>
    <x:row r="16" spans="1:16" ht="16.399999999999999">
      <x:c r="A16" s="156" t="s">
        <x:v>62</x:v>
      </x:c>
      <x:c r="B16" s="157"/>
      <x:c r="C16" s="16"/>
      <x:c r="D16" s="16">
        <x:f t="shared" si="1"/>
        <x:v>0</x:v>
      </x:c>
      <x:c r="E16" s="17">
        <x:f t="shared" si="0"/>
        <x:v>0</x:v>
      </x:c>
      <x:c r="F16" s="170"/>
      <x:c r="J16" s="159"/>
      <x:c r="K16" s="168"/>
      <x:c r="M16" s="76"/>
      <x:c r="N16" s="129"/>
      <x:c r="O16" s="70"/>
      <x:c r="P16" s="70"/>
    </x:row>
    <x:row r="17" spans="1:16" ht="16.399999999999999">
      <x:c r="A17" s="156" t="s">
        <x:v>34</x:v>
      </x:c>
      <x:c r="B17" s="157"/>
      <x:c r="C17" s="16">
        <x:v>1508770</x:v>
      </x:c>
      <x:c r="D17" s="16">
        <x:f t="shared" si="1"/>
        <x:v>1508770</x:v>
      </x:c>
      <x:c r="E17" s="17">
        <x:f t="shared" si="0"/>
        <x:v>0.011447116351234982</x:v>
      </x:c>
      <x:c r="F17" s="170"/>
      <x:c r="J17" s="159"/>
      <x:c r="K17" s="168"/>
      <x:c r="M17" s="70"/>
      <x:c r="N17" s="70"/>
      <x:c r="O17" s="70"/>
      <x:c r="P17" s="70"/>
    </x:row>
    <x:row r="18" spans="1:14" ht="17.149999999999999">
      <x:c r="A18" s="185" t="s">
        <x:v>82</x:v>
      </x:c>
      <x:c r="B18" s="186"/>
      <x:c r="C18" s="187">
        <x:v>0</x:v>
      </x:c>
      <x:c r="D18" s="188"/>
      <x:c r="E18" s="92">
        <x:f>SUM(E6:E17)</x:f>
        <x:v>0.094290136453129048</x:v>
      </x:c>
      <x:c r="F18" s="171"/>
      <x:c r="J18" s="173"/>
      <x:c r="K18" s="180"/>
      <x:c r="M18" s="84"/>
      <x:c r="N18" s="70"/>
    </x:row>
    <x:row r="19" spans="1:14" ht="17.449999999999999" customHeight="1">
      <x:c r="A19" s="189" t="s">
        <x:v>59</x:v>
      </x:c>
      <x:c r="B19" s="98" t="s">
        <x:v>47</x:v>
      </x:c>
      <x:c r="C19" s="108">
        <x:v>4000000</x:v>
      </x:c>
      <x:c r="D19" s="159">
        <x:f>SUM(C19:C30)</x:f>
        <x:v>23645725</x:v>
      </x:c>
      <x:c r="E19" s="162">
        <x:f>D19/$B$45</x:f>
        <x:v>0.17940134366689808</x:v>
      </x:c>
      <x:c r="F19" s="195" t="s">
        <x:v>78</x:v>
      </x:c>
      <x:c r="G19" s="82" t="s">
        <x:v>39</x:v>
      </x:c>
      <x:c r="H19" s="16">
        <x:f>SUM('1:30'!K4)</x:f>
        <x:v>1108400</x:v>
      </x:c>
      <x:c r="I19" s="72">
        <x:f t="shared" ref="I19:I22" si="3">H19/$B$45</x:f>
        <x:v>0.008409488367152617</x:v>
      </x:c>
      <x:c r="J19" s="158">
        <x:f>SUM(H19:H32)</x:f>
        <x:v>3950768</x:v>
      </x:c>
      <x:c r="K19" s="167">
        <x:f>J19/$B$45</x:f>
        <x:v>0.029974682007685684</x:v>
      </x:c>
      <x:c r="M19" s="70"/>
      <x:c r="N19" s="70"/>
    </x:row>
    <x:row r="20" spans="1:16" ht="16.399999999999999">
      <x:c r="A20" s="189"/>
      <x:c r="B20" s="140" t="s">
        <x:v>23</x:v>
      </x:c>
      <x:c r="C20" s="16">
        <x:v>3800000</x:v>
      </x:c>
      <x:c r="D20" s="159"/>
      <x:c r="E20" s="163"/>
      <x:c r="F20" s="196"/>
      <x:c r="G20" s="83" t="s">
        <x:v>130</x:v>
      </x:c>
      <x:c r="H20" s="16">
        <x:f>SUM('1:30'!K6)</x:f>
        <x:v>0</x:v>
      </x:c>
      <x:c r="I20" s="71">
        <x:f t="shared" si="3"/>
        <x:v>0</x:v>
      </x:c>
      <x:c r="J20" s="159"/>
      <x:c r="K20" s="168"/>
      <x:c r="M20" s="70"/>
      <x:c r="N20" s="70"/>
      <x:c r="P20" s="94"/>
    </x:row>
    <x:row r="21" spans="1:16" ht="16.399999999999999">
      <x:c r="A21" s="189"/>
      <x:c r="B21" s="140" t="s">
        <x:v>44</x:v>
      </x:c>
      <x:c r="C21" s="16">
        <x:f>3500000</x:f>
        <x:v>3500000</x:v>
      </x:c>
      <x:c r="D21" s="159"/>
      <x:c r="E21" s="163"/>
      <x:c r="F21" s="196"/>
      <x:c r="G21" s="83" t="s">
        <x:v>79</x:v>
      </x:c>
      <x:c r="H21" s="16">
        <x:f>SUM('1:30'!K7)</x:f>
        <x:v>25000</x:v>
      </x:c>
      <x:c r="I21" s="71">
        <x:f t="shared" si="3"/>
        <x:v>0.00018967629842910091</x:v>
      </x:c>
      <x:c r="J21" s="159"/>
      <x:c r="K21" s="168"/>
      <x:c r="M21" s="70"/>
      <x:c r="N21" s="70"/>
      <x:c r="P21" s="94"/>
    </x:row>
    <x:row r="22" spans="1:16" ht="16.399999999999999">
      <x:c r="A22" s="189"/>
      <x:c r="B22" s="140" t="s">
        <x:v>50</x:v>
      </x:c>
      <x:c r="C22" s="16">
        <x:v>3200000</x:v>
      </x:c>
      <x:c r="D22" s="159"/>
      <x:c r="E22" s="163"/>
      <x:c r="F22" s="196"/>
      <x:c r="G22" s="54" t="s">
        <x:v>16</x:v>
      </x:c>
      <x:c r="H22" s="16">
        <x:f>SUM('1:30'!K9)</x:f>
        <x:v>0</x:v>
      </x:c>
      <x:c r="I22" s="71">
        <x:f t="shared" si="3"/>
        <x:v>0</x:v>
      </x:c>
      <x:c r="J22" s="159"/>
      <x:c r="K22" s="168"/>
      <x:c r="M22" s="70"/>
      <x:c r="N22" s="70"/>
      <x:c r="P22" s="94"/>
    </x:row>
    <x:row r="23" spans="1:16" ht="16.399999999999999">
      <x:c r="A23" s="189"/>
      <x:c r="D23" s="159"/>
      <x:c r="E23" s="163"/>
      <x:c r="F23" s="196"/>
      <x:c r="G23" s="54" t="s">
        <x:v>56</x:v>
      </x:c>
      <x:c r="H23" s="16">
        <x:f>SUM('1:30'!K10)</x:f>
        <x:v>58000</x:v>
      </x:c>
      <x:c r="I23" s="71">
        <x:f>H23/$B$45</x:f>
        <x:v>0.0004400490123555141</x:v>
      </x:c>
      <x:c r="J23" s="159"/>
      <x:c r="K23" s="168"/>
      <x:c r="M23" s="70"/>
      <x:c r="N23" s="70"/>
      <x:c r="P23" s="94"/>
    </x:row>
    <x:row r="24" spans="1:16" ht="16.399999999999999">
      <x:c r="A24" s="189"/>
      <x:c r="B24" s="140" t="s">
        <x:v>156</x:v>
      </x:c>
      <x:c r="C24" s="16">
        <x:v>1500000</x:v>
      </x:c>
      <x:c r="D24" s="159"/>
      <x:c r="E24" s="163"/>
      <x:c r="F24" s="196"/>
      <x:c r="G24" s="54" t="s">
        <x:v>85</x:v>
      </x:c>
      <x:c r="H24" s="16">
        <x:f>SUM('1:30'!K11)</x:f>
        <x:v>440000.00000000017</x:v>
      </x:c>
      <x:c r="I24" s="71">
        <x:f>H24/$B$45</x:f>
        <x:v>0.0033383028523521771</x:v>
      </x:c>
      <x:c r="J24" s="159"/>
      <x:c r="K24" s="168"/>
      <x:c r="M24" s="70"/>
      <x:c r="N24" s="70"/>
      <x:c r="P24" s="15"/>
    </x:row>
    <x:row r="25" spans="1:14" ht="16.399999999999999">
      <x:c r="A25" s="189"/>
      <x:c r="B25" s="140" t="s">
        <x:v>32</x:v>
      </x:c>
      <x:c r="C25" s="16">
        <x:f>SUM('1:30'!C32)</x:f>
        <x:v>546000</x:v>
      </x:c>
      <x:c r="D25" s="159"/>
      <x:c r="E25" s="163"/>
      <x:c r="F25" s="196"/>
      <x:c r="G25" s="54" t="s">
        <x:v>77</x:v>
      </x:c>
      <x:c r="H25" s="16">
        <x:f>SUM('1:30'!K15)</x:f>
        <x:v>0</x:v>
      </x:c>
      <x:c r="I25" s="71"/>
      <x:c r="J25" s="159"/>
      <x:c r="K25" s="168"/>
      <x:c r="M25" s="70"/>
      <x:c r="N25" s="70"/>
    </x:row>
    <x:row r="26" spans="1:21" ht="16.399999999999999">
      <x:c r="A26" s="189"/>
      <x:c r="B26" s="140" t="s">
        <x:v>21</x:v>
      </x:c>
      <x:c r="C26" s="16">
        <x:f>SUM('1:30'!C33)</x:f>
        <x:v>1605500</x:v>
      </x:c>
      <x:c r="D26" s="159"/>
      <x:c r="E26" s="163"/>
      <x:c r="F26" s="196"/>
      <x:c r="G26" s="54" t="s">
        <x:v>100</x:v>
      </x:c>
      <x:c r="H26" s="16">
        <x:f>SUM('1:30'!K16)</x:f>
        <x:v>2292362</x:v>
      </x:c>
      <x:c r="I26" s="71">
        <x:f>H26/$B$45</x:f>
        <x:v>0.017392269552781222</x:v>
      </x:c>
      <x:c r="J26" s="159"/>
      <x:c r="K26" s="168"/>
      <x:c r="M26" s="70"/>
      <x:c r="N26" s="70"/>
      <x:c r="P26" s="94"/>
      <x:c r="T26" s="107"/>
      <x:c r="U26" s="106"/>
    </x:row>
    <x:row r="27" spans="1:21" ht="16.399999999999999">
      <x:c r="A27" s="189"/>
      <x:c r="B27" s="140" t="s">
        <x:v>153</x:v>
      </x:c>
      <x:c r="C27" s="16">
        <x:f>SUM('1:30'!F27)</x:f>
        <x:v>470925</x:v>
      </x:c>
      <x:c r="D27" s="159"/>
      <x:c r="E27" s="163"/>
      <x:c r="F27" s="196"/>
      <x:c r="G27" s="54" t="s">
        <x:v>93</x:v>
      </x:c>
      <x:c r="H27" s="16">
        <x:f>SUM('1:30'!K17)</x:f>
        <x:v>27006</x:v>
      </x:c>
      <x:c r="I27" s="71">
        <x:f>H27/$B$45</x:f>
        <x:v>0.00020489592461505194</x:v>
      </x:c>
      <x:c r="J27" s="159"/>
      <x:c r="K27" s="168"/>
      <x:c r="M27" s="70"/>
      <x:c r="N27" s="70"/>
      <x:c r="P27" s="94"/>
      <x:c r="T27" s="107"/>
      <x:c r="U27" s="106"/>
    </x:row>
    <x:row r="28" spans="1:21" ht="16.399999999999999">
      <x:c r="A28" s="189"/>
      <x:c r="B28" s="140" t="s">
        <x:v>60</x:v>
      </x:c>
      <x:c r="C28" s="16">
        <x:f>SUM('1:30'!C34)</x:f>
        <x:v>456300</x:v>
      </x:c>
      <x:c r="D28" s="159"/>
      <x:c r="E28" s="163"/>
      <x:c r="F28" s="196"/>
      <x:c r="G28" s="54"/>
      <x:c r="H28" s="16"/>
      <x:c r="I28" s="71"/>
      <x:c r="J28" s="159"/>
      <x:c r="K28" s="168"/>
      <x:c r="P28" s="94"/>
      <x:c r="T28" s="107"/>
      <x:c r="U28" s="106"/>
    </x:row>
    <x:row r="29" spans="1:21" ht="16.399999999999999">
      <x:c r="A29" s="189"/>
      <x:c r="B29" s="140" t="s">
        <x:v>141</x:v>
      </x:c>
      <x:c r="C29" s="16">
        <x:f>SUM('1:30'!F32)</x:f>
        <x:v>813000</x:v>
      </x:c>
      <x:c r="D29" s="159"/>
      <x:c r="E29" s="163"/>
      <x:c r="F29" s="196"/>
      <x:c r="J29" s="159"/>
      <x:c r="K29" s="168"/>
      <x:c r="P29" s="94"/>
      <x:c r="T29" s="107"/>
      <x:c r="U29" s="106"/>
    </x:row>
    <x:row r="30" spans="1:21" ht="16.399999999999999">
      <x:c r="A30" s="189"/>
      <x:c r="B30" s="140" t="s">
        <x:v>4</x:v>
      </x:c>
      <x:c r="C30" s="16">
        <x:f>SUM('1:30'!F31)</x:f>
        <x:v>3754000</x:v>
      </x:c>
      <x:c r="D30" s="159"/>
      <x:c r="E30" s="163"/>
      <x:c r="F30" s="196"/>
      <x:c r="J30" s="159"/>
      <x:c r="K30" s="168"/>
      <x:c r="P30" s="94"/>
      <x:c r="T30" s="107"/>
      <x:c r="U30" s="106"/>
    </x:row>
    <x:row r="31" spans="1:11" ht="16.399999999999999">
      <x:c r="A31" s="190"/>
      <x:c r="B31" s="140" t="s">
        <x:v>57</x:v>
      </x:c>
      <x:c r="C31" s="16">
        <x:f>SUM(C19:C30)</x:f>
        <x:v>23645725</x:v>
      </x:c>
      <x:c r="D31" s="164"/>
      <x:c r="E31" s="163"/>
      <x:c r="F31" s="196"/>
      <x:c r="J31" s="159"/>
      <x:c r="K31" s="168"/>
    </x:row>
    <x:row r="32" spans="1:11" ht="16.399999999999999">
      <x:c r="A32" s="165" t="s">
        <x:v>71</x:v>
      </x:c>
      <x:c r="B32" s="166"/>
      <x:c r="C32" s="19">
        <x:f>(C19+C20+C21+C22)*0.1</x:f>
        <x:v>1450000</x:v>
      </x:c>
      <x:c r="D32" s="16">
        <x:f>C32</x:f>
        <x:v>1450000</x:v>
      </x:c>
      <x:c r="E32" s="168">
        <x:f>(D32:D33)/$B$45</x:f>
        <x:v>0.011001225308887853</x:v>
      </x:c>
      <x:c r="F32" s="196"/>
      <x:c r="G32" s="105"/>
      <x:c r="H32" s="85"/>
      <x:c r="I32" s="71"/>
      <x:c r="J32" s="159"/>
      <x:c r="K32" s="168"/>
    </x:row>
    <x:row r="33" spans="1:11" ht="16.75">
      <x:c r="A33" s="183" t="s">
        <x:v>81</x:v>
      </x:c>
      <x:c r="B33" s="184"/>
      <x:c r="C33" s="143"/>
      <x:c r="D33" s="144">
        <x:f>C33</x:f>
        <x:v>0</x:v>
      </x:c>
      <x:c r="E33" s="180"/>
      <x:c r="F33" s="191" t="s">
        <x:v>72</x:v>
      </x:c>
      <x:c r="G33" s="192"/>
      <x:c r="H33" s="86">
        <x:f>SUM('1:30'!$G$5)</x:f>
        <x:v>195510</x:v>
      </x:c>
      <x:c r="I33" s="86"/>
      <x:c r="J33" s="86">
        <x:f>H33</x:f>
        <x:v>195510</x:v>
      </x:c>
      <x:c r="K33" s="87">
        <x:f>J33/$B$45</x:f>
        <x:v>0.0014833445242349406</x:v>
      </x:c>
    </x:row>
    <x:row r="34" spans="1:11" ht="21.399999999999999">
      <x:c r="A34" s="160" t="s">
        <x:v>82</x:v>
      </x:c>
      <x:c r="B34" s="161"/>
      <x:c r="C34" s="148">
        <x:f>SUM(C6:D17,C19:C24,C32:C33)</x:f>
        <x:v>42305540</x:v>
      </x:c>
      <x:c r="D34" s="149"/>
      <x:c r="E34" s="20">
        <x:f>SUM(E19:E33)</x:f>
        <x:v>0.19040256897578595</x:v>
      </x:c>
      <x:c r="F34" s="193" t="s">
        <x:v>149</x:v>
      </x:c>
      <x:c r="G34" s="194"/>
      <x:c r="H34" s="88">
        <x:f>SUM('1:30'!$G$4)</x:f>
        <x:v>3064331</x:v>
      </x:c>
      <x:c r="I34" s="88"/>
      <x:c r="J34" s="88">
        <x:f>H34</x:f>
        <x:v>3064331</x:v>
      </x:c>
      <x:c r="K34" s="89">
        <x:f>J34/$B$45</x:f>
        <x:v>0.023249238449661806</x:v>
      </x:c>
    </x:row>
    <x:row r="35" spans="1:11" ht="21.399999999999999">
      <x:c r="A35" s="151" t="s">
        <x:v>115</x:v>
      </x:c>
      <x:c r="B35" s="152"/>
      <x:c r="E35" s="21">
        <x:f>E18+E34</x:f>
        <x:v>0.284692705428915</x:v>
      </x:c>
      <x:c r="F35" s="151"/>
      <x:c r="G35" s="152"/>
      <x:c r="H35" s="148">
        <x:f>SUM(J6:J34)</x:f>
        <x:v>55161301</x:v>
      </x:c>
      <x:c r="I35" s="149"/>
      <x:c r="J35" s="150"/>
      <x:c r="K35" s="22">
        <x:f>SUM(K6:K34)</x:f>
        <x:v>0.41851165560853842</x:v>
      </x:c>
    </x:row>
    <x:row r="36" spans="6:11" ht="20.649999999999999">
      <x:c r="F36" s="104"/>
      <x:c r="G36" s="104"/>
      <x:c r="H36" s="103"/>
      <x:c r="I36" s="103"/>
      <x:c r="J36" s="103"/>
      <x:c r="K36" s="102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42</x:v>
      </x:c>
      <x:c r="C38" s="26" t="s">
        <x:v>139</x:v>
      </x:c>
      <x:c r="D38" s="101" t="s">
        <x:v>118</x:v>
      </x:c>
      <x:c r="F38" s="27" t="s">
        <x:v>108</x:v>
      </x:c>
      <x:c r="G38" s="28"/>
      <x:c r="H38" s="28"/>
      <x:c r="I38" s="28"/>
      <x:c r="J38" s="28"/>
      <x:c r="K38" s="29"/>
    </x:row>
    <x:row r="39" spans="1:11" ht="17.800000000000001">
      <x:c r="A39" s="120" t="s">
        <x:v>95</x:v>
      </x:c>
      <x:c r="B39" s="30">
        <x:f>$C$34</x:f>
        <x:v>42305540</x:v>
      </x:c>
      <x:c r="C39" s="31">
        <x:f>B39/$B$41</x:f>
        <x:v>0.43405059162633575</x:v>
      </x:c>
      <x:c r="D39" s="32">
        <x:f>B39/$B$45</x:f>
        <x:v>0.32097432920977059</x:v>
      </x:c>
      <x:c r="F39" s="33" t="s">
        <x:v>67</x:v>
      </x:c>
      <x:c r="G39" s="34"/>
      <x:c r="H39" s="34"/>
      <x:c r="I39" s="34"/>
      <x:c r="J39" s="34"/>
      <x:c r="K39" s="75"/>
    </x:row>
    <x:row r="40" spans="1:11" ht="17.800000000000001">
      <x:c r="A40" s="121" t="s">
        <x:v>83</x:v>
      </x:c>
      <x:c r="B40" s="35">
        <x:f>$H$35</x:f>
        <x:v>55161301</x:v>
      </x:c>
      <x:c r="C40" s="31">
        <x:f>B40/$B$41</x:f>
        <x:v>0.56594940837366425</x:v>
      </x:c>
      <x:c r="D40" s="32">
        <x:f>B40/$B$45</x:f>
        <x:v>0.41851165560853848</x:v>
      </x:c>
      <x:c r="F40" s="181" t="s">
        <x:v>33</x:v>
      </x:c>
      <x:c r="G40" s="182"/>
      <x:c r="H40" s="34" t="s">
        <x:v>15</x:v>
      </x:c>
      <x:c r="I40" s="34"/>
      <x:c r="J40" s="34"/>
      <x:c r="K40" s="36">
        <x:f>$C$34</x:f>
        <x:v>42305540</x:v>
      </x:c>
    </x:row>
    <x:row r="41" spans="1:11" ht="17.800000000000001">
      <x:c r="A41" s="122" t="s">
        <x:v>26</x:v>
      </x:c>
      <x:c r="B41" s="117">
        <x:f>SUM(B39:B40)</x:f>
        <x:v>97466841</x:v>
      </x:c>
      <x:c r="C41" s="118">
        <x:f>SUM(C39:C40)</x:f>
        <x:v>1</x:v>
      </x:c>
      <x:c r="D41" s="119">
        <x:f>SUM(D39:D40)</x:f>
        <x:v>0.73948598481830907</x:v>
      </x:c>
      <x:c r="F41" s="181" t="s">
        <x:v>1</x:v>
      </x:c>
      <x:c r="G41" s="182"/>
      <x:c r="H41" s="34" t="s">
        <x:v>0</x:v>
      </x:c>
      <x:c r="I41" s="34"/>
      <x:c r="J41" s="34"/>
      <x:c r="K41" s="39">
        <x:f>$H$35</x:f>
        <x:v>55161301</x:v>
      </x:c>
    </x:row>
    <x:row r="42" spans="1:11" customHeight="1">
      <x:c r="A42" s="123" t="s">
        <x:v>125</x:v>
      </x:c>
      <x:c r="B42" s="48">
        <x:f>SUM('1:30'!C4)</x:f>
        <x:v>111430500</x:v>
      </x:c>
      <x:c r="C42" s="49"/>
      <x:c r="D42" s="40">
        <x:f>B42/$B$45</x:f>
        <x:v>0.84542899088415713</x:v>
      </x:c>
      <x:c r="F42" s="181" t="s">
        <x:v>63</x:v>
      </x:c>
      <x:c r="G42" s="182"/>
      <x:c r="H42" s="34" t="s">
        <x:v>37</x:v>
      </x:c>
      <x:c r="I42" s="34"/>
      <x:c r="J42" s="34"/>
      <x:c r="K42" s="39">
        <x:f>$B$45</x:f>
        <x:v>131803500</x:v>
      </x:c>
    </x:row>
    <x:row r="43" spans="1:11" customHeight="1">
      <x:c r="A43" s="121" t="s">
        <x:v>132</x:v>
      </x:c>
      <x:c r="B43" s="35">
        <x:f>SUM('1:30'!C5)</x:f>
        <x:v>20373000</x:v>
      </x:c>
      <x:c r="C43" s="35"/>
      <x:c r="D43" s="41">
        <x:f>B43/$B$45</x:f>
        <x:v>0.1545710091158429</x:v>
      </x:c>
      <x:c r="F43" s="181" t="s">
        <x:v>143</x:v>
      </x:c>
      <x:c r="G43" s="182"/>
      <x:c r="H43" s="34" t="s">
        <x:v>58</x:v>
      </x:c>
      <x:c r="I43" s="34"/>
      <x:c r="J43" s="34"/>
      <x:c r="K43" s="42">
        <x:f>(K41)/K42</x:f>
        <x:v>0.41851165560853848</x:v>
      </x:c>
    </x:row>
    <x:row r="44" spans="1:11" customHeight="1">
      <x:c r="A44" s="121" t="s">
        <x:v>138</x:v>
      </x:c>
      <x:c r="B44" s="35">
        <x:f>SUM('1:30'!C6)</x:f>
        <x:v>0</x:v>
      </x:c>
      <x:c r="C44" s="18"/>
      <x:c r="D44" s="41">
        <x:f>B44/$B$45</x:f>
        <x:v>0</x:v>
      </x:c>
      <x:c r="F44" s="43" t="s">
        <x:v>69</x:v>
      </x:c>
      <x:c r="G44" s="44"/>
      <x:c r="H44" s="44" t="s">
        <x:v>148</x:v>
      </x:c>
      <x:c r="I44" s="44"/>
      <x:c r="J44" s="44"/>
      <x:c r="K44" s="45">
        <x:f>K40/(1-K43)</x:f>
        <x:v>72753891.643818825</x:v>
      </x:c>
    </x:row>
    <x:row r="45" spans="1:4" customHeight="1">
      <x:c r="A45" s="124" t="s">
        <x:v>11</x:v>
      </x:c>
      <x:c r="B45" s="37">
        <x:f>SUM(B42:B44)</x:f>
        <x:v>131803500</x:v>
      </x:c>
      <x:c r="C45" s="50"/>
      <x:c r="D45" s="38"/>
    </x:row>
    <x:row r="46" spans="1:4" customHeight="1">
      <x:c r="A46" s="125" t="s">
        <x:v>92</x:v>
      </x:c>
      <x:c r="B46" s="46">
        <x:f>B45-B41</x:f>
        <x:v>34336659</x:v>
      </x:c>
      <x:c r="C46" s="47"/>
      <x:c r="D46" s="74">
        <x:f>B46/B45</x:f>
        <x:v>0.26051401518169093</x:v>
      </x:c>
    </x:row>
    <x:row r="47" spans="1:13" ht="20.100000000000001" customHeight="1">
      <x:c r="A47" s="123" t="s">
        <x:v>111</x:v>
      </x:c>
      <x:c r="B47" s="48">
        <x:f>INT(B45*0.05)</x:f>
        <x:v>6590175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5" t="s">
        <x:v>102</x:v>
      </x:c>
      <x:c r="B48" s="30">
        <x:f>INT(B45*0.02)</x:f>
        <x:v>2636070</x:v>
      </x:c>
      <x:c r="C48" s="80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4" t="s">
        <x:v>110</x:v>
      </x:c>
      <x:c r="B49" s="37">
        <x:f>B46-B47-B48</x:f>
        <x:v>25110414</x:v>
      </x:c>
      <x:c r="C49" s="50"/>
      <x:c r="D49" s="74">
        <x:f>B49/B45</x:f>
        <x:v>0.19051401518169092</x:v>
      </x:c>
      <x:c r="E49" s="95"/>
      <x:c r="F49" s="96"/>
    </x:row>
    <x:row r="50" spans="1:5" s="23" customFormat="1" customHeight="1">
      <x:c r="A50" s="100"/>
      <x:c r="B50" s="1"/>
      <x:c r="C50" s="1"/>
      <x:c r="D50" s="1"/>
      <x:c r="E50" s="1"/>
    </x:row>
    <x:row r="51" spans="1:5" s="23" customFormat="1" customHeight="1">
      <x:c r="A51" s="100"/>
      <x:c r="B51" s="1"/>
      <x:c r="C51" s="1"/>
      <x:c r="D51" s="1"/>
      <x:c r="E51" s="95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19" zoomScale="85" zoomScaleNormal="85" zoomScaleSheetLayoutView="75" workbookViewId="0">
      <x:selection activeCell="E27" activeCellId="0" sqref="E27:E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</x:v>
      </x:c>
      <x:c r="G1" s="68" t="s">
        <x:v>19</x:v>
      </x:c>
      <x:c r="H1" s="52" t="s">
        <x:v>126</x:v>
      </x:c>
      <x:c r="I1" s="52">
        <x:f>F1-K1</x:f>
        <x:v>1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3136000</x:v>
      </x:c>
      <x:c r="D2" s="271"/>
      <x:c r="E2" s="274" t="s">
        <x:v>43</x:v>
      </x:c>
      <x:c r="F2" s="275"/>
      <x:c r="G2" s="263">
        <x:v>196000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2" ht="30.949999999999999" customHeight="1">
      <x:c r="A4" s="265" t="s">
        <x:v>22</x:v>
      </x:c>
      <x:c r="B4" s="266"/>
      <x:c r="C4" s="258">
        <x:v>2731000</x:v>
      </x:c>
      <x:c r="D4" s="258"/>
      <x:c r="E4" s="273" t="s">
        <x:v>149</x:v>
      </x:c>
      <x:c r="F4" s="273"/>
      <x:c r="G4" s="135">
        <x:f>INT(C4*0.0275)</x:f>
        <x:v>75102</x:v>
      </x:c>
      <x:c r="H4" s="54" t="s">
        <x:v>20</x:v>
      </x:c>
      <x:c r="I4" s="126"/>
      <x:c r="J4" s="82" t="s">
        <x:v>39</x:v>
      </x:c>
      <x:c r="K4" s="58"/>
      <x:c r="L4" s="97"/>
    </x:row>
    <x:row r="5" spans="1:11" ht="30.949999999999999" customHeight="1">
      <x:c r="A5" s="265" t="s">
        <x:v>64</x:v>
      </x:c>
      <x:c r="B5" s="266"/>
      <x:c r="C5" s="258">
        <x:v>405000</x:v>
      </x:c>
      <x:c r="D5" s="258"/>
      <x:c r="E5" s="257" t="s">
        <x:v>73</x:v>
      </x:c>
      <x:c r="F5" s="257"/>
      <x:c r="G5" s="135">
        <x:f>INT(C5*0.01)</x:f>
        <x:v>4050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440000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140000</x:v>
      </x:c>
      <x:c r="D8" s="258"/>
      <x:c r="E8" s="284" t="s">
        <x:v>113</x:v>
      </x:c>
      <x:c r="F8" s="285"/>
      <x:c r="G8" s="290">
        <x:f>C5+G2-G6-C22</x:f>
        <x:v>161000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9</x:v>
      </x:c>
      <x:c r="D12" s="284" t="s">
        <x:v>136</x:v>
      </x:c>
      <x:c r="E12" s="285"/>
      <x:c r="F12" s="288">
        <x:v>6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SUM('1'!$C$12)</x:f>
        <x:v>9</x:v>
      </x:c>
      <x:c r="D13" s="276"/>
      <x:c r="E13" s="277"/>
      <x:c r="F13" s="286">
        <x:f>SUM('1'!$F$12)</x:f>
        <x:v>6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30</x:v>
      </x:c>
      <x:c r="D14" s="284" t="s">
        <x:v>98</x:v>
      </x:c>
      <x:c r="E14" s="285"/>
      <x:c r="F14" s="288">
        <x:v>14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SUM('1'!$C$14)</x:f>
        <x:v>30</x:v>
      </x:c>
      <x:c r="D15" s="276"/>
      <x:c r="E15" s="277"/>
      <x:c r="F15" s="286">
        <x:f>SUM('1'!$F$14)</x:f>
        <x:v>14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5</x:v>
      </x:c>
      <x:c r="D16" s="284" t="s">
        <x:v>120</x:v>
      </x:c>
      <x:c r="E16" s="285"/>
      <x:c r="F16" s="282">
        <x:v>14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SUM('1'!$C$16)</x:f>
        <x:v>5</x:v>
      </x:c>
      <x:c r="D17" s="276"/>
      <x:c r="E17" s="277"/>
      <x:c r="F17" s="283">
        <x:f>SUM('1'!$F$16)</x:f>
        <x:v>14</x:v>
      </x:c>
      <x:c r="G17" s="283"/>
      <x:c r="H17" s="54" t="s">
        <x:v>7</x:v>
      </x:c>
      <x:c r="I17" s="58">
        <x:v>6400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27</x:v>
      </x:c>
      <x:c r="D18" s="284" t="s">
        <x:v>133</x:v>
      </x:c>
      <x:c r="E18" s="285"/>
      <x:c r="F18" s="292">
        <x:v>14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SUM('1'!$C$18)</x:f>
        <x:v>27</x:v>
      </x:c>
      <x:c r="D19" s="276"/>
      <x:c r="E19" s="277"/>
      <x:c r="F19" s="283">
        <x:f>SUM('1'!$F$18)</x:f>
        <x:v>14</x:v>
      </x:c>
      <x:c r="G19" s="283"/>
      <x:c r="H19" s="54"/>
      <x:c r="I19" s="58"/>
      <x:c r="J19" s="54"/>
      <x:c r="K19" s="58"/>
      <x:c r="L19" s="60"/>
      <x:c r="M19" s="11"/>
    </x:row>
    <x:row r="20" spans="1:13" ht="21.949999999999999" customHeight="1">
      <x:c r="A20" s="59" t="s">
        <x:v>51</x:v>
      </x:c>
      <x:c r="B20" s="257"/>
      <x:c r="C20" s="134"/>
      <x:c r="D20" s="257" t="s">
        <x:v>116</x:v>
      </x:c>
      <x:c r="E20" s="257"/>
      <x:c r="F20" s="282">
        <x:v>52</x:v>
      </x:c>
      <x:c r="G20" s="282"/>
      <x:c r="H20" s="54"/>
      <x:c r="I20" s="58"/>
      <x:c r="J20" s="54"/>
      <x:c r="K20" s="58"/>
      <x:c r="L20" s="60"/>
      <x:c r="M20" s="11"/>
    </x:row>
    <x:row r="21" spans="1:13" ht="21.949999999999999" customHeight="1">
      <x:c r="A21" s="59" t="s">
        <x:v>99</x:v>
      </x:c>
      <x:c r="B21" s="257"/>
      <x:c r="C21" s="134"/>
      <x:c r="D21" s="257" t="s">
        <x:v>117</x:v>
      </x:c>
      <x:c r="E21" s="257"/>
      <x:c r="F21" s="283">
        <x:f>SUM('1'!$F$20)</x:f>
        <x:v>52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281"/>
      <x:c r="D23" s="281"/>
      <x:c r="E23" s="281"/>
      <x:c r="F23" s="281"/>
      <x:c r="G23" s="281"/>
      <x:c r="H23" s="109" t="s">
        <x:v>97</x:v>
      </x:c>
      <x:c r="I23" s="110">
        <x:f>SUM(I4:I22)</x:f>
        <x:v>6400</x:v>
      </x:c>
      <x:c r="J23" s="61" t="s">
        <x:v>122</x:v>
      </x:c>
      <x:c r="K23" s="62">
        <x:f>SUM(K4:K22)</x:f>
        <x:v>14666.666666666666</x:v>
      </x:c>
      <x:c r="M23" s="91" t="s">
        <x:v>96</x:v>
      </x:c>
      <x:c r="N23" s="279">
        <x:f>C5+C6</x:f>
        <x:v>405000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0.0020408163265306124</x:v>
      </x:c>
      <x:c r="J24" s="61" t="s">
        <x:v>8</x:v>
      </x:c>
      <x:c r="K24" s="63">
        <x:f>K23/A25</x:f>
        <x:v>0.0046768707482993197</x:v>
      </x:c>
    </x:row>
    <x:row r="25" spans="1:11" ht="34.149999999999999" customHeight="1">
      <x:c r="A25" s="308">
        <x:f>C2</x:f>
        <x:v>3136000</x:v>
      </x:c>
      <x:c r="B25" s="272"/>
      <x:c r="C25" s="272">
        <x:f>E25/I1</x:f>
        <x:v>3136000</x:v>
      </x:c>
      <x:c r="D25" s="272"/>
      <x:c r="E25" s="272">
        <x:f>SUM('1'!$A$25)</x:f>
        <x:v>3136000</x:v>
      </x:c>
      <x:c r="F25" s="272"/>
      <x:c r="G25" s="272"/>
      <x:c r="H25" s="109" t="s">
        <x:v>36</x:v>
      </x:c>
      <x:c r="I25" s="110">
        <x:f>SUM('1'!$I$23)</x:f>
        <x:v>6400</x:v>
      </x:c>
      <x:c r="J25" s="61" t="s">
        <x:v>36</x:v>
      </x:c>
      <x:c r="K25" s="62">
        <x:f>SUM('1'!$K$23)</x:f>
        <x:v>14666.666666666666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0.0020408163265306124</x:v>
      </x:c>
      <x:c r="J26" s="64" t="s">
        <x:v>131</x:v>
      </x:c>
      <x:c r="K26" s="65">
        <x:f>K25/$E$25</x:f>
        <x:v>0.0046768707482993197</x:v>
      </x:c>
    </x:row>
    <x:row r="27" spans="1:13" ht="30.949999999999999" customHeight="1">
      <x:c r="A27" s="301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738741.93548387103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0.23556821922317317</x:v>
      </x:c>
      <x:c r="M28" s="66"/>
    </x:row>
    <x:row r="29" spans="1:13" ht="30.949999999999999" customHeight="1">
      <x:c r="A29" s="302"/>
      <x:c r="B29" s="54" t="s">
        <x:v>50</x:v>
      </x:c>
      <x:c r="C29" s="272">
        <x:f>3200000/31</x:f>
        <x:v>103225.80645161291</x:v>
      </x:c>
      <x:c r="D29" s="272"/>
      <x:c r="E29" s="54"/>
      <x:c r="F29" s="258"/>
      <x:c r="G29" s="258"/>
      <x:c r="H29" s="113" t="s">
        <x:v>36</x:v>
      </x:c>
      <x:c r="I29" s="114">
        <x:f>SUM('1'!$I$27)</x:f>
        <x:v>738741.93548387103</x:v>
      </x:c>
      <x:c r="M29" s="66"/>
    </x:row>
    <x:row r="30" spans="1:13" ht="30.949999999999999" customHeight="1">
      <x:c r="A30" s="302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1</x:v>
      </x:c>
      <x:c r="M30" s="66"/>
    </x:row>
    <x:row r="31" spans="1:7" customHeight="1">
      <x:c r="A31" s="302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02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02"/>
      <x:c r="B33" s="54" t="s">
        <x:v>21</x:v>
      </x:c>
      <x:c r="C33" s="304">
        <x:v>91000</x:v>
      </x:c>
      <x:c r="D33" s="305"/>
    </x:row>
    <x:row r="34" spans="1:4" customHeight="1">
      <x:c r="A34" s="303"/>
      <x:c r="B34" s="54" t="s">
        <x:v>60</x:v>
      </x:c>
      <x:c r="C34" s="306"/>
      <x:c r="D34" s="307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3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</x:v>
      </x:c>
      <x:c r="G1" s="68" t="s">
        <x:v>52</x:v>
      </x:c>
      <x:c r="H1" s="52" t="s">
        <x:v>126</x:v>
      </x:c>
      <x:c r="I1" s="52">
        <x:f>F1-K1</x:f>
        <x:v>2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4562500</x:v>
      </x:c>
      <x:c r="D2" s="271"/>
      <x:c r="E2" s="274" t="s">
        <x:v>43</x:v>
      </x:c>
      <x:c r="F2" s="275"/>
      <x:c r="G2" s="263">
        <x:v>140000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4011500</x:v>
      </x:c>
      <x:c r="D4" s="258"/>
      <x:c r="E4" s="273" t="s">
        <x:v>149</x:v>
      </x:c>
      <x:c r="F4" s="273"/>
      <x:c r="G4" s="135">
        <x:f>INT(C4*0.0275)</x:f>
        <x:v>110316</x:v>
      </x:c>
      <x:c r="H4" s="54" t="s">
        <x:v>20</x:v>
      </x:c>
      <x:c r="I4" s="127">
        <x:v>1920996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551000</x:v>
      </x:c>
      <x:c r="D5" s="258"/>
      <x:c r="E5" s="257" t="s">
        <x:v>73</x:v>
      </x:c>
      <x:c r="F5" s="257"/>
      <x:c r="G5" s="135">
        <x:f>INT(C5*0.01)</x:f>
        <x:v>5510</x:v>
      </x:c>
      <x:c r="H5" s="54" t="s">
        <x:v>6</x:v>
      </x:c>
      <x:c r="I5" s="139">
        <x:v>466498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500000</x:v>
      </x:c>
      <x:c r="H6" s="54"/>
      <x:c r="I6" s="127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7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191000</x:v>
      </x:c>
      <x:c r="D8" s="258"/>
      <x:c r="E8" s="284" t="s">
        <x:v>113</x:v>
      </x:c>
      <x:c r="F8" s="285"/>
      <x:c r="G8" s="290">
        <x:f>C5+G2-G6-C22</x:f>
        <x:v>191000</x:v>
      </x:c>
      <x:c r="H8" s="54" t="s">
        <x:v>48</x:v>
      </x:c>
      <x:c r="I8" s="127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26</x:v>
      </x:c>
      <x:c r="D12" s="284" t="s">
        <x:v>136</x:v>
      </x:c>
      <x:c r="E12" s="285"/>
      <x:c r="F12" s="288">
        <x:v>5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SUM('1:2'!$C$12)</x:f>
        <x:v>35</x:v>
      </x:c>
      <x:c r="D13" s="276"/>
      <x:c r="E13" s="277"/>
      <x:c r="F13" s="286">
        <x:f>SUM('1:2'!$F$12)</x:f>
        <x:v>11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45</x:v>
      </x:c>
      <x:c r="D14" s="284" t="s">
        <x:v>98</x:v>
      </x:c>
      <x:c r="E14" s="285"/>
      <x:c r="F14" s="288">
        <x:v>11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SUM('1:2'!$C$14)</x:f>
        <x:v>75</x:v>
      </x:c>
      <x:c r="D15" s="276"/>
      <x:c r="E15" s="277"/>
      <x:c r="F15" s="286">
        <x:f>SUM('1:2'!$F$14)</x:f>
        <x:v>25</x:v>
      </x:c>
      <x:c r="G15" s="287"/>
      <x:c r="H15" s="54" t="s">
        <x:v>109</x:v>
      </x:c>
      <x:c r="I15" s="58">
        <x:v>170950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0</x:v>
      </x:c>
      <x:c r="D16" s="284" t="s">
        <x:v>120</x:v>
      </x:c>
      <x:c r="E16" s="285"/>
      <x:c r="F16" s="282">
        <x:v>20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SUM('1:2'!$C$16)</x:f>
        <x:v>5</x:v>
      </x:c>
      <x:c r="D17" s="276"/>
      <x:c r="E17" s="277"/>
      <x:c r="F17" s="283">
        <x:f>SUM('1:2'!$F$16)</x:f>
        <x:v>34</x:v>
      </x:c>
      <x:c r="G17" s="283"/>
      <x:c r="H17" s="54" t="s">
        <x:v>7</x:v>
      </x:c>
      <x:c r="I17" s="58">
        <x:v>6400</x:v>
      </x:c>
      <x:c r="J17" s="54" t="s">
        <x:v>93</x:v>
      </x:c>
      <x:c r="K17" s="58">
        <x:v>20000</x:v>
      </x:c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44</x:v>
      </x:c>
      <x:c r="D18" s="284" t="s">
        <x:v>133</x:v>
      </x:c>
      <x:c r="E18" s="285"/>
      <x:c r="F18" s="292">
        <x:v>16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SUM('1:2'!$C$18)</x:f>
        <x:v>71</x:v>
      </x:c>
      <x:c r="D19" s="276"/>
      <x:c r="E19" s="277"/>
      <x:c r="F19" s="283">
        <x:f>SUM('1:2'!$F$18)</x:f>
        <x:v>30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68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SUM('1:2'!$F$20)</x:f>
        <x:v>120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2620844</x:v>
      </x:c>
      <x:c r="J23" s="61" t="s">
        <x:v>122</x:v>
      </x:c>
      <x:c r="K23" s="62">
        <x:f>SUM(K4:K22)</x:f>
        <x:v>47666.666666666664</x:v>
      </x:c>
      <x:c r="M23" s="90" t="s">
        <x:v>96</x:v>
      </x:c>
      <x:c r="N23" s="279">
        <x:f>C5+C6</x:f>
        <x:v>551000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0.57443156164383558</x:v>
      </x:c>
      <x:c r="J24" s="61" t="s">
        <x:v>8</x:v>
      </x:c>
      <x:c r="K24" s="63">
        <x:f>K23/A25</x:f>
        <x:v>0.010447488584474885</x:v>
      </x:c>
    </x:row>
    <x:row r="25" spans="1:11" ht="34.149999999999999" customHeight="1">
      <x:c r="A25" s="308">
        <x:f>C2</x:f>
        <x:v>4562500</x:v>
      </x:c>
      <x:c r="B25" s="272"/>
      <x:c r="C25" s="272">
        <x:f>E25/I1</x:f>
        <x:v>1568000</x:v>
      </x:c>
      <x:c r="D25" s="272"/>
      <x:c r="E25" s="272">
        <x:f>SUM('1'!$A$25)</x:f>
        <x:v>3136000</x:v>
      </x:c>
      <x:c r="F25" s="272"/>
      <x:c r="G25" s="272"/>
      <x:c r="H25" s="109" t="s">
        <x:v>36</x:v>
      </x:c>
      <x:c r="I25" s="110">
        <x:f>SUM('1'!$I$23)</x:f>
        <x:v>6400</x:v>
      </x:c>
      <x:c r="J25" s="61" t="s">
        <x:v>36</x:v>
      </x:c>
      <x:c r="K25" s="62">
        <x:f>SUM('1'!$K$23)</x:f>
        <x:v>14666.666666666666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0.0020408163265306124</x:v>
      </x:c>
      <x:c r="J26" s="64" t="s">
        <x:v>131</x:v>
      </x:c>
      <x:c r="K26" s="65">
        <x:f>K25/$E$25</x:f>
        <x:v>0.0046768707482993197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769741.93548387103</x:v>
      </x:c>
      <x:c r="M27" s="66"/>
    </x:row>
    <x:row r="28" spans="1:13" ht="30.949999999999999" customHeight="1">
      <x:c r="A28" s="314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0.16871056120194433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SUM('1'!$I$27)</x:f>
        <x:v>738741.93548387103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0.95972676221607578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132000</x:v>
      </x:c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3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3</x:v>
      </x:c>
      <x:c r="G1" s="68" t="s">
        <x:v>65</x:v>
      </x:c>
      <x:c r="H1" s="52" t="s">
        <x:v>126</x:v>
      </x:c>
      <x:c r="I1" s="52">
        <x:f>F1-K1</x:f>
        <x:v>3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2887000</x:v>
      </x:c>
      <x:c r="D2" s="271"/>
      <x:c r="E2" s="274" t="s">
        <x:v>43</x:v>
      </x:c>
      <x:c r="F2" s="275"/>
      <x:c r="G2" s="263">
        <x:v>191000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2504000</x:v>
      </x:c>
      <x:c r="D4" s="258"/>
      <x:c r="E4" s="273" t="s">
        <x:v>149</x:v>
      </x:c>
      <x:c r="F4" s="273"/>
      <x:c r="G4" s="135">
        <x:f>C4*0.0275</x:f>
        <x:v>68860</x:v>
      </x:c>
      <x:c r="H4" s="54" t="s">
        <x:v>20</x:v>
      </x:c>
      <x:c r="I4" s="126">
        <x:v>1284276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383000</x:v>
      </x:c>
      <x:c r="D5" s="258"/>
      <x:c r="E5" s="257" t="s">
        <x:v>73</x:v>
      </x:c>
      <x:c r="F5" s="257"/>
      <x:c r="G5" s="135">
        <x:f>INT(C5*0.01)</x:f>
        <x:v>3830</x:v>
      </x:c>
      <x:c r="H5" s="54" t="s">
        <x:v>6</x:v>
      </x:c>
      <x:c r="I5" s="126">
        <x:v>191662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174000</x:v>
      </x:c>
      <x:c r="D8" s="258"/>
      <x:c r="E8" s="284" t="s">
        <x:v>113</x:v>
      </x:c>
      <x:c r="F8" s="285"/>
      <x:c r="G8" s="290">
        <x:f>C5+G2-G6-C22</x:f>
        <x:v>174000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21.75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21.75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6</x:v>
      </x:c>
      <x:c r="D12" s="284" t="s">
        <x:v>136</x:v>
      </x:c>
      <x:c r="E12" s="285"/>
      <x:c r="F12" s="288">
        <x:v>2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SUM('1:3'!$C$12)</x:f>
        <x:v>41</x:v>
      </x:c>
      <x:c r="D13" s="276"/>
      <x:c r="E13" s="277"/>
      <x:c r="F13" s="286">
        <x:f>SUM('1:3'!$F$12)</x:f>
        <x:v>13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40</x:v>
      </x:c>
      <x:c r="D14" s="284" t="s">
        <x:v>98</x:v>
      </x:c>
      <x:c r="E14" s="285"/>
      <x:c r="F14" s="288">
        <x:v>39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SUM('1:3'!$C$14)</x:f>
        <x:v>115</x:v>
      </x:c>
      <x:c r="D15" s="276"/>
      <x:c r="E15" s="277"/>
      <x:c r="F15" s="286">
        <x:f>SUM('1:3'!$F$14)</x:f>
        <x:v>64</x:v>
      </x:c>
      <x:c r="G15" s="287"/>
      <x:c r="H15" s="54" t="s">
        <x:v>109</x:v>
      </x:c>
      <x:c r="I15" s="58">
        <x:v>104800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5</x:v>
      </x:c>
      <x:c r="D16" s="284" t="s">
        <x:v>120</x:v>
      </x:c>
      <x:c r="E16" s="285"/>
      <x:c r="F16" s="282">
        <x:v>7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SUM('1:3'!$C$16)</x:f>
        <x:v>10</x:v>
      </x:c>
      <x:c r="D17" s="276"/>
      <x:c r="E17" s="277"/>
      <x:c r="F17" s="283">
        <x:f>SUM('1:3'!$F$16)</x:f>
        <x:v>41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21</x:v>
      </x:c>
      <x:c r="D18" s="284" t="s">
        <x:v>133</x:v>
      </x:c>
      <x:c r="E18" s="285"/>
      <x:c r="F18" s="292">
        <x:v>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SUM('1:3'!$C$18)</x:f>
        <x:v>92</x:v>
      </x:c>
      <x:c r="D19" s="276"/>
      <x:c r="E19" s="277"/>
      <x:c r="F19" s="283">
        <x:f>SUM('1:3'!$F$18)</x:f>
        <x:v>34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44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SUM('1:3'!$F$20)</x:f>
        <x:v>164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1580738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383000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0.54753654312435052</x:v>
      </x:c>
      <x:c r="J24" s="61" t="s">
        <x:v>8</x:v>
      </x:c>
      <x:c r="K24" s="63">
        <x:f>K23/A25</x:f>
        <x:v>0.0050802447754300884</x:v>
      </x:c>
    </x:row>
    <x:row r="25" spans="1:11" ht="34.149999999999999" customHeight="1">
      <x:c r="A25" s="308">
        <x:f>C2</x:f>
        <x:v>2887000</x:v>
      </x:c>
      <x:c r="B25" s="272"/>
      <x:c r="C25" s="272">
        <x:f>E25/I1</x:f>
        <x:v>3528500</x:v>
      </x:c>
      <x:c r="D25" s="272"/>
      <x:c r="E25" s="272">
        <x:f>SUM('1:3'!$A$25)</x:f>
        <x:v>10585500</x:v>
      </x:c>
      <x:c r="F25" s="272"/>
      <x:c r="G25" s="272"/>
      <x:c r="H25" s="109" t="s">
        <x:v>36</x:v>
      </x:c>
      <x:c r="I25" s="110">
        <x:f>SUM('1:3'!$I$23)</x:f>
        <x:v>4207982</x:v>
      </x:c>
      <x:c r="J25" s="61" t="s">
        <x:v>36</x:v>
      </x:c>
      <x:c r="K25" s="62">
        <x:f>SUM('1:3'!$K$23)</x:f>
        <x:v>77000</x:v>
      </x:c>
    </x:row>
    <x:row r="26" spans="1:11" ht="34.149999999999999" customHeight="1">
      <x:c r="A26" s="256" t="s">
        <x:v>145</x:v>
      </x:c>
      <x:c r="B26" s="257"/>
      <x:c r="C26" s="316"/>
      <x:c r="D26" s="257"/>
      <x:c r="E26" s="258"/>
      <x:c r="F26" s="258"/>
      <x:c r="G26" s="258"/>
      <x:c r="H26" s="109" t="s">
        <x:v>131</x:v>
      </x:c>
      <x:c r="I26" s="112">
        <x:f>I25/$E$25</x:f>
        <x:v>0.39752321571961646</x:v>
      </x:c>
      <x:c r="J26" s="64" t="s">
        <x:v>131</x:v>
      </x:c>
      <x:c r="K26" s="65">
        <x:f>K25/$E$25</x:f>
        <x:v>0.0072741013650748669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825841.93548387103</x:v>
      </x:c>
      <x:c r="M27" s="66"/>
    </x:row>
    <x:row r="28" spans="1:13" ht="30.949999999999999" customHeight="1">
      <x:c r="A28" s="314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0.28605539850497785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SUM('1:3'!$I$27)</x:f>
        <x:v>2334325.8064516131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2.8266012007296561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143000</x:v>
      </x:c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>
        <x:v>35100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4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4</x:v>
      </x:c>
      <x:c r="G1" s="68" t="s">
        <x:v>29</x:v>
      </x:c>
      <x:c r="H1" s="52" t="s">
        <x:v>126</x:v>
      </x:c>
      <x:c r="I1" s="52">
        <x:f>F1-K1</x:f>
        <x:v>4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4010500</x:v>
      </x:c>
      <x:c r="D2" s="271"/>
      <x:c r="E2" s="274" t="s">
        <x:v>43</x:v>
      </x:c>
      <x:c r="F2" s="275"/>
      <x:c r="G2" s="263">
        <x:v>174000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3675500</x:v>
      </x:c>
      <x:c r="D4" s="258"/>
      <x:c r="E4" s="273" t="s">
        <x:v>149</x:v>
      </x:c>
      <x:c r="F4" s="273"/>
      <x:c r="G4" s="135">
        <x:f>INT(C4*0.0275)</x:f>
        <x:v>101076</x:v>
      </x:c>
      <x:c r="H4" s="54" t="s">
        <x:v>20</x:v>
      </x:c>
      <x:c r="I4" s="126"/>
      <x:c r="J4" s="82" t="s">
        <x:v>39</x:v>
      </x:c>
      <x:c r="K4" s="58">
        <x:v>243000</x:v>
      </x:c>
    </x:row>
    <x:row r="5" spans="1:11" ht="30.949999999999999" customHeight="1">
      <x:c r="A5" s="265" t="s">
        <x:v>64</x:v>
      </x:c>
      <x:c r="B5" s="266"/>
      <x:c r="C5" s="258">
        <x:v>335000</x:v>
      </x:c>
      <x:c r="D5" s="258"/>
      <x:c r="E5" s="257" t="s">
        <x:v>73</x:v>
      </x:c>
      <x:c r="F5" s="257"/>
      <x:c r="G5" s="135">
        <x:f>INT(C5*0.01)</x:f>
        <x:v>3350</x:v>
      </x:c>
      <x:c r="H5" s="54" t="s">
        <x:v>6</x:v>
      </x:c>
      <x:c r="I5" s="126">
        <x:f>41250+38940+29656+36080</x:f>
        <x:v>145926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350000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f>522800-33500</x:f>
        <x:v>489300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159000</x:v>
      </x:c>
      <x:c r="D8" s="258"/>
      <x:c r="E8" s="284" t="s">
        <x:v>113</x:v>
      </x:c>
      <x:c r="F8" s="285"/>
      <x:c r="G8" s="290">
        <x:f>C5+G2-G6-C22</x:f>
        <x:v>159000</x:v>
      </x:c>
      <x:c r="H8" s="54" t="s">
        <x:v>48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15</x:v>
      </x:c>
      <x:c r="D12" s="284" t="s">
        <x:v>136</x:v>
      </x:c>
      <x:c r="E12" s="285"/>
      <x:c r="F12" s="288">
        <x:v>7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SUM('1:4'!$C$12)</x:f>
        <x:v>56</x:v>
      </x:c>
      <x:c r="D13" s="276"/>
      <x:c r="E13" s="277"/>
      <x:c r="F13" s="286">
        <x:f>SUM('1:4'!$F$12)</x:f>
        <x:v>20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30</x:v>
      </x:c>
      <x:c r="D14" s="284" t="s">
        <x:v>98</x:v>
      </x:c>
      <x:c r="E14" s="285"/>
      <x:c r="F14" s="288">
        <x:v>15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SUM('1:4'!$C$14)</x:f>
        <x:v>145</x:v>
      </x:c>
      <x:c r="D15" s="276"/>
      <x:c r="E15" s="277"/>
      <x:c r="F15" s="286">
        <x:f>SUM('1:4'!$F$14)</x:f>
        <x:v>79</x:v>
      </x:c>
      <x:c r="G15" s="287"/>
      <x:c r="H15" s="54" t="s">
        <x:v>109</x:v>
      </x:c>
      <x:c r="I15" s="58">
        <x:f>11800+13000+12500+18000+20000+15600</x:f>
        <x:v>90900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3</x:v>
      </x:c>
      <x:c r="D16" s="284" t="s">
        <x:v>120</x:v>
      </x:c>
      <x:c r="E16" s="285"/>
      <x:c r="F16" s="282">
        <x:v>11</x:v>
      </x:c>
      <x:c r="G16" s="282"/>
      <x:c r="H16" s="54"/>
      <x:c r="I16" s="58"/>
      <x:c r="J16" s="54" t="s">
        <x:v>100</x:v>
      </x:c>
      <x:c r="K16" s="58">
        <x:v>318820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SUM('1:4'!$C$16)</x:f>
        <x:v>13</x:v>
      </x:c>
      <x:c r="D17" s="276"/>
      <x:c r="E17" s="277"/>
      <x:c r="F17" s="283">
        <x:f>SUM('1:4'!$F$16)</x:f>
        <x:v>52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30</x:v>
      </x:c>
      <x:c r="D18" s="284" t="s">
        <x:v>133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SUM('1:4'!$C$18)</x:f>
        <x:v>122</x:v>
      </x:c>
      <x:c r="D19" s="276"/>
      <x:c r="E19" s="277"/>
      <x:c r="F19" s="283">
        <x:f>SUM('1:4'!$F$18)</x:f>
        <x:v>46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SUM('1:4'!$F$20)</x:f>
        <x:v>225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782126</x:v>
      </x:c>
      <x:c r="J23" s="61" t="s">
        <x:v>122</x:v>
      </x:c>
      <x:c r="K23" s="62">
        <x:f>SUM(K4:K22)</x:f>
        <x:v>576486.66666666663</x:v>
      </x:c>
      <x:c r="M23" s="90" t="s">
        <x:v>96</x:v>
      </x:c>
      <x:c r="N23" s="279">
        <x:f>C5+C6</x:f>
        <x:v>335000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0.19501957361924946</x:v>
      </x:c>
      <x:c r="J24" s="61" t="s">
        <x:v>8</x:v>
      </x:c>
      <x:c r="K24" s="63">
        <x:f>K23/A25</x:f>
        <x:v>0.14374433777999418</x:v>
      </x:c>
    </x:row>
    <x:row r="25" spans="1:11" ht="34.149999999999999" customHeight="1">
      <x:c r="A25" s="308">
        <x:f>C2</x:f>
        <x:v>4010500</x:v>
      </x:c>
      <x:c r="B25" s="272"/>
      <x:c r="C25" s="272">
        <x:f>E25/I1</x:f>
        <x:v>3649000</x:v>
      </x:c>
      <x:c r="D25" s="272"/>
      <x:c r="E25" s="272">
        <x:f>SUM('1:4'!$A$25)</x:f>
        <x:v>14596000</x:v>
      </x:c>
      <x:c r="F25" s="272"/>
      <x:c r="G25" s="272"/>
      <x:c r="H25" s="109" t="s">
        <x:v>36</x:v>
      </x:c>
      <x:c r="I25" s="110">
        <x:f>SUM('1:4'!$I$23)</x:f>
        <x:v>4990108</x:v>
      </x:c>
      <x:c r="J25" s="61" t="s">
        <x:v>36</x:v>
      </x:c>
      <x:c r="K25" s="62">
        <x:f>SUM('1:4'!$K$23)</x:f>
        <x:v>653486.66666666663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0.34188188544806797</x:v>
      </x:c>
      <x:c r="J26" s="64" t="s">
        <x:v>131</x:v>
      </x:c>
      <x:c r="K26" s="65">
        <x:f>K25/$E$25</x:f>
        <x:v>0.044771626929752444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795841.93548387103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0.19843957997353723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SUM('1:4'!$I$27)</x:f>
        <x:v>3130167.7419354841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3.9331525550137609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71000</x:v>
      </x:c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>
        <x:f>11700*3</x:f>
        <x:v>35100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4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5</x:v>
      </x:c>
      <x:c r="G1" s="68" t="s">
        <x:v>53</x:v>
      </x:c>
      <x:c r="H1" s="52" t="s">
        <x:v>126</x:v>
      </x:c>
      <x:c r="I1" s="52">
        <x:f>F1-K1</x:f>
        <x:v>5</x:v>
      </x:c>
      <x:c r="J1" s="52" t="s">
        <x:v>101</x:v>
      </x:c>
      <x:c r="K1" s="52"/>
    </x:row>
    <x:row r="2" spans="1:11" ht="20.100000000000001" customHeight="1">
      <x:c r="A2" s="325" t="s">
        <x:v>9</x:v>
      </x:c>
      <x:c r="B2" s="326"/>
      <x:c r="C2" s="329">
        <x:f>SUM(C4:D7)</x:f>
        <x:v>4006500</x:v>
      </x:c>
      <x:c r="D2" s="330"/>
      <x:c r="E2" s="274" t="s">
        <x:v>43</x:v>
      </x:c>
      <x:c r="F2" s="275"/>
      <x:c r="G2" s="263">
        <x:v>159000</x:v>
      </x:c>
      <x:c r="H2" s="333" t="s">
        <x:v>6</x:v>
      </x:c>
      <x:c r="I2" s="334"/>
      <x:c r="J2" s="259" t="s">
        <x:v>77</x:v>
      </x:c>
      <x:c r="K2" s="322"/>
    </x:row>
    <x:row r="3" spans="1:11" ht="20.100000000000001" customHeight="1">
      <x:c r="A3" s="327"/>
      <x:c r="B3" s="328"/>
      <x:c r="C3" s="331"/>
      <x:c r="D3" s="33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336" t="s">
        <x:v>22</x:v>
      </x:c>
      <x:c r="B4" s="337"/>
      <x:c r="C4" s="306">
        <x:v>3356000</x:v>
      </x:c>
      <x:c r="D4" s="307"/>
      <x:c r="E4" s="338" t="s">
        <x:v>149</x:v>
      </x:c>
      <x:c r="F4" s="339"/>
      <x:c r="G4" s="135">
        <x:f>INT(C4*0.0275)</x:f>
        <x:v>92290</x:v>
      </x:c>
      <x:c r="H4" s="54" t="s">
        <x:v>20</x:v>
      </x:c>
      <x:c r="I4" s="126">
        <x:f>452000+215475+226928+212982+310769</x:f>
        <x:v>1418154</x:v>
      </x:c>
      <x:c r="J4" s="82" t="s">
        <x:v>39</x:v>
      </x:c>
      <x:c r="K4" s="58"/>
    </x:row>
    <x:row r="5" spans="1:11" ht="30.949999999999999" customHeight="1">
      <x:c r="A5" s="336" t="s">
        <x:v>64</x:v>
      </x:c>
      <x:c r="B5" s="337"/>
      <x:c r="C5" s="306">
        <x:v>650500</x:v>
      </x:c>
      <x:c r="D5" s="307"/>
      <x:c r="E5" s="288" t="s">
        <x:v>73</x:v>
      </x:c>
      <x:c r="F5" s="289"/>
      <x:c r="G5" s="135">
        <x:f>INT(C5*0.01)</x:f>
        <x:v>6505</x:v>
      </x:c>
      <x:c r="H5" s="54" t="s">
        <x:v>6</x:v>
      </x:c>
      <x:c r="I5" s="126">
        <x:f>47300+29656+50000+36000+17760+6430</x:f>
        <x:v>187146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660000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f>357200-14700</x:f>
        <x:v>342500</x:v>
      </x:c>
      <x:c r="J7" s="83" t="s">
        <x:v>119</x:v>
      </x:c>
      <x:c r="K7" s="58"/>
    </x:row>
    <x:row r="8" spans="1:11" ht="21.949999999999999" customHeight="1">
      <x:c r="A8" s="343" t="s">
        <x:v>137</x:v>
      </x:c>
      <x:c r="B8" s="285"/>
      <x:c r="C8" s="297">
        <x:v>150000</x:v>
      </x:c>
      <x:c r="D8" s="298"/>
      <x:c r="E8" s="284" t="s">
        <x:v>113</x:v>
      </x:c>
      <x:c r="F8" s="285"/>
      <x:c r="G8" s="290">
        <x:f>C5+G2-G6-C22</x:f>
        <x:v>149500</x:v>
      </x:c>
      <x:c r="H8" s="54" t="s">
        <x:v>48</x:v>
      </x:c>
      <x:c r="I8" s="126"/>
      <x:c r="J8" s="83"/>
      <x:c r="K8" s="58"/>
    </x:row>
    <x:row r="9" spans="1:11" ht="21.949999999999999" customHeight="1">
      <x:c r="A9" s="344"/>
      <x:c r="B9" s="277"/>
      <x:c r="C9" s="299"/>
      <x:c r="D9" s="300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335" t="s">
        <x:v>146</x:v>
      </x:c>
      <x:c r="B10" s="289"/>
      <x:c r="C10" s="306"/>
      <x:c r="D10" s="307"/>
      <x:c r="E10" s="288" t="s">
        <x:v>90</x:v>
      </x:c>
      <x:c r="F10" s="289"/>
      <x:c r="G10" s="55"/>
      <x:c r="H10" s="54"/>
      <x:c r="I10" s="126"/>
      <x:c r="J10" s="54" t="s">
        <x:v>56</x:v>
      </x:c>
      <x:c r="K10" s="58"/>
    </x:row>
    <x:row r="11" spans="1:11" ht="33" customHeight="1">
      <x:c r="A11" s="335" t="s">
        <x:v>106</x:v>
      </x:c>
      <x:c r="B11" s="289"/>
      <x:c r="C11" s="340"/>
      <x:c r="D11" s="341"/>
      <x:c r="E11" s="341"/>
      <x:c r="F11" s="341"/>
      <x:c r="G11" s="342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8</x:v>
      </x:c>
      <x:c r="D12" s="284" t="s">
        <x:v>136</x:v>
      </x:c>
      <x:c r="E12" s="285"/>
      <x:c r="F12" s="288">
        <x:v>7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SUM('1:5'!$C$12)</x:f>
        <x:v>64</x:v>
      </x:c>
      <x:c r="D13" s="276"/>
      <x:c r="E13" s="277"/>
      <x:c r="F13" s="286">
        <x:f>SUM('1:5'!$F$12)</x:f>
        <x:v>27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42</x:v>
      </x:c>
      <x:c r="D14" s="284" t="s">
        <x:v>98</x:v>
      </x:c>
      <x:c r="E14" s="285"/>
      <x:c r="F14" s="288">
        <x:v>19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SUM('1:5'!$C$14)</x:f>
        <x:v>187</x:v>
      </x:c>
      <x:c r="D15" s="276"/>
      <x:c r="E15" s="277"/>
      <x:c r="F15" s="286">
        <x:f>SUM('1:5'!$F$14)</x:f>
        <x:v>98</x:v>
      </x:c>
      <x:c r="G15" s="287"/>
      <x:c r="H15" s="54" t="s">
        <x:v>109</x:v>
      </x:c>
      <x:c r="I15" s="58">
        <x:f>36000+4900+5500+18500+3500+21000+2200+19200</x:f>
        <x:v>110800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5</x:v>
      </x:c>
      <x:c r="D16" s="284" t="s">
        <x:v>120</x:v>
      </x:c>
      <x:c r="E16" s="285"/>
      <x:c r="F16" s="323">
        <x:v>17</x:v>
      </x:c>
      <x:c r="G16" s="324"/>
      <x:c r="H16" s="54"/>
      <x:c r="I16" s="58"/>
      <x:c r="J16" s="54" t="s">
        <x:v>100</x:v>
      </x:c>
      <x:c r="K16" s="58">
        <x:v>22500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SUM('1:5'!$C$16)</x:f>
        <x:v>18</x:v>
      </x:c>
      <x:c r="D17" s="276"/>
      <x:c r="E17" s="277"/>
      <x:c r="F17" s="286">
        <x:f>SUM('1:5'!$F$16)</x:f>
        <x:v>69</x:v>
      </x:c>
      <x:c r="G17" s="287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38</x:v>
      </x:c>
      <x:c r="D18" s="284" t="s">
        <x:v>133</x:v>
      </x:c>
      <x:c r="E18" s="285"/>
      <x:c r="F18" s="323">
        <x:v>5</x:v>
      </x:c>
      <x:c r="G18" s="324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SUM('1:5'!$C$18)</x:f>
        <x:v>160</x:v>
      </x:c>
      <x:c r="D19" s="276"/>
      <x:c r="E19" s="277"/>
      <x:c r="F19" s="286">
        <x:f>SUM('1:5'!$F$18)</x:f>
        <x:v>51</x:v>
      </x:c>
      <x:c r="G19" s="287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88" t="s">
        <x:v>116</x:v>
      </x:c>
      <x:c r="E20" s="289"/>
      <x:c r="F20" s="323">
        <x:v>61</x:v>
      </x:c>
      <x:c r="G20" s="324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88" t="s">
        <x:v>117</x:v>
      </x:c>
      <x:c r="E21" s="289"/>
      <x:c r="F21" s="286">
        <x:f>SUM('1:5'!$F$20)</x:f>
        <x:v>286</x:v>
      </x:c>
      <x:c r="G21" s="287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5" t="s">
        <x:v>86</x:v>
      </x:c>
      <x:c r="B22" s="289"/>
      <x:c r="C22" s="345"/>
      <x:c r="D22" s="346"/>
      <x:c r="E22" s="346"/>
      <x:c r="F22" s="346"/>
      <x:c r="G22" s="34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5" t="s">
        <x:v>127</x:v>
      </x:c>
      <x:c r="B23" s="289"/>
      <x:c r="C23" s="319"/>
      <x:c r="D23" s="320"/>
      <x:c r="E23" s="320"/>
      <x:c r="F23" s="320"/>
      <x:c r="G23" s="321"/>
      <x:c r="H23" s="109" t="s">
        <x:v>97</x:v>
      </x:c>
      <x:c r="I23" s="110">
        <x:f>SUM(I4:I22)</x:f>
        <x:v>2058600</x:v>
      </x:c>
      <x:c r="J23" s="61" t="s">
        <x:v>122</x:v>
      </x:c>
      <x:c r="K23" s="62">
        <x:f>SUM(K4:K22)</x:f>
        <x:v>37166.666666666664</x:v>
      </x:c>
      <x:c r="M23" s="90" t="s">
        <x:v>96</x:v>
      </x:c>
      <x:c r="N23" s="279">
        <x:f>C5+C6</x:f>
        <x:v>650500</x:v>
      </x:c>
      <x:c r="O23" s="280"/>
    </x:row>
    <x:row r="24" spans="1:11" ht="34.149999999999999" customHeight="1">
      <x:c r="A24" s="335" t="s">
        <x:v>8</x:v>
      </x:c>
      <x:c r="B24" s="289"/>
      <x:c r="C24" s="288" t="s">
        <x:v>89</x:v>
      </x:c>
      <x:c r="D24" s="289"/>
      <x:c r="E24" s="288" t="s">
        <x:v>104</x:v>
      </x:c>
      <x:c r="F24" s="318"/>
      <x:c r="G24" s="289"/>
      <x:c r="H24" s="109" t="s">
        <x:v>8</x:v>
      </x:c>
      <x:c r="I24" s="111">
        <x:f>I23/A25</x:f>
        <x:v>0.5138150505428678</x:v>
      </x:c>
      <x:c r="J24" s="61" t="s">
        <x:v>8</x:v>
      </x:c>
      <x:c r="K24" s="63">
        <x:f>K23/A25</x:f>
        <x:v>0.0092765922043346223</x:v>
      </x:c>
    </x:row>
    <x:row r="25" spans="1:11" ht="34.149999999999999" customHeight="1">
      <x:c r="A25" s="349">
        <x:f>C2</x:f>
        <x:v>4006500</x:v>
      </x:c>
      <x:c r="B25" s="310"/>
      <x:c r="C25" s="309">
        <x:f>E25/I1</x:f>
        <x:v>3720500</x:v>
      </x:c>
      <x:c r="D25" s="310"/>
      <x:c r="E25" s="309">
        <x:f>SUM('1:5'!$A$25)</x:f>
        <x:v>18602500</x:v>
      </x:c>
      <x:c r="F25" s="317"/>
      <x:c r="G25" s="310"/>
      <x:c r="H25" s="109" t="s">
        <x:v>36</x:v>
      </x:c>
      <x:c r="I25" s="110">
        <x:f>SUM('1:5'!$I$23)</x:f>
        <x:v>7048708</x:v>
      </x:c>
      <x:c r="J25" s="61" t="s">
        <x:v>36</x:v>
      </x:c>
      <x:c r="K25" s="62">
        <x:f>SUM('1:5'!$K$23)</x:f>
        <x:v>690653.33333333326</x:v>
      </x:c>
    </x:row>
    <x:row r="26" spans="1:11" ht="34.149999999999999" customHeight="1">
      <x:c r="A26" s="335" t="s">
        <x:v>145</x:v>
      </x:c>
      <x:c r="B26" s="289"/>
      <x:c r="C26" s="288"/>
      <x:c r="D26" s="289"/>
      <x:c r="E26" s="306"/>
      <x:c r="F26" s="348"/>
      <x:c r="G26" s="307"/>
      <x:c r="H26" s="109" t="s">
        <x:v>131</x:v>
      </x:c>
      <x:c r="I26" s="112">
        <x:f>I25/$E$25</x:f>
        <x:v>0.37891186668458543</x:v>
      </x:c>
      <x:c r="J26" s="64" t="s">
        <x:v>131</x:v>
      </x:c>
      <x:c r="K26" s="65">
        <x:f>K25/$E$25</x:f>
        <x:v>0.037126909465573621</x:v>
      </x:c>
    </x:row>
    <x:row r="27" spans="1:13" ht="30.949999999999999" customHeight="1">
      <x:c r="A27" s="301" t="s">
        <x:v>144</x:v>
      </x:c>
      <x:c r="B27" s="54" t="s">
        <x:v>47</x:v>
      </x:c>
      <x:c r="C27" s="309">
        <x:f>4000000/31</x:f>
        <x:v>129032.25806451614</x:v>
      </x:c>
      <x:c r="D27" s="310"/>
      <x:c r="E27" s="55" t="s">
        <x:v>153</x:v>
      </x:c>
      <x:c r="F27" s="306"/>
      <x:c r="G27" s="307"/>
      <x:c r="H27" s="113" t="s">
        <x:v>121</x:v>
      </x:c>
      <x:c r="I27" s="114">
        <x:f>SUM(C27:D34,F27:G32)</x:f>
        <x:v>886091.93548387103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309">
        <x:f>1500000/30</x:f>
        <x:v>50000</x:v>
      </x:c>
      <x:c r="G28" s="310"/>
      <x:c r="H28" s="113" t="s">
        <x:v>8</x:v>
      </x:c>
      <x:c r="I28" s="115">
        <x:f>I27/$A$25</x:f>
        <x:v>0.22116359303229027</x:v>
      </x:c>
      <x:c r="M28" s="66"/>
    </x:row>
    <x:row r="29" spans="1:13" ht="30.949999999999999" customHeight="1">
      <x:c r="A29" s="302"/>
      <x:c r="B29" s="54" t="s">
        <x:v>50</x:v>
      </x:c>
      <x:c r="C29" s="309">
        <x:f>3200000/31</x:f>
        <x:v>103225.80645161291</x:v>
      </x:c>
      <x:c r="D29" s="310"/>
      <x:c r="E29" s="55"/>
      <x:c r="F29" s="306"/>
      <x:c r="G29" s="307"/>
      <x:c r="H29" s="113" t="s">
        <x:v>36</x:v>
      </x:c>
      <x:c r="I29" s="114">
        <x:f>SUM('1:5'!$I$27)</x:f>
        <x:v>4016259.6774193551</x:v>
      </x:c>
      <x:c r="M29" s="66"/>
    </x:row>
    <x:row r="30" spans="1:13" ht="30.949999999999999" customHeight="1">
      <x:c r="A30" s="302"/>
      <x:c r="B30" s="54"/>
      <x:c r="C30" s="309"/>
      <x:c r="D30" s="310"/>
      <x:c r="E30" s="55"/>
      <x:c r="F30" s="306"/>
      <x:c r="G30" s="307"/>
      <x:c r="H30" s="113" t="s">
        <x:v>131</x:v>
      </x:c>
      <x:c r="I30" s="115">
        <x:f>I29/$I$27</x:f>
        <x:v>4.5325541476982112</x:v>
      </x:c>
      <x:c r="M30" s="66"/>
    </x:row>
    <x:row r="31" spans="1:7" customHeight="1">
      <x:c r="A31" s="302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02"/>
      <x:c r="B32" s="54" t="s">
        <x:v>32</x:v>
      </x:c>
      <x:c r="C32" s="304"/>
      <x:c r="D32" s="305"/>
      <x:c r="E32" s="55" t="s">
        <x:v>141</x:v>
      </x:c>
      <x:c r="F32" s="306">
        <x:v>132000</x:v>
      </x:c>
      <x:c r="G32" s="307"/>
    </x:row>
    <x:row r="33" spans="1:4" customHeight="1">
      <x:c r="A33" s="302"/>
      <x:c r="B33" s="54" t="s">
        <x:v>21</x:v>
      </x:c>
      <x:c r="C33" s="304">
        <x:f>13000*4</x:f>
        <x:v>52000</x:v>
      </x:c>
      <x:c r="D33" s="305"/>
    </x:row>
    <x:row r="34" spans="1:4" customHeight="1">
      <x:c r="A34" s="303"/>
      <x:c r="B34" s="54" t="s">
        <x:v>60</x:v>
      </x:c>
      <x:c r="C34" s="306">
        <x:f>11700*5.5</x:f>
        <x:v>64350</x:v>
      </x:c>
      <x:c r="D34" s="307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6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6</x:v>
      </x:c>
      <x:c r="G1" s="68" t="s">
        <x:v>31</x:v>
      </x:c>
      <x:c r="H1" s="52" t="s">
        <x:v>126</x:v>
      </x:c>
      <x:c r="I1" s="52">
        <x:f>F1-K1</x:f>
        <x:v>6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3819000</x:v>
      </x:c>
      <x:c r="D2" s="271"/>
      <x:c r="E2" s="274" t="s">
        <x:v>43</x:v>
      </x:c>
      <x:c r="F2" s="275"/>
      <x:c r="G2" s="263">
        <x:v>150000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3366000</x:v>
      </x:c>
      <x:c r="D4" s="258"/>
      <x:c r="E4" s="273" t="s">
        <x:v>149</x:v>
      </x:c>
      <x:c r="F4" s="273"/>
      <x:c r="G4" s="135">
        <x:f>INT(C4*0.0275)</x:f>
        <x:v>92565</x:v>
      </x:c>
      <x:c r="H4" s="54" t="s">
        <x:v>20</x:v>
      </x:c>
      <x:c r="I4" s="126">
        <x:f>56220+955200+1356000+442000+715696+396921+10+885814</x:f>
        <x:v>4807861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453000</x:v>
      </x:c>
      <x:c r="D5" s="258"/>
      <x:c r="E5" s="257" t="s">
        <x:v>73</x:v>
      </x:c>
      <x:c r="F5" s="257"/>
      <x:c r="G5" s="135">
        <x:f>INT(C5*0.01)</x:f>
        <x:v>4530</x:v>
      </x:c>
      <x:c r="H5" s="54" t="s">
        <x:v>6</x:v>
      </x:c>
      <x:c r="I5" s="126">
        <x:f>41250+59312+72160+50000+36000+17760+6930+12980</x:f>
        <x:v>296392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450000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153000</x:v>
      </x:c>
      <x:c r="D8" s="258"/>
      <x:c r="E8" s="284" t="s">
        <x:v>113</x:v>
      </x:c>
      <x:c r="F8" s="285"/>
      <x:c r="G8" s="290">
        <x:f>C5+G2-G6-C22</x:f>
        <x:v>153000</x:v>
      </x:c>
      <x:c r="H8" s="54" t="s">
        <x:v>48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62000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161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18</x:v>
      </x:c>
      <x:c r="D12" s="284" t="s">
        <x:v>136</x:v>
      </x:c>
      <x:c r="E12" s="285"/>
      <x:c r="F12" s="288">
        <x:v>3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SUM('1:6'!$C$12)</x:f>
        <x:v>82</x:v>
      </x:c>
      <x:c r="D13" s="276"/>
      <x:c r="E13" s="277"/>
      <x:c r="F13" s="286">
        <x:f>SUM('1:6'!$F$12)</x:f>
        <x:v>30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32</x:v>
      </x:c>
      <x:c r="D14" s="284" t="s">
        <x:v>98</x:v>
      </x:c>
      <x:c r="E14" s="285"/>
      <x:c r="F14" s="288">
        <x:v>39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SUM('1:6'!$C$14)</x:f>
        <x:v>219</x:v>
      </x:c>
      <x:c r="D15" s="276"/>
      <x:c r="E15" s="277"/>
      <x:c r="F15" s="286">
        <x:f>SUM('1:6'!$F$14)</x:f>
        <x:v>137</x:v>
      </x:c>
      <x:c r="G15" s="287"/>
      <x:c r="H15" s="54" t="s">
        <x:v>109</x:v>
      </x:c>
      <x:c r="I15" s="58">
        <x:v>266000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6</x:v>
      </x:c>
      <x:c r="D16" s="284" t="s">
        <x:v>120</x:v>
      </x:c>
      <x:c r="E16" s="285"/>
      <x:c r="F16" s="282">
        <x:v>16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SUM('1:6'!$C$16)</x:f>
        <x:v>24</x:v>
      </x:c>
      <x:c r="D17" s="276"/>
      <x:c r="E17" s="277"/>
      <x:c r="F17" s="283">
        <x:f>SUM('1:6'!$F$16)</x:f>
        <x:v>85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45</x:v>
      </x:c>
      <x:c r="D18" s="284" t="s">
        <x:v>133</x:v>
      </x:c>
      <x:c r="E18" s="285"/>
      <x:c r="F18" s="292">
        <x:v>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SUM('1:6'!$C$18)</x:f>
        <x:v>205</x:v>
      </x:c>
      <x:c r="D19" s="276"/>
      <x:c r="E19" s="277"/>
      <x:c r="F19" s="283">
        <x:f>SUM('1:6'!$F$18)</x:f>
        <x:v>58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43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SUM('1:6'!$F$20)</x:f>
        <x:v>329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5426253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453000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1.4208570306362922</x:v>
      </x:c>
      <x:c r="J24" s="61" t="s">
        <x:v>8</x:v>
      </x:c>
      <x:c r="K24" s="63">
        <x:f>K23/A25</x:f>
        <x:v>0.0038404468883651913</x:v>
      </x:c>
    </x:row>
    <x:row r="25" spans="1:11" ht="34.149999999999999" customHeight="1">
      <x:c r="A25" s="308">
        <x:f>C2</x:f>
        <x:v>3819000</x:v>
      </x:c>
      <x:c r="B25" s="272"/>
      <x:c r="C25" s="272">
        <x:f>E25/I1</x:f>
        <x:v>3736916.6666666665</x:v>
      </x:c>
      <x:c r="D25" s="272"/>
      <x:c r="E25" s="272">
        <x:f>SUM('1:6'!$A$25)</x:f>
        <x:v>22421500</x:v>
      </x:c>
      <x:c r="F25" s="272"/>
      <x:c r="G25" s="272"/>
      <x:c r="H25" s="109" t="s">
        <x:v>36</x:v>
      </x:c>
      <x:c r="I25" s="110">
        <x:f>SUM('1:6'!$I$23)</x:f>
        <x:v>12474961</x:v>
      </x:c>
      <x:c r="J25" s="61" t="s">
        <x:v>36</x:v>
      </x:c>
      <x:c r="K25" s="62">
        <x:f>SUM('1:6'!$K$23)</x:f>
        <x:v>705319.99999999988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0.55638387262225986</x:v>
      </x:c>
      <x:c r="J26" s="64" t="s">
        <x:v>131</x:v>
      </x:c>
      <x:c r="K26" s="65">
        <x:f>K25/$E$25</x:f>
        <x:v>0.031457306603037256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6">
        <x:f>SUM(C27:D34,F27:G32)</x:f>
        <x:v>758241.93548387103</x:v>
      </x:c>
      <x:c r="M27" s="66"/>
    </x:row>
    <x:row r="28" spans="1:13" ht="30.949999999999999" customHeight="1">
      <x:c r="A28" s="314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0.19854462830161587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SUM('1:6'!$I$27)</x:f>
        <x:v>4774501.6129032262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6.2968050030843843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>
        <x:f>11700*5</x:f>
        <x:v>58500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7</x:v>
      </x:c>
      <x:c r="G1" s="68" t="s">
        <x:v>18</x:v>
      </x:c>
      <x:c r="H1" s="52" t="s">
        <x:v>126</x:v>
      </x:c>
      <x:c r="I1" s="52">
        <x:f>F1-K1</x:f>
        <x:v>7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3778500</x:v>
      </x:c>
      <x:c r="D2" s="271"/>
      <x:c r="E2" s="274" t="s">
        <x:v>43</x:v>
      </x:c>
      <x:c r="F2" s="275"/>
      <x:c r="G2" s="263">
        <x:v>153000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3036500</x:v>
      </x:c>
      <x:c r="D4" s="258"/>
      <x:c r="E4" s="273" t="s">
        <x:v>149</x:v>
      </x:c>
      <x:c r="F4" s="273"/>
      <x:c r="G4" s="135">
        <x:f>INT(C4*0.0275)</x:f>
        <x:v>83503</x:v>
      </x:c>
      <x:c r="H4" s="54" t="s">
        <x:v>20</x:v>
      </x:c>
      <x:c r="I4" s="126"/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742000</x:v>
      </x:c>
      <x:c r="D5" s="258"/>
      <x:c r="E5" s="257" t="s">
        <x:v>73</x:v>
      </x:c>
      <x:c r="F5" s="257"/>
      <x:c r="G5" s="135">
        <x:f>INT(C5*0.01)</x:f>
        <x:v>7420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740000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155000</x:v>
      </x:c>
      <x:c r="D8" s="258"/>
      <x:c r="E8" s="284" t="s">
        <x:v>113</x:v>
      </x:c>
      <x:c r="F8" s="285"/>
      <x:c r="G8" s="290">
        <x:f>C5+G2-G6-C22</x:f>
        <x:v>155000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3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SUM('1:7'!$C$12)</x:f>
        <x:v>93</x:v>
      </x:c>
      <x:c r="D13" s="276"/>
      <x:c r="E13" s="277"/>
      <x:c r="F13" s="286">
        <x:f>SUM('1:7'!$F$12)</x:f>
        <x:v>33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43</x:v>
      </x:c>
      <x:c r="D14" s="284" t="s">
        <x:v>98</x:v>
      </x:c>
      <x:c r="E14" s="285"/>
      <x:c r="F14" s="288">
        <x:v>21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SUM('1:7'!$C$14)</x:f>
        <x:v>262</x:v>
      </x:c>
      <x:c r="D15" s="276"/>
      <x:c r="E15" s="277"/>
      <x:c r="F15" s="286">
        <x:f>SUM('1:7'!$F$14)</x:f>
        <x:v>158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3</x:v>
      </x:c>
      <x:c r="D16" s="284" t="s">
        <x:v>120</x:v>
      </x:c>
      <x:c r="E16" s="285"/>
      <x:c r="F16" s="282">
        <x:v>22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SUM('1:7'!$C$16)</x:f>
        <x:v>27</x:v>
      </x:c>
      <x:c r="D17" s="276"/>
      <x:c r="E17" s="277"/>
      <x:c r="F17" s="283">
        <x:f>SUM('1:7'!$F$16)</x:f>
        <x:v>107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40</x:v>
      </x:c>
      <x:c r="D18" s="284" t="s">
        <x:v>133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SUM('1:7'!$C$18)</x:f>
        <x:v>245</x:v>
      </x:c>
      <x:c r="D19" s="276"/>
      <x:c r="E19" s="277"/>
      <x:c r="F19" s="283">
        <x:f>SUM('1:7'!$F$18)</x:f>
        <x:v>68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55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SUM('1:7'!$F$20)</x:f>
        <x:v>384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0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742000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0.0038816108685104317</x:v>
      </x:c>
    </x:row>
    <x:row r="25" spans="1:11" ht="34.149999999999999" customHeight="1">
      <x:c r="A25" s="308">
        <x:f>C2</x:f>
        <x:v>3778500</x:v>
      </x:c>
      <x:c r="B25" s="272"/>
      <x:c r="C25" s="272">
        <x:f>E25/I1</x:f>
        <x:v>3742857.1428571427</x:v>
      </x:c>
      <x:c r="D25" s="272"/>
      <x:c r="E25" s="272">
        <x:f>SUM('1:7'!$A$25)</x:f>
        <x:v>26200000</x:v>
      </x:c>
      <x:c r="F25" s="272"/>
      <x:c r="G25" s="272"/>
      <x:c r="H25" s="109" t="s">
        <x:v>36</x:v>
      </x:c>
      <x:c r="I25" s="110">
        <x:f>SUM('1:7'!$I$23)</x:f>
        <x:v>12474961</x:v>
      </x:c>
      <x:c r="J25" s="61" t="s">
        <x:v>36</x:v>
      </x:c>
      <x:c r="K25" s="62">
        <x:f>SUM('1:7'!$K$23)</x:f>
        <x:v>719986.66666666651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0.47614354961832062</x:v>
      </x:c>
      <x:c r="J26" s="64" t="s">
        <x:v>131</x:v>
      </x:c>
      <x:c r="K26" s="65">
        <x:f>K25/$E$25</x:f>
        <x:v>0.027480407124681926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712741.93548387103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0.188630921128456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SUM('1:7'!$I$27)</x:f>
        <x:v>5487243.5483870972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7.6987802670287397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13000*5</x:f>
        <x:v>65000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2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8</x:v>
      </x:c>
      <x:c r="G1" s="68" t="s">
        <x:v>19</x:v>
      </x:c>
      <x:c r="H1" s="52" t="s">
        <x:v>126</x:v>
      </x:c>
      <x:c r="I1" s="52">
        <x:f>F1-K1</x:f>
        <x:v>8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4371000</x:v>
      </x:c>
      <x:c r="D2" s="271"/>
      <x:c r="E2" s="274" t="s">
        <x:v>43</x:v>
      </x:c>
      <x:c r="F2" s="275"/>
      <x:c r="G2" s="263">
        <x:v>155000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3804000</x:v>
      </x:c>
      <x:c r="D4" s="258"/>
      <x:c r="E4" s="273" t="s">
        <x:v>149</x:v>
      </x:c>
      <x:c r="F4" s="273"/>
      <x:c r="G4" s="135">
        <x:f>INT(C4*0.0275)</x:f>
        <x:v>104610</x:v>
      </x:c>
      <x:c r="H4" s="54" t="s">
        <x:v>20</x:v>
      </x:c>
      <x:c r="I4" s="126"/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567000</x:v>
      </x:c>
      <x:c r="D5" s="258"/>
      <x:c r="E5" s="257" t="s">
        <x:v>73</x:v>
      </x:c>
      <x:c r="F5" s="257"/>
      <x:c r="G5" s="135">
        <x:f>INT(C5*0.01)</x:f>
        <x:v>5670</x:v>
      </x:c>
      <x:c r="H5" s="54" t="s">
        <x:v>6</x:v>
      </x:c>
      <x:c r="I5" s="126"/>
      <x:c r="J5" s="83"/>
      <x:c r="K5" s="58"/>
    </x:row>
    <x:row r="6" spans="1:13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560000</x:v>
      </x:c>
      <x:c r="H6" s="54"/>
      <x:c r="I6" s="126"/>
      <x:c r="J6" s="83" t="s">
        <x:v>130</x:v>
      </x:c>
      <x:c r="K6" s="58"/>
      <x:c r="M6" s="126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162000</x:v>
      </x:c>
      <x:c r="D8" s="258"/>
      <x:c r="E8" s="284" t="s">
        <x:v>113</x:v>
      </x:c>
      <x:c r="F8" s="285"/>
      <x:c r="G8" s="290">
        <x:f>C5+G2-G6-C22</x:f>
        <x:v>162000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20</x:v>
      </x:c>
      <x:c r="D12" s="284" t="s">
        <x:v>136</x:v>
      </x:c>
      <x:c r="E12" s="285"/>
      <x:c r="F12" s="288">
        <x:v>9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SUM('1:8'!$C$12)</x:f>
        <x:v>113</x:v>
      </x:c>
      <x:c r="D13" s="276"/>
      <x:c r="E13" s="277"/>
      <x:c r="F13" s="286">
        <x:f>SUM('1:8'!$F$12)</x:f>
        <x:v>42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49</x:v>
      </x:c>
      <x:c r="D14" s="284" t="s">
        <x:v>98</x:v>
      </x:c>
      <x:c r="E14" s="285"/>
      <x:c r="F14" s="288">
        <x:v>17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SUM('1:8'!$C$14)</x:f>
        <x:v>311</x:v>
      </x:c>
      <x:c r="D15" s="276"/>
      <x:c r="E15" s="277"/>
      <x:c r="F15" s="286">
        <x:f>SUM('1:8'!$F$14)</x:f>
        <x:v>175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6</x:v>
      </x:c>
      <x:c r="D16" s="284" t="s">
        <x:v>120</x:v>
      </x:c>
      <x:c r="E16" s="285"/>
      <x:c r="F16" s="282">
        <x:v>23</x:v>
      </x:c>
      <x:c r="G16" s="282"/>
      <x:c r="H16" s="54"/>
      <x:c r="I16" s="58"/>
      <x:c r="J16" s="54" t="s">
        <x:v>100</x:v>
      </x:c>
      <x:c r="K16" s="58">
        <x:v>314940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SUM('1:8'!$C$16)</x:f>
        <x:v>33</x:v>
      </x:c>
      <x:c r="D17" s="276"/>
      <x:c r="E17" s="277"/>
      <x:c r="F17" s="283">
        <x:f>SUM('1:8'!$F$16)</x:f>
        <x:v>130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31</x:v>
      </x:c>
      <x:c r="D18" s="284" t="s">
        <x:v>133</x:v>
      </x:c>
      <x:c r="E18" s="285"/>
      <x:c r="F18" s="292">
        <x:v>29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SUM('1:8'!$C$18)</x:f>
        <x:v>276</x:v>
      </x:c>
      <x:c r="D19" s="276"/>
      <x:c r="E19" s="277"/>
      <x:c r="F19" s="283">
        <x:f>SUM('1:8'!$F$18)</x:f>
        <x:v>97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40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SUM('1:8'!$F$20)</x:f>
        <x:v>424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0</x:v>
      </x:c>
      <x:c r="J23" s="61" t="s">
        <x:v>122</x:v>
      </x:c>
      <x:c r="K23" s="62">
        <x:f>SUM(K4:K22)</x:f>
        <x:v>329606.66666666669</x:v>
      </x:c>
      <x:c r="M23" s="90" t="s">
        <x:v>96</x:v>
      </x:c>
      <x:c r="N23" s="279">
        <x:f>C5+C6</x:f>
        <x:v>567000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0.075407610767940211</x:v>
      </x:c>
    </x:row>
    <x:row r="25" spans="1:11" ht="34.149999999999999" customHeight="1">
      <x:c r="A25" s="308">
        <x:f>C2</x:f>
        <x:v>4371000</x:v>
      </x:c>
      <x:c r="B25" s="272"/>
      <x:c r="C25" s="272">
        <x:f>E25/I1</x:f>
        <x:v>3821375</x:v>
      </x:c>
      <x:c r="D25" s="272"/>
      <x:c r="E25" s="272">
        <x:f>SUM('1:8'!$A$25)</x:f>
        <x:v>30571000</x:v>
      </x:c>
      <x:c r="F25" s="272"/>
      <x:c r="G25" s="272"/>
      <x:c r="H25" s="109" t="s">
        <x:v>36</x:v>
      </x:c>
      <x:c r="I25" s="110">
        <x:f>SUM('1:8'!$I$23)</x:f>
        <x:v>12474961</x:v>
      </x:c>
      <x:c r="J25" s="61" t="s">
        <x:v>36</x:v>
      </x:c>
      <x:c r="K25" s="62">
        <x:f>SUM('1:8'!$K$23)</x:f>
        <x:v>1049593.3333333333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0.40806519250269863</x:v>
      </x:c>
      <x:c r="J26" s="64" t="s">
        <x:v>131</x:v>
      </x:c>
      <x:c r="K26" s="65">
        <x:f>K25/$E$25</x:f>
        <x:v>0.03433297351520504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699741.93548387103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0.16008737942893411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SUM('1:8'!$I$27)</x:f>
        <x:v>6186985.4838709682</x:v>
      </x:c>
      <x:c r="M29" s="66" t="s">
        <x:v>66</x:v>
      </x:c>
    </x:row>
    <x:row r="30" spans="1:13" ht="30.949999999999999" customHeight="1">
      <x:c r="A30" s="314"/>
      <x:c r="B30" s="54"/>
      <x:c r="C30" s="309"/>
      <x:c r="D30" s="310"/>
      <x:c r="E30" s="55"/>
      <x:c r="F30" s="306"/>
      <x:c r="G30" s="307"/>
      <x:c r="H30" s="113" t="s">
        <x:v>131</x:v>
      </x:c>
      <x:c r="I30" s="115">
        <x:f>I29/$I$27</x:f>
        <x:v>8.8418103448275858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29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9</x:v>
      </x:c>
      <x:c r="G1" s="68" t="s">
        <x:v>52</x:v>
      </x:c>
      <x:c r="H1" s="52" t="s">
        <x:v>126</x:v>
      </x:c>
      <x:c r="I1" s="52">
        <x:f>F1-K1</x:f>
        <x:v>9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4148000</x:v>
      </x:c>
      <x:c r="D2" s="271"/>
      <x:c r="E2" s="274" t="s">
        <x:v>43</x:v>
      </x:c>
      <x:c r="F2" s="275"/>
      <x:c r="G2" s="263">
        <x:v>162000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3360000</x:v>
      </x:c>
      <x:c r="D4" s="258"/>
      <x:c r="E4" s="273" t="s">
        <x:v>149</x:v>
      </x:c>
      <x:c r="F4" s="273"/>
      <x:c r="G4" s="135">
        <x:f>INT(C4*0.0275)</x:f>
        <x:v>92400</x:v>
      </x:c>
      <x:c r="H4" s="54" t="s">
        <x:v>20</x:v>
      </x:c>
      <x:c r="I4" s="126">
        <x:f>452000+221000+242202+235571+293640</x:f>
        <x:v>1444413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788000</x:v>
      </x:c>
      <x:c r="D5" s="258"/>
      <x:c r="E5" s="257" t="s">
        <x:v>73</x:v>
      </x:c>
      <x:c r="F5" s="257"/>
      <x:c r="G5" s="135">
        <x:f>INT(C5*0.01)</x:f>
        <x:v>7880</x:v>
      </x:c>
      <x:c r="H5" s="54" t="s">
        <x:v>6</x:v>
      </x:c>
      <x:c r="I5" s="126">
        <x:f>29656+36080+36000+16100+50000+15990+30300+7050+12360+68600</x:f>
        <x:v>302136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800000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421570</x:v>
      </x:c>
      <x:c r="J7" s="83" t="s">
        <x:v>119</x:v>
      </x:c>
      <x:c r="K7" s="58">
        <x:v>12500</x:v>
      </x:c>
    </x:row>
    <x:row r="8" spans="1:11" ht="21.949999999999999" customHeight="1">
      <x:c r="A8" s="256" t="s">
        <x:v>137</x:v>
      </x:c>
      <x:c r="B8" s="257"/>
      <x:c r="C8" s="258">
        <x:v>140000</x:v>
      </x:c>
      <x:c r="D8" s="258"/>
      <x:c r="E8" s="284" t="s">
        <x:v>113</x:v>
      </x:c>
      <x:c r="F8" s="285"/>
      <x:c r="G8" s="290">
        <x:f>C5+G2-G6-C22</x:f>
        <x:v>150000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13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SUM('1:9'!$C$12)</x:f>
        <x:v>124</x:v>
      </x:c>
      <x:c r="D13" s="276"/>
      <x:c r="E13" s="277"/>
      <x:c r="F13" s="286">
        <x:f>SUM('1:9'!$F$12)</x:f>
        <x:v>55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51</x:v>
      </x:c>
      <x:c r="D14" s="284" t="s">
        <x:v>98</x:v>
      </x:c>
      <x:c r="E14" s="285"/>
      <x:c r="F14" s="288">
        <x:v>16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SUM('1:9'!$C$14)</x:f>
        <x:v>362</x:v>
      </x:c>
      <x:c r="D15" s="276"/>
      <x:c r="E15" s="277"/>
      <x:c r="F15" s="286">
        <x:f>SUM('1:9'!$F$14)</x:f>
        <x:v>191</x:v>
      </x:c>
      <x:c r="G15" s="287"/>
      <x:c r="H15" s="54" t="s">
        <x:v>109</x:v>
      </x:c>
      <x:c r="I15" s="58">
        <x:v>107500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9</x:v>
      </x:c>
      <x:c r="D16" s="284" t="s">
        <x:v>120</x:v>
      </x:c>
      <x:c r="E16" s="285"/>
      <x:c r="F16" s="282">
        <x:v>10</x:v>
      </x:c>
      <x:c r="G16" s="282"/>
      <x:c r="H16" s="54"/>
      <x:c r="I16" s="58"/>
      <x:c r="J16" s="54" t="s">
        <x:v>100</x:v>
      </x:c>
      <x:c r="K16" s="58">
        <x:v>192550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SUM('1:9'!$C$16)</x:f>
        <x:v>42</x:v>
      </x:c>
      <x:c r="D17" s="276"/>
      <x:c r="E17" s="277"/>
      <x:c r="F17" s="283">
        <x:f>SUM('1:9'!$F$16)</x:f>
        <x:v>140</x:v>
      </x:c>
      <x:c r="G17" s="283"/>
      <x:c r="H17" s="54" t="s">
        <x:v>7</x:v>
      </x:c>
      <x:c r="I17" s="58">
        <x:v>3200</x:v>
      </x:c>
      <x:c r="J17" s="54" t="s">
        <x:v>93</x:v>
      </x:c>
      <x:c r="K17" s="58">
        <x:v>6</x:v>
      </x:c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22</x:v>
      </x:c>
      <x:c r="D18" s="284" t="s">
        <x:v>133</x:v>
      </x:c>
      <x:c r="E18" s="285"/>
      <x:c r="F18" s="292">
        <x:v>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SUM('1:9'!$C$18)</x:f>
        <x:v>298</x:v>
      </x:c>
      <x:c r="D19" s="276"/>
      <x:c r="E19" s="277"/>
      <x:c r="F19" s="283">
        <x:f>SUM('1:9'!$F$18)</x:f>
        <x:v>106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69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SUM('1:9'!$F$20)</x:f>
        <x:v>493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2278819</x:v>
      </x:c>
      <x:c r="J23" s="61" t="s">
        <x:v>122</x:v>
      </x:c>
      <x:c r="K23" s="62">
        <x:f>SUM(K4:K22)</x:f>
        <x:v>232722.66666666666</x:v>
      </x:c>
      <x:c r="M23" s="90" t="s">
        <x:v>96</x:v>
      </x:c>
      <x:c r="N23" s="279">
        <x:f>C5+C6</x:f>
        <x:v>788000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0.54937777242044361</x:v>
      </x:c>
      <x:c r="J24" s="61" t="s">
        <x:v>8</x:v>
      </x:c>
      <x:c r="K24" s="63">
        <x:f>K23/A25</x:f>
        <x:v>0.056104789456766307</x:v>
      </x:c>
    </x:row>
    <x:row r="25" spans="1:11" ht="34.149999999999999" customHeight="1">
      <x:c r="A25" s="308">
        <x:f>C2</x:f>
        <x:v>4148000</x:v>
      </x:c>
      <x:c r="B25" s="272"/>
      <x:c r="C25" s="272">
        <x:f>E25/I1</x:f>
        <x:v>3857666.6666666665</x:v>
      </x:c>
      <x:c r="D25" s="272"/>
      <x:c r="E25" s="272">
        <x:f>SUM('1:9'!$A$25)</x:f>
        <x:v>34719000</x:v>
      </x:c>
      <x:c r="F25" s="272"/>
      <x:c r="G25" s="272"/>
      <x:c r="H25" s="109" t="s">
        <x:v>36</x:v>
      </x:c>
      <x:c r="I25" s="110">
        <x:f>SUM('1:9'!$I$23)</x:f>
        <x:v>14753780</x:v>
      </x:c>
      <x:c r="J25" s="61" t="s">
        <x:v>36</x:v>
      </x:c>
      <x:c r="K25" s="62">
        <x:f>SUM('1:9'!$K$23)</x:f>
        <x:v>1282316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0.42494829920216598</x:v>
      </x:c>
      <x:c r="J26" s="64" t="s">
        <x:v>131</x:v>
      </x:c>
      <x:c r="K26" s="65">
        <x:f>K25/$E$25</x:f>
        <x:v>0.036934128287105045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822391.93548387103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0.19826227952841635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SUM('1:9'!$I$27)</x:f>
        <x:v>7009377.4193548393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8.5231592345694995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132000</x:v>
      </x:c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>
        <x:f>11700*4.5</x:f>
        <x:v>52650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28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10</x:v>
      </x:c>
      <x:c r="G1" s="68" t="s">
        <x:v>65</x:v>
      </x:c>
      <x:c r="H1" s="52" t="s">
        <x:v>126</x:v>
      </x:c>
      <x:c r="I1" s="52">
        <x:f>F1-K1</x:f>
        <x:v>10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4054000</x:v>
      </x:c>
      <x:c r="D2" s="271"/>
      <x:c r="E2" s="274" t="s">
        <x:v>43</x:v>
      </x:c>
      <x:c r="F2" s="275"/>
      <x:c r="G2" s="263">
        <x:v>140000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3868000</x:v>
      </x:c>
      <x:c r="D4" s="258"/>
      <x:c r="E4" s="273" t="s">
        <x:v>149</x:v>
      </x:c>
      <x:c r="F4" s="273"/>
      <x:c r="G4" s="135">
        <x:f>INT(C4*0.0275)</x:f>
        <x:v>106370</x:v>
      </x:c>
      <x:c r="H4" s="54" t="s">
        <x:v>20</x:v>
      </x:c>
      <x:c r="I4" s="126">
        <x:f>221000</x:f>
        <x:v>221000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186000</x:v>
      </x:c>
      <x:c r="D5" s="258"/>
      <x:c r="E5" s="257" t="s">
        <x:v>73</x:v>
      </x:c>
      <x:c r="F5" s="257"/>
      <x:c r="G5" s="135">
        <x:f>INT(C5*0.01)</x:f>
        <x:v>1860</x:v>
      </x:c>
      <x:c r="H5" s="54" t="s">
        <x:v>6</x:v>
      </x:c>
      <x:c r="I5" s="126">
        <x:f>23650+29656+36080+15990+14100</x:f>
        <x:v>119476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200000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126000</x:v>
      </x:c>
      <x:c r="D8" s="258"/>
      <x:c r="E8" s="284" t="s">
        <x:v>113</x:v>
      </x:c>
      <x:c r="F8" s="285"/>
      <x:c r="G8" s="290">
        <x:f>C5+G2-G6-C22</x:f>
        <x:v>126000</x:v>
      </x:c>
      <x:c r="H8" s="54" t="s">
        <x:v>48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157000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165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7</x:v>
      </x:c>
      <x:c r="D12" s="284" t="s">
        <x:v>136</x:v>
      </x:c>
      <x:c r="E12" s="285"/>
      <x:c r="F12" s="288">
        <x:v>6</x:v>
      </x:c>
      <x:c r="G12" s="289"/>
      <x:c r="H12" s="54" t="s">
        <x:v>105</x:v>
      </x:c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SUM('1:10'!$C$12)</x:f>
        <x:v>131</x:v>
      </x:c>
      <x:c r="D13" s="276"/>
      <x:c r="E13" s="277"/>
      <x:c r="F13" s="286">
        <x:f>SUM('1:10'!$F$12)</x:f>
        <x:v>61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24</x:v>
      </x:c>
      <x:c r="D14" s="284" t="s">
        <x:v>98</x:v>
      </x:c>
      <x:c r="E14" s="285"/>
      <x:c r="F14" s="288">
        <x:v>8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SUM('1:10'!$C$14)</x:f>
        <x:v>386</x:v>
      </x:c>
      <x:c r="D15" s="276"/>
      <x:c r="E15" s="277"/>
      <x:c r="F15" s="286">
        <x:f>SUM('1:10'!$F$14)</x:f>
        <x:v>199</x:v>
      </x:c>
      <x:c r="G15" s="287"/>
      <x:c r="H15" s="54" t="s">
        <x:v>109</x:v>
      </x:c>
      <x:c r="I15" s="58">
        <x:v>61800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7</x:v>
      </x:c>
      <x:c r="D16" s="284" t="s">
        <x:v>120</x:v>
      </x:c>
      <x:c r="E16" s="285"/>
      <x:c r="F16" s="282">
        <x:v>26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SUM('1:10'!$C$16)</x:f>
        <x:v>49</x:v>
      </x:c>
      <x:c r="D17" s="276"/>
      <x:c r="E17" s="277"/>
      <x:c r="F17" s="283">
        <x:f>F19</x:f>
        <x:v>115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/>
      <x:c r="D18" s="284" t="s">
        <x:v>133</x:v>
      </x:c>
      <x:c r="E18" s="285"/>
      <x:c r="F18" s="292">
        <x:v>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SUM('1:10'!$C$18)</x:f>
        <x:v>298</x:v>
      </x:c>
      <x:c r="D19" s="276"/>
      <x:c r="E19" s="277"/>
      <x:c r="F19" s="283">
        <x:f>SUM('1:10'!$F$18)</x:f>
        <x:v>115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54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SUM('1:10'!$F$20)</x:f>
        <x:v>547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458276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186000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0.1130429205722743</x:v>
      </x:c>
      <x:c r="J24" s="61" t="s">
        <x:v>8</x:v>
      </x:c>
      <x:c r="K24" s="63">
        <x:f>K23/A25</x:f>
        <x:v>0.0036178260154579836</x:v>
      </x:c>
    </x:row>
    <x:row r="25" spans="1:11" ht="34.149999999999999" customHeight="1">
      <x:c r="A25" s="308">
        <x:f>C2</x:f>
        <x:v>4054000</x:v>
      </x:c>
      <x:c r="B25" s="272"/>
      <x:c r="C25" s="272">
        <x:f>E25/I1</x:f>
        <x:v>3877300</x:v>
      </x:c>
      <x:c r="D25" s="272"/>
      <x:c r="E25" s="272">
        <x:f>SUM('1:10'!$A$25)</x:f>
        <x:v>38773000</x:v>
      </x:c>
      <x:c r="F25" s="272"/>
      <x:c r="G25" s="272"/>
      <x:c r="H25" s="109" t="s">
        <x:v>36</x:v>
      </x:c>
      <x:c r="I25" s="110">
        <x:f>SUM('1:10'!$I$21)</x:f>
        <x:v>0</x:v>
      </x:c>
      <x:c r="J25" s="61" t="s">
        <x:v>36</x:v>
      </x:c>
      <x:c r="K25" s="62">
        <x:f>SUM('1:10'!$K$21)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822391.93548387103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0.20285938221111766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SUM('1:10'!$I$25)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83.218545862482173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132000</x:v>
      </x:c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>
        <x:f>11700*4.5</x:f>
        <x:v>52650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11</x:v>
      </x:c>
      <x:c r="G1" s="68"/>
      <x:c r="H1" s="52" t="s">
        <x:v>126</x:v>
      </x:c>
      <x:c r="I1" s="52">
        <x:f>F1-K1</x:f>
        <x:v>11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4982500</x:v>
      </x:c>
      <x:c r="D2" s="271"/>
      <x:c r="E2" s="274" t="s">
        <x:v>43</x:v>
      </x:c>
      <x:c r="F2" s="275"/>
      <x:c r="G2" s="263">
        <x:v>126000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4607500</x:v>
      </x:c>
      <x:c r="D4" s="258"/>
      <x:c r="E4" s="273" t="s">
        <x:v>149</x:v>
      </x:c>
      <x:c r="F4" s="273"/>
      <x:c r="G4" s="135">
        <x:f>INT(C4*0.0275)</x:f>
        <x:v>126706</x:v>
      </x:c>
      <x:c r="H4" s="54" t="s">
        <x:v>20</x:v>
      </x:c>
      <x:c r="I4" s="126">
        <x:f>221000+193620+278958</x:f>
        <x:v>693578</x:v>
      </x:c>
      <x:c r="J4" s="82" t="s">
        <x:v>39</x:v>
      </x:c>
      <x:c r="K4" s="58">
        <x:v>316000</x:v>
      </x:c>
    </x:row>
    <x:row r="5" spans="1:11" ht="30.949999999999999" customHeight="1">
      <x:c r="A5" s="265" t="s">
        <x:v>64</x:v>
      </x:c>
      <x:c r="B5" s="266"/>
      <x:c r="C5" s="258">
        <x:v>375000</x:v>
      </x:c>
      <x:c r="D5" s="258"/>
      <x:c r="E5" s="257" t="s">
        <x:v>73</x:v>
      </x:c>
      <x:c r="F5" s="257"/>
      <x:c r="G5" s="135">
        <x:f>INT(C5*0.01)</x:f>
        <x:v>3750</x:v>
      </x:c>
      <x:c r="H5" s="54" t="s">
        <x:v>6</x:v>
      </x:c>
      <x:c r="I5" s="126">
        <x:f>34540+29656+40700+36000+7300+14340+85750</x:f>
        <x:v>248286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248400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101000</x:v>
      </x:c>
      <x:c r="D8" s="258"/>
      <x:c r="E8" s="284" t="s">
        <x:v>113</x:v>
      </x:c>
      <x:c r="F8" s="285"/>
      <x:c r="G8" s="290">
        <x:f>C5+G2-G6-C22</x:f>
        <x:v>101000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196000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6" ht="33" customHeight="1">
      <x:c r="A11" s="256" t="s">
        <x:v>106</x:v>
      </x:c>
      <x:c r="B11" s="257"/>
      <x:c r="C11" s="296" t="s">
        <x:v>152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  <x:c r="M11" s="52"/>
      <x:c r="N11" s="52"/>
      <x:c r="O11" s="52"/>
      <x:c r="P11" s="52"/>
    </x:row>
    <x:row r="12" spans="1:12" ht="21.949999999999999" customHeight="1">
      <x:c r="A12" s="59" t="s">
        <x:v>51</x:v>
      </x:c>
      <x:c r="B12" s="294" t="s">
        <x:v>45</x:v>
      </x:c>
      <x:c r="C12" s="81">
        <x:v>13</x:v>
      </x:c>
      <x:c r="D12" s="284" t="s">
        <x:v>136</x:v>
      </x:c>
      <x:c r="E12" s="285"/>
      <x:c r="F12" s="288">
        <x:v>10</x:v>
      </x:c>
      <x:c r="G12" s="289"/>
      <x:c r="H12" s="54" t="s">
        <x:v>105</x:v>
      </x:c>
      <x:c r="I12" s="58"/>
      <x:c r="J12" s="54"/>
      <x:c r="K12" s="58"/>
      <x:c r="L12" s="60"/>
    </x:row>
    <x:row r="13" spans="1:12" ht="21.949999999999999" customHeight="1">
      <x:c r="A13" s="59" t="s">
        <x:v>99</x:v>
      </x:c>
      <x:c r="B13" s="295"/>
      <x:c r="C13" s="136">
        <x:f>SUM('1:11'!$C$12)</x:f>
        <x:v>144</x:v>
      </x:c>
      <x:c r="D13" s="276"/>
      <x:c r="E13" s="277"/>
      <x:c r="F13" s="286">
        <x:f>SUM('1:11'!$F$12)</x:f>
        <x:v>71</x:v>
      </x:c>
      <x:c r="G13" s="287"/>
      <x:c r="H13" s="54" t="s">
        <x:v>129</x:v>
      </x:c>
      <x:c r="I13" s="58">
        <x:v>240000</x:v>
      </x:c>
      <x:c r="J13" s="54"/>
      <x:c r="K13" s="58"/>
      <x:c r="L13" s="60"/>
    </x:row>
    <x:row r="14" spans="1:13" ht="21.949999999999999" customHeight="1">
      <x:c r="A14" s="59" t="s">
        <x:v>51</x:v>
      </x:c>
      <x:c r="B14" s="294" t="s">
        <x:v>30</x:v>
      </x:c>
      <x:c r="C14" s="81">
        <x:v>45</x:v>
      </x:c>
      <x:c r="D14" s="284" t="s">
        <x:v>98</x:v>
      </x:c>
      <x:c r="E14" s="285"/>
      <x:c r="F14" s="288">
        <x:v>11</x:v>
      </x:c>
      <x:c r="G14" s="289"/>
      <x:c r="H14" s="54" t="s">
        <x:v>114</x:v>
      </x:c>
      <x:c r="I14" s="58"/>
      <x:c r="J14" s="54"/>
      <x:c r="K14" s="58"/>
      <x:c r="L14" s="60"/>
      <x:c r="M14" s="53" t="s">
        <x:v>155</x:v>
      </x:c>
    </x:row>
    <x:row r="15" spans="1:12" ht="21.949999999999999" customHeight="1">
      <x:c r="A15" s="59" t="s">
        <x:v>99</x:v>
      </x:c>
      <x:c r="B15" s="295"/>
      <x:c r="C15" s="136">
        <x:f>SUM('1:11'!$C$14)</x:f>
        <x:v>431</x:v>
      </x:c>
      <x:c r="D15" s="276"/>
      <x:c r="E15" s="277"/>
      <x:c r="F15" s="286">
        <x:f>SUM('1:11'!$F$14)</x:f>
        <x:v>210</x:v>
      </x:c>
      <x:c r="G15" s="287"/>
      <x:c r="H15" s="54" t="s">
        <x:v>109</x:v>
      </x:c>
      <x:c r="I15" s="58">
        <x:v>95600</x:v>
      </x:c>
      <x:c r="J15" s="54" t="s">
        <x:v>77</x:v>
      </x:c>
      <x:c r="K15" s="58"/>
      <x:c r="L15" s="60"/>
    </x:row>
    <x:row r="16" spans="1:12" ht="21.949999999999999" customHeight="1">
      <x:c r="A16" s="59" t="s">
        <x:v>51</x:v>
      </x:c>
      <x:c r="B16" s="294" t="s">
        <x:v>54</x:v>
      </x:c>
      <x:c r="C16" s="81">
        <x:v>3</x:v>
      </x:c>
      <x:c r="D16" s="284" t="s">
        <x:v>120</x:v>
      </x:c>
      <x:c r="E16" s="285"/>
      <x:c r="F16" s="282">
        <x:v>22</x:v>
      </x:c>
      <x:c r="G16" s="282"/>
      <x:c r="H16" s="54"/>
      <x:c r="I16" s="58"/>
      <x:c r="J16" s="54" t="s">
        <x:v>100</x:v>
      </x:c>
      <x:c r="K16" s="58">
        <x:v>16890</x:v>
      </x:c>
      <x:c r="L16" s="60"/>
    </x:row>
    <x:row r="17" spans="1:12" ht="21.949999999999999" customHeight="1">
      <x:c r="A17" s="59" t="s">
        <x:v>99</x:v>
      </x:c>
      <x:c r="B17" s="295"/>
      <x:c r="C17" s="136">
        <x:f>SUM('1:11'!$C$16)</x:f>
        <x:v>52</x:v>
      </x:c>
      <x:c r="D17" s="276"/>
      <x:c r="E17" s="277"/>
      <x:c r="F17" s="283">
        <x:f>SUM('1:11'!$F$16)</x:f>
        <x:v>188</x:v>
      </x:c>
      <x:c r="G17" s="283"/>
      <x:c r="H17" s="54" t="s">
        <x:v>7</x:v>
      </x:c>
      <x:c r="I17" s="58"/>
      <x:c r="J17" s="54" t="s">
        <x:v>93</x:v>
      </x:c>
      <x:c r="K17" s="58"/>
      <x:c r="L17" s="60"/>
    </x:row>
    <x:row r="18" spans="1:12" ht="21.949999999999999" customHeight="1">
      <x:c r="A18" s="59" t="s">
        <x:v>51</x:v>
      </x:c>
      <x:c r="B18" s="294" t="s">
        <x:v>94</x:v>
      </x:c>
      <x:c r="C18" s="81">
        <x:v>20</x:v>
      </x:c>
      <x:c r="D18" s="284" t="s">
        <x:v>133</x:v>
      </x:c>
      <x:c r="E18" s="285"/>
      <x:c r="F18" s="292">
        <x:v>8</x:v>
      </x:c>
      <x:c r="G18" s="293"/>
      <x:c r="H18" s="54"/>
      <x:c r="I18" s="58"/>
      <x:c r="J18" s="54"/>
      <x:c r="K18" s="58"/>
      <x:c r="L18" s="60"/>
    </x:row>
    <x:row r="19" spans="1:12" ht="21.949999999999999" customHeight="1">
      <x:c r="A19" s="59" t="s">
        <x:v>99</x:v>
      </x:c>
      <x:c r="B19" s="295"/>
      <x:c r="C19" s="136">
        <x:f>SUM('1:11'!$C$18)</x:f>
        <x:v>318</x:v>
      </x:c>
      <x:c r="D19" s="276"/>
      <x:c r="E19" s="277"/>
      <x:c r="F19" s="283">
        <x:f>SUM('1:11'!$F$18)</x:f>
        <x:v>123</x:v>
      </x:c>
      <x:c r="G19" s="283"/>
      <x:c r="H19" s="54"/>
      <x:c r="I19" s="58"/>
      <x:c r="J19" s="54"/>
      <x:c r="K19" s="58"/>
      <x:c r="L19" s="60"/>
    </x:row>
    <x:row r="20" spans="4:12" ht="21.949999999999999" customHeight="1">
      <x:c r="D20" s="257" t="s">
        <x:v>116</x:v>
      </x:c>
      <x:c r="E20" s="257"/>
      <x:c r="F20" s="282">
        <x:v>63</x:v>
      </x:c>
      <x:c r="G20" s="282"/>
      <x:c r="H20" s="54"/>
      <x:c r="I20" s="58"/>
      <x:c r="J20" s="54"/>
      <x:c r="K20" s="58"/>
      <x:c r="L20" s="60"/>
    </x:row>
    <x:row r="21" spans="4:12" ht="21.949999999999999" customHeight="1">
      <x:c r="D21" s="257" t="s">
        <x:v>117</x:v>
      </x:c>
      <x:c r="E21" s="257"/>
      <x:c r="F21" s="283">
        <x:f>SUM('1:11'!$F$20)</x:f>
        <x:v>610</x:v>
      </x:c>
      <x:c r="G21" s="283"/>
      <x:c r="H21" s="54"/>
      <x:c r="I21" s="58"/>
      <x:c r="J21" s="54"/>
      <x:c r="K21" s="58"/>
      <x:c r="L21" s="60"/>
    </x:row>
    <x:row r="22" spans="1:12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1525864</x:v>
      </x:c>
      <x:c r="J23" s="61" t="s">
        <x:v>122</x:v>
      </x:c>
      <x:c r="K23" s="62">
        <x:f>SUM(K4:K22)</x:f>
        <x:v>347556.66666666669</x:v>
      </x:c>
      <x:c r="M23" s="90" t="s">
        <x:v>96</x:v>
      </x:c>
      <x:c r="N23" s="279">
        <x:f>C5+C6</x:f>
        <x:v>375000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0.30624465629703962</x:v>
      </x:c>
      <x:c r="J24" s="61" t="s">
        <x:v>8</x:v>
      </x:c>
      <x:c r="K24" s="63">
        <x:f>K23/A25</x:f>
        <x:v>0.069755477504599442</x:v>
      </x:c>
    </x:row>
    <x:row r="25" spans="1:11" ht="34.149999999999999" customHeight="1">
      <x:c r="A25" s="308">
        <x:f>C2</x:f>
        <x:v>4982500</x:v>
      </x:c>
      <x:c r="B25" s="272"/>
      <x:c r="C25" s="272">
        <x:f>E25/I1</x:f>
        <x:v>3977772.7272727271</x:v>
      </x:c>
      <x:c r="D25" s="272"/>
      <x:c r="E25" s="272">
        <x:f>SUM('1:11'!$A$25)</x:f>
        <x:v>43755500</x:v>
      </x:c>
      <x:c r="F25" s="272"/>
      <x:c r="G25" s="272"/>
      <x:c r="H25" s="109" t="s">
        <x:v>36</x:v>
      </x:c>
      <x:c r="I25" s="110">
        <x:f>SUM('1:11'!$I$21)</x:f>
        <x:v>0</x:v>
      </x:c>
      <x:c r="J25" s="61" t="s">
        <x:v>36</x:v>
      </x:c>
      <x:c r="K25" s="62">
        <x:f>SUM('1:11'!$K$21)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9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690391.93548387103</x:v>
      </x:c>
    </x:row>
    <x:row r="28" spans="1:9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0.13856335885275886</x:v>
      </x:c>
    </x:row>
    <x:row r="29" spans="1:9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SUM('1:11'!$I$25)</x:f>
        <x:v>68438261</x:v>
      </x:c>
    </x:row>
    <x:row r="30" spans="1:9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99.129577682615988</x:v>
      </x:c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2" customHeight="1">
      <x:c r="A33" s="314"/>
      <x:c r="B33" s="54" t="s">
        <x:v>21</x:v>
      </x:c>
    </x:row>
    <x:row r="34" spans="1:4" customHeight="1">
      <x:c r="A34" s="315"/>
      <x:c r="B34" s="54" t="s">
        <x:v>60</x:v>
      </x:c>
      <x:c r="C34" s="304">
        <x:f>11700*4.5</x:f>
        <x:v>52650</x:v>
      </x:c>
      <x:c r="D34" s="305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12</x:v>
      </x:c>
      <x:c r="G1" s="68" t="s">
        <x:v>25</x:v>
      </x:c>
      <x:c r="H1" s="52" t="s">
        <x:v>126</x:v>
      </x:c>
      <x:c r="I1" s="52">
        <x:f>F1-K1</x:f>
        <x:v>12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4599000</x:v>
      </x:c>
      <x:c r="D2" s="271"/>
      <x:c r="E2" s="274" t="s">
        <x:v>43</x:v>
      </x:c>
      <x:c r="F2" s="275"/>
      <x:c r="G2" s="263">
        <x:v>101000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3902000</x:v>
      </x:c>
      <x:c r="D4" s="258"/>
      <x:c r="E4" s="273" t="s">
        <x:v>149</x:v>
      </x:c>
      <x:c r="F4" s="273"/>
      <x:c r="G4" s="135">
        <x:f>INT(C4*0.0275)</x:f>
        <x:v>107305</x:v>
      </x:c>
      <x:c r="H4" s="54" t="s">
        <x:v>20</x:v>
      </x:c>
      <x:c r="I4" s="126">
        <x:f>221000+233474</x:f>
        <x:v>454474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697000</x:v>
      </x:c>
      <x:c r="D5" s="258"/>
      <x:c r="E5" s="257" t="s">
        <x:v>73</x:v>
      </x:c>
      <x:c r="F5" s="257"/>
      <x:c r="G5" s="135">
        <x:f>INT(C5*0.01)</x:f>
        <x:v>6970</x:v>
      </x:c>
      <x:c r="H5" s="54" t="s">
        <x:v>6</x:v>
      </x:c>
      <x:c r="I5" s="126">
        <x:f>36000+16100+15990+6430</x:f>
        <x:v>74520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700000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98000</x:v>
      </x:c>
      <x:c r="D8" s="258"/>
      <x:c r="E8" s="284" t="s">
        <x:v>113</x:v>
      </x:c>
      <x:c r="F8" s="285"/>
      <x:c r="G8" s="290">
        <x:f>C5+G2-G6-C22</x:f>
        <x:v>98000</x:v>
      </x:c>
      <x:c r="H8" s="54" t="s">
        <x:v>48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351"/>
      <x:c r="D11" s="296"/>
      <x:c r="E11" s="296"/>
      <x:c r="F11" s="296"/>
      <x:c r="G11" s="296"/>
      <x:c r="H11" s="54" t="s">
        <x:v>61</x:v>
      </x:c>
      <x:c r="I11" s="58">
        <x:v>100000</x:v>
      </x:c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25</x:v>
      </x:c>
      <x:c r="D12" s="284" t="s">
        <x:v>136</x:v>
      </x:c>
      <x:c r="E12" s="285"/>
      <x:c r="F12" s="288">
        <x:v>7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SUM('1:12'!$C$12)</x:f>
        <x:v>169</x:v>
      </x:c>
      <x:c r="D13" s="276"/>
      <x:c r="E13" s="277"/>
      <x:c r="F13" s="286">
        <x:f>SUM('1:12'!$F$12)</x:f>
        <x:v>78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61</x:v>
      </x:c>
      <x:c r="D14" s="284" t="s">
        <x:v>98</x:v>
      </x:c>
      <x:c r="E14" s="285"/>
      <x:c r="F14" s="288">
        <x:v>11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SUM('1:12'!$C$14)</x:f>
        <x:v>492</x:v>
      </x:c>
      <x:c r="D15" s="276"/>
      <x:c r="E15" s="277"/>
      <x:c r="F15" s="286">
        <x:f>SUM('1:12'!$F$14)</x:f>
        <x:v>221</x:v>
      </x:c>
      <x:c r="G15" s="287"/>
      <x:c r="H15" s="54" t="s">
        <x:v>109</x:v>
      </x:c>
      <x:c r="I15" s="58">
        <x:f>19200+5500+14700+26000+17700+36000+10500+1700</x:f>
        <x:v>131300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0</x:v>
      </x:c>
      <x:c r="D16" s="284" t="s">
        <x:v>120</x:v>
      </x:c>
      <x:c r="E16" s="285"/>
      <x:c r="F16" s="282">
        <x:v>39</x:v>
      </x:c>
      <x:c r="G16" s="282"/>
      <x:c r="H16" s="54"/>
      <x:c r="I16" s="58"/>
      <x:c r="J16" s="54" t="s">
        <x:v>100</x:v>
      </x:c>
      <x:c r="K16" s="58">
        <x:v>307832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SUM('1:12'!$C$16)</x:f>
        <x:v>52</x:v>
      </x:c>
      <x:c r="D17" s="276"/>
      <x:c r="E17" s="277"/>
      <x:c r="F17" s="283">
        <x:f>SUM('1:12'!$F$16)</x:f>
        <x:v>227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20</x:v>
      </x:c>
      <x:c r="D18" s="284" t="s">
        <x:v>133</x:v>
      </x:c>
      <x:c r="E18" s="285"/>
      <x:c r="F18" s="292">
        <x:v>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SUM('1:12'!$C$18)</x:f>
        <x:v>338</x:v>
      </x:c>
      <x:c r="D19" s="276"/>
      <x:c r="E19" s="277"/>
      <x:c r="F19" s="283">
        <x:f>SUM('1:12'!$F$18)</x:f>
        <x:v>129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323">
        <x:v>63</x:v>
      </x:c>
      <x:c r="G20" s="324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SUM('1:12'!$F$20)</x:f>
        <x:v>673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1"/>
      <x:c r="E23" s="311"/>
      <x:c r="F23" s="311"/>
      <x:c r="G23" s="311"/>
      <x:c r="H23" s="109" t="s">
        <x:v>97</x:v>
      </x:c>
      <x:c r="I23" s="110">
        <x:f>SUM(I4:I22)</x:f>
        <x:v>816294</x:v>
      </x:c>
      <x:c r="J23" s="61" t="s">
        <x:v>122</x:v>
      </x:c>
      <x:c r="K23" s="62">
        <x:f>SUM(K4:K22)</x:f>
        <x:v>322498.66666666669</x:v>
      </x:c>
      <x:c r="M23" s="90" t="s">
        <x:v>96</x:v>
      </x:c>
      <x:c r="N23" s="279">
        <x:f>C5+C6</x:f>
        <x:v>697000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0.17749380300065232</x:v>
      </x:c>
      <x:c r="J24" s="61" t="s">
        <x:v>8</x:v>
      </x:c>
      <x:c r="K24" s="63">
        <x:f>K23/A25</x:f>
        <x:v>0.070123650068855556</x:v>
      </x:c>
    </x:row>
    <x:row r="25" spans="1:11" ht="34.149999999999999" customHeight="1">
      <x:c r="A25" s="308">
        <x:f>C2</x:f>
        <x:v>4599000</x:v>
      </x:c>
      <x:c r="B25" s="272"/>
      <x:c r="C25" s="272">
        <x:f>E25/I1</x:f>
        <x:v>4029541.6666666665</x:v>
      </x:c>
      <x:c r="D25" s="272"/>
      <x:c r="E25" s="272">
        <x:f>SUM('1:12'!$A$25)</x:f>
        <x:v>48354500</x:v>
      </x:c>
      <x:c r="F25" s="272"/>
      <x:c r="G25" s="272"/>
      <x:c r="H25" s="109" t="s">
        <x:v>36</x:v>
      </x:c>
      <x:c r="I25" s="110">
        <x:f>SUM('1:12'!$I$21)</x:f>
        <x:v>0</x:v>
      </x:c>
      <x:c r="J25" s="61" t="s">
        <x:v>36</x:v>
      </x:c>
      <x:c r="K25" s="62">
        <x:f>SUM('1:12'!$K$21)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350"/>
      <x:c r="G27" s="350"/>
      <x:c r="H27" s="113" t="s">
        <x:v>121</x:v>
      </x:c>
      <x:c r="I27" s="114">
        <x:f>SUM(C27:D34,F27:G32)</x:f>
        <x:v>736541.93548387103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352">
        <x:f>1500000/30</x:f>
        <x:v>50000</x:v>
      </x:c>
      <x:c r="G28" s="352"/>
      <x:c r="H28" s="113" t="s">
        <x:v>8</x:v>
      </x:c>
      <x:c r="I28" s="115">
        <x:f>I27/$A$25</x:f>
        <x:v>0.16015262785037421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SUM('1:12'!$I$25)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92.918349523492509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>
        <x:f>11700*4</x:f>
        <x:v>46800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1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13</x:v>
      </x:c>
      <x:c r="G1" s="68" t="s">
        <x:v>28</x:v>
      </x:c>
      <x:c r="H1" s="52" t="s">
        <x:v>126</x:v>
      </x:c>
      <x:c r="I1" s="52">
        <x:f>F1-K1</x:f>
        <x:v>13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4812000</x:v>
      </x:c>
      <x:c r="D2" s="271"/>
      <x:c r="E2" s="274" t="s">
        <x:v>43</x:v>
      </x:c>
      <x:c r="F2" s="275"/>
      <x:c r="G2" s="263">
        <x:v>98000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4010000</x:v>
      </x:c>
      <x:c r="D4" s="258"/>
      <x:c r="E4" s="273" t="s">
        <x:v>149</x:v>
      </x:c>
      <x:c r="F4" s="273"/>
      <x:c r="G4" s="135">
        <x:f>INT(C4*0.0275)</x:f>
        <x:v>110275</x:v>
      </x:c>
      <x:c r="H4" s="54" t="s">
        <x:v>20</x:v>
      </x:c>
      <x:c r="I4" s="126">
        <x:f>43500+215475+216209+229110</x:f>
        <x:v>704294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802000</x:v>
      </x:c>
      <x:c r="D5" s="258"/>
      <x:c r="E5" s="257" t="s">
        <x:v>73</x:v>
      </x:c>
      <x:c r="F5" s="257"/>
      <x:c r="G5" s="135">
        <x:f>INT(C5*0.01)</x:f>
        <x:v>8020</x:v>
      </x:c>
      <x:c r="H5" s="54" t="s">
        <x:v>6</x:v>
      </x:c>
      <x:c r="I5" s="126">
        <x:f>36000+50000+38940+59312</x:f>
        <x:v>184252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700000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263700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200000</x:v>
      </x:c>
      <x:c r="D8" s="258"/>
      <x:c r="E8" s="284" t="s">
        <x:v>113</x:v>
      </x:c>
      <x:c r="F8" s="285"/>
      <x:c r="G8" s="290">
        <x:f>C5+G2-G6-C22</x:f>
        <x:v>200000</x:v>
      </x:c>
      <x:c r="H8" s="54" t="s">
        <x:v>48</x:v>
      </x:c>
      <x:c r="I8" s="126">
        <x:v>112000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15</x:v>
      </x:c>
      <x:c r="D12" s="284" t="s">
        <x:v>136</x:v>
      </x:c>
      <x:c r="E12" s="285"/>
      <x:c r="F12" s="288">
        <x:v>8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SUM('1:13'!$C$12)</x:f>
        <x:v>184</x:v>
      </x:c>
      <x:c r="D13" s="276"/>
      <x:c r="E13" s="277"/>
      <x:c r="F13" s="286">
        <x:f>SUM('1:13'!$F$12)</x:f>
        <x:v>86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52</x:v>
      </x:c>
      <x:c r="D14" s="284" t="s">
        <x:v>98</x:v>
      </x:c>
      <x:c r="E14" s="285"/>
      <x:c r="F14" s="288">
        <x:v>14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SUM('1:13'!$C$14)</x:f>
        <x:v>544</x:v>
      </x:c>
      <x:c r="D15" s="276"/>
      <x:c r="E15" s="277"/>
      <x:c r="F15" s="286">
        <x:f>SUM('1:13'!$F$14)</x:f>
        <x:v>235</x:v>
      </x:c>
      <x:c r="G15" s="287"/>
      <x:c r="H15" s="54" t="s">
        <x:v>109</x:v>
      </x:c>
      <x:c r="I15" s="58">
        <x:f>36000+3200+64800+3500+19200+1200+6200+5500+14500+5400+20800</x:f>
        <x:v>180300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2</x:v>
      </x:c>
      <x:c r="D16" s="284" t="s">
        <x:v>120</x:v>
      </x:c>
      <x:c r="E16" s="285"/>
      <x:c r="F16" s="282">
        <x:v>24</x:v>
      </x:c>
      <x:c r="G16" s="282"/>
      <x:c r="H16" s="54"/>
      <x:c r="I16" s="58"/>
      <x:c r="J16" s="54" t="s">
        <x:v>100</x:v>
      </x:c>
      <x:c r="K16" s="58">
        <x:v>49500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SUM('1:13'!$C$16)</x:f>
        <x:v>54</x:v>
      </x:c>
      <x:c r="D17" s="276"/>
      <x:c r="E17" s="277"/>
      <x:c r="F17" s="283">
        <x:f>SUM('1:13'!$F$16)</x:f>
        <x:v>251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43</x:v>
      </x:c>
      <x:c r="D18" s="284" t="s">
        <x:v>133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SUM('1:13'!$C$18)</x:f>
        <x:v>381</x:v>
      </x:c>
      <x:c r="D19" s="276"/>
      <x:c r="E19" s="277"/>
      <x:c r="F19" s="283">
        <x:f>SUM('1:13'!$F$18)</x:f>
        <x:v>141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60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SUM('1:13'!$F$20)</x:f>
        <x:v>733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1444546</x:v>
      </x:c>
      <x:c r="J23" s="61" t="s">
        <x:v>122</x:v>
      </x:c>
      <x:c r="K23" s="62">
        <x:f>SUM(K4:K22)</x:f>
        <x:v>64166.666666666664</x:v>
      </x:c>
      <x:c r="M23" s="90" t="s">
        <x:v>96</x:v>
      </x:c>
      <x:c r="N23" s="279">
        <x:f>C5+C6</x:f>
        <x:v>802000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0.30019659185369907</x:v>
      </x:c>
      <x:c r="J24" s="61" t="s">
        <x:v>8</x:v>
      </x:c>
      <x:c r="K24" s="63">
        <x:f>K23/A25</x:f>
        <x:v>0.013334718758658907</x:v>
      </x:c>
    </x:row>
    <x:row r="25" spans="1:11" ht="34.149999999999999" customHeight="1">
      <x:c r="A25" s="308">
        <x:f>C2</x:f>
        <x:v>4812000</x:v>
      </x:c>
      <x:c r="B25" s="272"/>
      <x:c r="C25" s="272">
        <x:f>E25/I1</x:f>
        <x:v>4089730.769230769</x:v>
      </x:c>
      <x:c r="D25" s="272"/>
      <x:c r="E25" s="272">
        <x:f>SUM('1:13'!$A$25)</x:f>
        <x:v>53166500</x:v>
      </x:c>
      <x:c r="F25" s="272"/>
      <x:c r="G25" s="272"/>
      <x:c r="H25" s="109" t="s">
        <x:v>36</x:v>
      </x:c>
      <x:c r="I25" s="110">
        <x:f>SUM('1:13'!$I$21)</x:f>
        <x:v>0</x:v>
      </x:c>
      <x:c r="J25" s="61" t="s">
        <x:v>36</x:v>
      </x:c>
      <x:c r="K25" s="62">
        <x:f>SUM('1:13'!$K$21)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831241.93548387103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0.17274354436489422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SUM('1:13'!$I$25)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82.332541319828465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132000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>
        <x:v>71000</x:v>
      </x:c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>
        <x:f>11700*5</x:f>
        <x:v>58500</x:v>
      </x:c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28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14</x:v>
      </x:c>
      <x:c r="G1" s="68" t="s">
        <x:v>18</x:v>
      </x:c>
      <x:c r="H1" s="52" t="s">
        <x:v>126</x:v>
      </x:c>
      <x:c r="I1" s="52">
        <x:f>F1-K1</x:f>
        <x:v>14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4585000</x:v>
      </x:c>
      <x:c r="D2" s="271"/>
      <x:c r="E2" s="274" t="s">
        <x:v>43</x:v>
      </x:c>
      <x:c r="F2" s="275"/>
      <x:c r="G2" s="263">
        <x:v>200000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3871500</x:v>
      </x:c>
      <x:c r="D4" s="258"/>
      <x:c r="E4" s="273" t="s">
        <x:v>149</x:v>
      </x:c>
      <x:c r="F4" s="273"/>
      <x:c r="G4" s="135">
        <x:f>INT(C4*0.0275)</x:f>
        <x:v>106466</x:v>
      </x:c>
      <x:c r="H4" s="54" t="s">
        <x:v>20</x:v>
      </x:c>
      <x:c r="I4" s="126">
        <x:f>30650+477600+381225+218200+597068</x:f>
        <x:v>1704743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713500</x:v>
      </x:c>
      <x:c r="D5" s="258"/>
      <x:c r="E5" s="257" t="s">
        <x:v>73</x:v>
      </x:c>
      <x:c r="F5" s="257"/>
      <x:c r="G5" s="135">
        <x:f>INT(C5*0.01)</x:f>
        <x:v>7135</x:v>
      </x:c>
      <x:c r="H5" s="54" t="s">
        <x:v>6</x:v>
      </x:c>
      <x:c r="I5" s="126">
        <x:f>100000+72000+16100+34540+41250+38940+59312+72160</x:f>
        <x:v>434302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810000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103500</x:v>
      </x:c>
      <x:c r="D8" s="258"/>
      <x:c r="E8" s="284" t="s">
        <x:v>113</x:v>
      </x:c>
      <x:c r="F8" s="285"/>
      <x:c r="G8" s="290">
        <x:f>C5+G2-G6-C22</x:f>
        <x:v>103500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16</x:v>
      </x:c>
      <x:c r="D12" s="284" t="s">
        <x:v>136</x:v>
      </x:c>
      <x:c r="E12" s="285"/>
      <x:c r="F12" s="288">
        <x:v>4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SUM('1:14'!$C$12)</x:f>
        <x:v>200</x:v>
      </x:c>
      <x:c r="D13" s="276"/>
      <x:c r="E13" s="277"/>
      <x:c r="F13" s="286">
        <x:f>SUM('1:14'!$F$12)</x:f>
        <x:v>90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51</x:v>
      </x:c>
      <x:c r="D14" s="284" t="s">
        <x:v>98</x:v>
      </x:c>
      <x:c r="E14" s="285"/>
      <x:c r="F14" s="288">
        <x:v>28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SUM('1:14'!$C$14)</x:f>
        <x:v>595</x:v>
      </x:c>
      <x:c r="D15" s="276"/>
      <x:c r="E15" s="277"/>
      <x:c r="F15" s="286">
        <x:f>SUM('1:14'!$F$14)</x:f>
        <x:v>263</x:v>
      </x:c>
      <x:c r="G15" s="287"/>
      <x:c r="H15" s="54" t="s">
        <x:v>109</x:v>
      </x:c>
      <x:c r="I15" s="58">
        <x:f>57600+3200+19200+5400+5500+6200+1200+5900+9800+13500+6600+3900+13000+14500+11000+15800+18000+6600+52000</x:f>
        <x:v>268900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4</x:v>
      </x:c>
      <x:c r="D16" s="284" t="s">
        <x:v>120</x:v>
      </x:c>
      <x:c r="E16" s="285"/>
      <x:c r="F16" s="282">
        <x:v>30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SUM('1:14'!$C$16)</x:f>
        <x:v>58</x:v>
      </x:c>
      <x:c r="D17" s="276"/>
      <x:c r="E17" s="277"/>
      <x:c r="F17" s="283">
        <x:f>SUM('1:14'!$F$16)</x:f>
        <x:v>281</x:v>
      </x:c>
      <x:c r="G17" s="283"/>
      <x:c r="H17" s="54" t="s">
        <x:v>7</x:v>
      </x:c>
      <x:c r="I17" s="58"/>
      <x:c r="J17" s="54" t="s">
        <x:v>93</x:v>
      </x:c>
      <x:c r="K17" s="58">
        <x:v>7000</x:v>
      </x:c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47</x:v>
      </x:c>
      <x:c r="D18" s="284" t="s">
        <x:v>133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SUM('1:14'!$C$18)</x:f>
        <x:v>428</x:v>
      </x:c>
      <x:c r="D19" s="276"/>
      <x:c r="E19" s="277"/>
      <x:c r="F19" s="283">
        <x:f>SUM('1:14'!$F$18)</x:f>
        <x:v>151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SUM('1:14'!$F$20)</x:f>
        <x:v>794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2407945</x:v>
      </x:c>
      <x:c r="J23" s="61" t="s">
        <x:v>122</x:v>
      </x:c>
      <x:c r="K23" s="62">
        <x:f>SUM(K4:K22)</x:f>
        <x:v>21666.666666666664</x:v>
      </x:c>
      <x:c r="M23" s="90" t="s">
        <x:v>96</x:v>
      </x:c>
      <x:c r="N23" s="279">
        <x:f>C5+C6</x:f>
        <x:v>713500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0.52517884405670667</x:v>
      </x:c>
      <x:c r="J24" s="61" t="s">
        <x:v>8</x:v>
      </x:c>
      <x:c r="K24" s="63">
        <x:f>K23/A25</x:f>
        <x:v>0.0047255543438749544</x:v>
      </x:c>
    </x:row>
    <x:row r="25" spans="1:11" ht="34.149999999999999" customHeight="1">
      <x:c r="A25" s="308">
        <x:f>C2</x:f>
        <x:v>4585000</x:v>
      </x:c>
      <x:c r="B25" s="272"/>
      <x:c r="C25" s="272">
        <x:f>E25/I1</x:f>
        <x:v>4125107.1428571427</x:v>
      </x:c>
      <x:c r="D25" s="272"/>
      <x:c r="E25" s="272">
        <x:f>SUM('1:14'!$A$25)</x:f>
        <x:v>57751500</x:v>
      </x:c>
      <x:c r="F25" s="272"/>
      <x:c r="G25" s="272"/>
      <x:c r="H25" s="109" t="s">
        <x:v>36</x:v>
      </x:c>
      <x:c r="I25" s="110">
        <x:f>SUM('1:14'!$I$21)</x:f>
        <x:v>0</x:v>
      </x:c>
      <x:c r="J25" s="61" t="s">
        <x:v>36</x:v>
      </x:c>
      <x:c r="K25" s="62">
        <x:f>SUM('1:14'!$K$21)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751741.93548387103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0.16395680163225104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SUM('1:14'!$I$25)</x:f>
        <x:v>68438261</x:v>
      </x:c>
      <x:c r="M29" s="66" t="s">
        <x:v>66</x:v>
      </x:c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91.039567928252652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13000*8</x:f>
        <x:v>104000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28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15</x:v>
      </x:c>
      <x:c r="G1" s="68" t="s">
        <x:v>19</x:v>
      </x:c>
      <x:c r="H1" s="52" t="s">
        <x:v>126</x:v>
      </x:c>
      <x:c r="I1" s="52">
        <x:f>F1-K1</x:f>
        <x:v>15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4815500</x:v>
      </x:c>
      <x:c r="D2" s="271"/>
      <x:c r="E2" s="274" t="s">
        <x:v>43</x:v>
      </x:c>
      <x:c r="F2" s="275"/>
      <x:c r="G2" s="263">
        <x:v>103500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3716500</x:v>
      </x:c>
      <x:c r="D4" s="258"/>
      <x:c r="E4" s="273" t="s">
        <x:v>149</x:v>
      </x:c>
      <x:c r="F4" s="273"/>
      <x:c r="G4" s="135">
        <x:f>INT(C4*0.0275)</x:f>
        <x:v>102203</x:v>
      </x:c>
      <x:c r="H4" s="54" t="s">
        <x:v>20</x:v>
      </x:c>
      <x:c r="I4" s="126"/>
      <x:c r="J4" s="82" t="s">
        <x:v>39</x:v>
      </x:c>
      <x:c r="K4" s="58"/>
    </x:row>
    <x:row r="5" spans="1:13" ht="30.949999999999999" customHeight="1">
      <x:c r="A5" s="265" t="s">
        <x:v>64</x:v>
      </x:c>
      <x:c r="B5" s="266"/>
      <x:c r="C5" s="258">
        <x:v>1099000</x:v>
      </x:c>
      <x:c r="D5" s="258"/>
      <x:c r="E5" s="257" t="s">
        <x:v>73</x:v>
      </x:c>
      <x:c r="F5" s="257"/>
      <x:c r="G5" s="135">
        <x:f>INT(C5*0.01)</x:f>
        <x:v>10990</x:v>
      </x:c>
      <x:c r="H5" s="54" t="s">
        <x:v>6</x:v>
      </x:c>
      <x:c r="I5" s="126"/>
      <x:c r="J5" s="83"/>
      <x:c r="K5" s="58"/>
      <x:c r="M5" s="13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1110000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92500</x:v>
      </x:c>
      <x:c r="D8" s="258"/>
      <x:c r="E8" s="284" t="s">
        <x:v>113</x:v>
      </x:c>
      <x:c r="F8" s="285"/>
      <x:c r="G8" s="290">
        <x:f>C5+G2-G6-C22</x:f>
        <x:v>92500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21</x:v>
      </x:c>
      <x:c r="D12" s="284" t="s">
        <x:v>136</x:v>
      </x:c>
      <x:c r="E12" s="285"/>
      <x:c r="F12" s="288">
        <x:v>8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SUM('1:15'!$C$12)</x:f>
        <x:v>221</x:v>
      </x:c>
      <x:c r="D13" s="276"/>
      <x:c r="E13" s="277"/>
      <x:c r="F13" s="286">
        <x:f>SUM('1:15'!$F$12)</x:f>
        <x:v>98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50</x:v>
      </x:c>
      <x:c r="D14" s="284" t="s">
        <x:v>98</x:v>
      </x:c>
      <x:c r="E14" s="285"/>
      <x:c r="F14" s="288">
        <x:v>28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SUM('1:15'!$C$14)</x:f>
        <x:v>645</x:v>
      </x:c>
      <x:c r="D15" s="276"/>
      <x:c r="E15" s="277"/>
      <x:c r="F15" s="286">
        <x:f>SUM('1:15'!$F$14)</x:f>
        <x:v>291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9</x:v>
      </x:c>
      <x:c r="D16" s="284" t="s">
        <x:v>120</x:v>
      </x:c>
      <x:c r="E16" s="285"/>
      <x:c r="F16" s="282">
        <x:v>6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SUM('1:15'!$C$16)</x:f>
        <x:v>67</x:v>
      </x:c>
      <x:c r="D17" s="276"/>
      <x:c r="E17" s="277"/>
      <x:c r="F17" s="283">
        <x:f>SUM('1:15'!$F$16)</x:f>
        <x:v>287</x:v>
      </x:c>
      <x:c r="G17" s="283"/>
      <x:c r="H17" s="54" t="s">
        <x:v>7</x:v>
      </x:c>
      <x:c r="I17" s="58">
        <x:f>1600*3</x:f>
        <x:v>4800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67</x:v>
      </x:c>
      <x:c r="D18" s="284" t="s">
        <x:v>133</x:v>
      </x:c>
      <x:c r="E18" s="285"/>
      <x:c r="F18" s="292">
        <x:v>18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SUM('1:15'!$C$18)</x:f>
        <x:v>495</x:v>
      </x:c>
      <x:c r="D19" s="276"/>
      <x:c r="E19" s="277"/>
      <x:c r="F19" s="283">
        <x:f>SUM('1:15'!$F$18)</x:f>
        <x:v>169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69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SUM('1:15'!$F$20)</x:f>
        <x:v>863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4800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1099000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0.00099678122728688611</x:v>
      </x:c>
      <x:c r="J24" s="61" t="s">
        <x:v>8</x:v>
      </x:c>
      <x:c r="K24" s="63">
        <x:f>K23/A25</x:f>
        <x:v>0.0030457204167099296</x:v>
      </x:c>
    </x:row>
    <x:row r="25" spans="1:11" ht="34.149999999999999" customHeight="1">
      <x:c r="A25" s="308">
        <x:f>C2</x:f>
        <x:v>4815500</x:v>
      </x:c>
      <x:c r="B25" s="272"/>
      <x:c r="C25" s="272">
        <x:f>E25/I1</x:f>
        <x:v>4171133.3333333335</x:v>
      </x:c>
      <x:c r="D25" s="272"/>
      <x:c r="E25" s="272">
        <x:f>SUM('1:15'!$A$25)</x:f>
        <x:v>62567000</x:v>
      </x:c>
      <x:c r="F25" s="272"/>
      <x:c r="G25" s="272"/>
      <x:c r="H25" s="109" t="s">
        <x:v>36</x:v>
      </x:c>
      <x:c r="I25" s="110">
        <x:f>SUM('1:15'!$I$21)</x:f>
        <x:v>0</x:v>
      </x:c>
      <x:c r="J25" s="61" t="s">
        <x:v>36</x:v>
      </x:c>
      <x:c r="K25" s="62">
        <x:f>SUM('1:15'!$K$21)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811741.93548387103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0.16856856722746777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SUM('1:15'!$I$25)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84.310367628357966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>
        <x:f>14000*8</x:f>
        <x:v>112000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16</x:v>
      </x:c>
      <x:c r="G1" s="68" t="s">
        <x:v>52</x:v>
      </x:c>
      <x:c r="H1" s="52" t="s">
        <x:v>126</x:v>
      </x:c>
      <x:c r="I1" s="52">
        <x:f>F1-K1</x:f>
        <x:v>16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2179500</x:v>
      </x:c>
      <x:c r="D2" s="271"/>
      <x:c r="E2" s="274" t="s">
        <x:v>43</x:v>
      </x:c>
      <x:c r="F2" s="275"/>
      <x:c r="G2" s="263">
        <x:v>92500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2" ht="30.949999999999999" customHeight="1">
      <x:c r="A4" s="265" t="s">
        <x:v>22</x:v>
      </x:c>
      <x:c r="B4" s="266"/>
      <x:c r="C4" s="258">
        <x:v>1709500</x:v>
      </x:c>
      <x:c r="D4" s="258"/>
      <x:c r="E4" s="273" t="s">
        <x:v>149</x:v>
      </x:c>
      <x:c r="F4" s="273"/>
      <x:c r="G4" s="135">
        <x:f>INT(C4*0.0275)</x:f>
        <x:v>47011</x:v>
      </x:c>
      <x:c r="H4" s="54" t="s">
        <x:v>20</x:v>
      </x:c>
      <x:c r="I4" s="126">
        <x:f>30650+477600+154700+253112+203301+10+296087+904000</x:f>
        <x:v>2319460</x:v>
      </x:c>
      <x:c r="J4" s="82" t="s">
        <x:v>39</x:v>
      </x:c>
      <x:c r="K4" s="58"/>
      <x:c r="L4" s="99"/>
    </x:row>
    <x:row r="5" spans="1:11" ht="30.949999999999999" customHeight="1">
      <x:c r="A5" s="265" t="s">
        <x:v>64</x:v>
      </x:c>
      <x:c r="B5" s="266"/>
      <x:c r="C5" s="258">
        <x:v>470000</x:v>
      </x:c>
      <x:c r="D5" s="258"/>
      <x:c r="E5" s="257" t="s">
        <x:v>73</x:v>
      </x:c>
      <x:c r="F5" s="257"/>
      <x:c r="G5" s="135">
        <x:f>INT(C5*0.01)</x:f>
        <x:v>4700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450000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f>568700-47300</x:f>
        <x:v>521400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112500</x:v>
      </x:c>
      <x:c r="D8" s="258"/>
      <x:c r="E8" s="284" t="s">
        <x:v>113</x:v>
      </x:c>
      <x:c r="F8" s="285"/>
      <x:c r="G8" s="290">
        <x:f>C5+G2-G6-C22</x:f>
        <x:v>112500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50000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 t="s">
        <x:v>150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9</x:v>
      </x:c>
      <x:c r="D12" s="284" t="s">
        <x:v>136</x:v>
      </x:c>
      <x:c r="E12" s="285"/>
      <x:c r="F12" s="288">
        <x:v>0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SUM('1:16'!$C$12)</x:f>
        <x:v>230</x:v>
      </x:c>
      <x:c r="D13" s="276"/>
      <x:c r="E13" s="277"/>
      <x:c r="F13" s="286">
        <x:f>SUM('1:16'!$F$12)</x:f>
        <x:v>98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17</x:v>
      </x:c>
      <x:c r="D14" s="284" t="s">
        <x:v>98</x:v>
      </x:c>
      <x:c r="E14" s="285"/>
      <x:c r="F14" s="288">
        <x:v>13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SUM('1:16'!$C$14)</x:f>
        <x:v>662</x:v>
      </x:c>
      <x:c r="D15" s="276"/>
      <x:c r="E15" s="277"/>
      <x:c r="F15" s="286">
        <x:f>SUM('1:16'!$F$14)</x:f>
        <x:v>304</x:v>
      </x:c>
      <x:c r="G15" s="287"/>
      <x:c r="H15" s="54" t="s">
        <x:v>109</x:v>
      </x:c>
      <x:c r="I15" s="58">
        <x:f>28800+19200+5900+13000+18000+15600+13000</x:f>
        <x:v>113500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</x:v>
      </x:c>
      <x:c r="D16" s="284" t="s">
        <x:v>120</x:v>
      </x:c>
      <x:c r="E16" s="285"/>
      <x:c r="F16" s="282">
        <x:v>2</x:v>
      </x:c>
      <x:c r="G16" s="282"/>
      <x:c r="H16" s="54"/>
      <x:c r="I16" s="58"/>
      <x:c r="J16" s="54" t="s">
        <x:v>100</x:v>
      </x:c>
      <x:c r="K16" s="58">
        <x:v>150000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SUM('1:16'!$C$16)</x:f>
        <x:v>68</x:v>
      </x:c>
      <x:c r="D17" s="276"/>
      <x:c r="E17" s="277"/>
      <x:c r="F17" s="283">
        <x:f>SUM('1:16'!$F$16)</x:f>
        <x:v>289</x:v>
      </x:c>
      <x:c r="G17" s="283"/>
      <x:c r="H17" s="54" t="s">
        <x:v>7</x:v>
      </x:c>
      <x:c r="I17" s="58">
        <x:v>6400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23</x:v>
      </x:c>
      <x:c r="D18" s="284" t="s">
        <x:v>133</x:v>
      </x:c>
      <x:c r="E18" s="285"/>
      <x:c r="F18" s="292">
        <x:v>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SUM('1:16'!$C$18)</x:f>
        <x:v>518</x:v>
      </x:c>
      <x:c r="D19" s="276"/>
      <x:c r="E19" s="277"/>
      <x:c r="F19" s="283">
        <x:f>SUM('1:16'!$F$18)</x:f>
        <x:v>173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/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SUM('1:16'!$F$20)</x:f>
        <x:v>863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2960760</x:v>
      </x:c>
      <x:c r="J23" s="61" t="s">
        <x:v>122</x:v>
      </x:c>
      <x:c r="K23" s="62">
        <x:f>SUM(K4:K22)</x:f>
        <x:v>177666.66666666666</x:v>
      </x:c>
      <x:c r="M23" s="90" t="s">
        <x:v>96</x:v>
      </x:c>
      <x:c r="N23" s="279">
        <x:f>C5+C6</x:f>
        <x:v>470000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1.3584583620096353</x:v>
      </x:c>
      <x:c r="J24" s="61" t="s">
        <x:v>8</x:v>
      </x:c>
      <x:c r="K24" s="63">
        <x:f>K23/A25</x:f>
        <x:v>0.081517167546073258</x:v>
      </x:c>
    </x:row>
    <x:row r="25" spans="1:11" ht="34.149999999999999" customHeight="1">
      <x:c r="A25" s="308">
        <x:f>C2</x:f>
        <x:v>2179500</x:v>
      </x:c>
      <x:c r="B25" s="272"/>
      <x:c r="C25" s="272">
        <x:f>E25/I1</x:f>
        <x:v>4046656.25</x:v>
      </x:c>
      <x:c r="D25" s="272"/>
      <x:c r="E25" s="272">
        <x:f>SUM('1:16'!$A$25)</x:f>
        <x:v>64746500</x:v>
      </x:c>
      <x:c r="F25" s="272"/>
      <x:c r="G25" s="272"/>
      <x:c r="H25" s="109" t="s">
        <x:v>36</x:v>
      </x:c>
      <x:c r="I25" s="110">
        <x:f>SUM('1:16'!$I$21)</x:f>
        <x:v>0</x:v>
      </x:c>
      <x:c r="J25" s="61" t="s">
        <x:v>36</x:v>
      </x:c>
      <x:c r="K25" s="62">
        <x:f>SUM('1:16'!$K$21)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754741.93548387103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0.34629132162600185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SUM('1:16'!$I$25)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90.677697610804799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13000*9</x:f>
        <x:v>117000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1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17</x:v>
      </x:c>
      <x:c r="G1" s="68" t="s">
        <x:v>65</x:v>
      </x:c>
      <x:c r="H1" s="52" t="s">
        <x:v>126</x:v>
      </x:c>
      <x:c r="I1" s="52">
        <x:f>F1-K1</x:f>
        <x:v>17</x:v>
      </x:c>
      <x:c r="J1" s="52" t="s">
        <x:v>101</x:v>
      </x:c>
      <x:c r="K1" s="52"/>
    </x:row>
    <x:row r="2" spans="1:11" ht="20.100000000000001" customHeight="1">
      <x:c r="A2" s="325" t="s">
        <x:v>9</x:v>
      </x:c>
      <x:c r="B2" s="326"/>
      <x:c r="C2" s="329">
        <x:f>SUM(C4:D7)</x:f>
        <x:v>4233000</x:v>
      </x:c>
      <x:c r="D2" s="330"/>
      <x:c r="E2" s="274" t="s">
        <x:v>43</x:v>
      </x:c>
      <x:c r="F2" s="275"/>
      <x:c r="G2" s="263">
        <x:v>112500</x:v>
      </x:c>
      <x:c r="H2" s="333" t="s">
        <x:v>6</x:v>
      </x:c>
      <x:c r="I2" s="334"/>
      <x:c r="J2" s="259" t="s">
        <x:v>77</x:v>
      </x:c>
      <x:c r="K2" s="322"/>
    </x:row>
    <x:row r="3" spans="1:11" ht="20.100000000000001" customHeight="1">
      <x:c r="A3" s="327"/>
      <x:c r="B3" s="328"/>
      <x:c r="C3" s="331"/>
      <x:c r="D3" s="33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336" t="s">
        <x:v>22</x:v>
      </x:c>
      <x:c r="B4" s="337"/>
      <x:c r="C4" s="306">
        <x:v>3642000</x:v>
      </x:c>
      <x:c r="D4" s="307"/>
      <x:c r="E4" s="338" t="s">
        <x:v>149</x:v>
      </x:c>
      <x:c r="F4" s="339"/>
      <x:c r="G4" s="135">
        <x:f>INT(C4*0.0275)</x:f>
        <x:v>100155</x:v>
      </x:c>
      <x:c r="H4" s="54" t="s">
        <x:v>20</x:v>
      </x:c>
      <x:c r="I4" s="126">
        <x:f>226525+288746+452000</x:f>
        <x:v>967271</x:v>
      </x:c>
      <x:c r="J4" s="82" t="s">
        <x:v>39</x:v>
      </x:c>
      <x:c r="K4" s="58"/>
    </x:row>
    <x:row r="5" spans="1:11" ht="30.949999999999999" customHeight="1">
      <x:c r="A5" s="336" t="s">
        <x:v>64</x:v>
      </x:c>
      <x:c r="B5" s="337"/>
      <x:c r="C5" s="306">
        <x:v>591000</x:v>
      </x:c>
      <x:c r="D5" s="307"/>
      <x:c r="E5" s="288" t="s">
        <x:v>73</x:v>
      </x:c>
      <x:c r="F5" s="289"/>
      <x:c r="G5" s="135">
        <x:f>INT(C5*0.01)</x:f>
        <x:v>5910</x:v>
      </x:c>
      <x:c r="H5" s="54" t="s">
        <x:v>6</x:v>
      </x:c>
      <x:c r="I5" s="126">
        <x:f>23650+59312+36080+100000+72000+13620+9150</x:f>
        <x:v>313812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600000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343" t="s">
        <x:v>137</x:v>
      </x:c>
      <x:c r="B8" s="285"/>
      <x:c r="C8" s="297">
        <x:v>103500</x:v>
      </x:c>
      <x:c r="D8" s="298"/>
      <x:c r="E8" s="284" t="s">
        <x:v>113</x:v>
      </x:c>
      <x:c r="F8" s="285"/>
      <x:c r="G8" s="290">
        <x:f>C5+G2-G6-C22</x:f>
        <x:v>103500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344"/>
      <x:c r="B9" s="277"/>
      <x:c r="C9" s="299"/>
      <x:c r="D9" s="300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335" t="s">
        <x:v>146</x:v>
      </x:c>
      <x:c r="B10" s="289"/>
      <x:c r="C10" s="306"/>
      <x:c r="D10" s="307"/>
      <x:c r="E10" s="288" t="s">
        <x:v>90</x:v>
      </x:c>
      <x:c r="F10" s="289"/>
      <x:c r="G10" s="55"/>
      <x:c r="H10" s="54"/>
      <x:c r="I10" s="126"/>
      <x:c r="J10" s="54" t="s">
        <x:v>56</x:v>
      </x:c>
      <x:c r="K10" s="58"/>
    </x:row>
    <x:row r="11" spans="1:11" ht="33" customHeight="1">
      <x:c r="A11" s="335" t="s">
        <x:v>106</x:v>
      </x:c>
      <x:c r="B11" s="289"/>
      <x:c r="C11" s="340"/>
      <x:c r="D11" s="341"/>
      <x:c r="E11" s="341"/>
      <x:c r="F11" s="341"/>
      <x:c r="G11" s="342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9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SUM('1:17'!$C$12)</x:f>
        <x:v>241</x:v>
      </x:c>
      <x:c r="D13" s="276"/>
      <x:c r="E13" s="277"/>
      <x:c r="F13" s="286">
        <x:f>SUM('1:17'!$F$12)</x:f>
        <x:v>107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32</x:v>
      </x:c>
      <x:c r="D14" s="284" t="s">
        <x:v>98</x:v>
      </x:c>
      <x:c r="E14" s="285"/>
      <x:c r="F14" s="288">
        <x:v>10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SUM('1:17'!$C$14)</x:f>
        <x:v>694</x:v>
      </x:c>
      <x:c r="D15" s="276"/>
      <x:c r="E15" s="277"/>
      <x:c r="F15" s="286">
        <x:f>SUM('1:17'!$F$14)</x:f>
        <x:v>314</x:v>
      </x:c>
      <x:c r="G15" s="287"/>
      <x:c r="H15" s="54" t="s">
        <x:v>109</x:v>
      </x:c>
      <x:c r="I15" s="58">
        <x:v>195250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13</x:v>
      </x:c>
      <x:c r="D16" s="284" t="s">
        <x:v>120</x:v>
      </x:c>
      <x:c r="E16" s="285"/>
      <x:c r="F16" s="323">
        <x:v>30</x:v>
      </x:c>
      <x:c r="G16" s="324"/>
      <x:c r="H16" s="54"/>
      <x:c r="I16" s="58"/>
      <x:c r="J16" s="54" t="s">
        <x:v>100</x:v>
      </x:c>
      <x:c r="K16" s="58">
        <x:v>90920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SUM('1:17'!$C$16)</x:f>
        <x:v>81</x:v>
      </x:c>
      <x:c r="D17" s="276"/>
      <x:c r="E17" s="277"/>
      <x:c r="F17" s="286">
        <x:f>SUM('1:17'!$F$16)</x:f>
        <x:v>319</x:v>
      </x:c>
      <x:c r="G17" s="287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35</x:v>
      </x:c>
      <x:c r="D18" s="284" t="s">
        <x:v>133</x:v>
      </x:c>
      <x:c r="E18" s="285"/>
      <x:c r="F18" s="323">
        <x:v>10</x:v>
      </x:c>
      <x:c r="G18" s="324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SUM('1:17'!$C$18)</x:f>
        <x:v>553</x:v>
      </x:c>
      <x:c r="D19" s="276"/>
      <x:c r="E19" s="277"/>
      <x:c r="F19" s="286">
        <x:f>SUM('1:17'!$F$18)</x:f>
        <x:v>183</x:v>
      </x:c>
      <x:c r="G19" s="287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88" t="s">
        <x:v>116</x:v>
      </x:c>
      <x:c r="E20" s="289"/>
      <x:c r="F20" s="323">
        <x:v>63</x:v>
      </x:c>
      <x:c r="G20" s="324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88" t="s">
        <x:v>117</x:v>
      </x:c>
      <x:c r="E21" s="289"/>
      <x:c r="F21" s="286">
        <x:f>SUM('1:17'!$F$20)</x:f>
        <x:v>926</x:v>
      </x:c>
      <x:c r="G21" s="287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5" t="s">
        <x:v>86</x:v>
      </x:c>
      <x:c r="B22" s="289"/>
      <x:c r="C22" s="345"/>
      <x:c r="D22" s="346"/>
      <x:c r="E22" s="346"/>
      <x:c r="F22" s="346"/>
      <x:c r="G22" s="34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5" t="s">
        <x:v>127</x:v>
      </x:c>
      <x:c r="B23" s="289"/>
      <x:c r="C23" s="319"/>
      <x:c r="D23" s="320"/>
      <x:c r="E23" s="320"/>
      <x:c r="F23" s="320"/>
      <x:c r="G23" s="321"/>
      <x:c r="H23" s="109" t="s">
        <x:v>97</x:v>
      </x:c>
      <x:c r="I23" s="110">
        <x:f>SUM(I4:I22)</x:f>
        <x:v>1534333</x:v>
      </x:c>
      <x:c r="J23" s="61" t="s">
        <x:v>122</x:v>
      </x:c>
      <x:c r="K23" s="62">
        <x:f>SUM(K4:K22)</x:f>
        <x:v>105586.66666666667</x:v>
      </x:c>
      <x:c r="M23" s="90" t="s">
        <x:v>96</x:v>
      </x:c>
      <x:c r="N23" s="279">
        <x:f>C5+C6</x:f>
        <x:v>591000</x:v>
      </x:c>
      <x:c r="O23" s="280"/>
    </x:row>
    <x:row r="24" spans="1:11" ht="34.149999999999999" customHeight="1">
      <x:c r="A24" s="335" t="s">
        <x:v>8</x:v>
      </x:c>
      <x:c r="B24" s="289"/>
      <x:c r="C24" s="288" t="s">
        <x:v>89</x:v>
      </x:c>
      <x:c r="D24" s="289"/>
      <x:c r="E24" s="288" t="s">
        <x:v>104</x:v>
      </x:c>
      <x:c r="F24" s="318"/>
      <x:c r="G24" s="289"/>
      <x:c r="H24" s="109" t="s">
        <x:v>8</x:v>
      </x:c>
      <x:c r="I24" s="111">
        <x:f>I23/A25</x:f>
        <x:v>0.36246940703992442</x:v>
      </x:c>
      <x:c r="J24" s="61" t="s">
        <x:v>8</x:v>
      </x:c>
      <x:c r="K24" s="63">
        <x:f>K23/A25</x:f>
        <x:v>0.024943696354043626</x:v>
      </x:c>
    </x:row>
    <x:row r="25" spans="1:11" ht="34.149999999999999" customHeight="1">
      <x:c r="A25" s="349">
        <x:f>C2</x:f>
        <x:v>4233000</x:v>
      </x:c>
      <x:c r="B25" s="310"/>
      <x:c r="C25" s="309">
        <x:f>E25/I1</x:f>
        <x:v>4057617.6470588236</x:v>
      </x:c>
      <x:c r="D25" s="310"/>
      <x:c r="E25" s="309">
        <x:f>SUM('1:17'!$A$25)</x:f>
        <x:v>68979500</x:v>
      </x:c>
      <x:c r="F25" s="317"/>
      <x:c r="G25" s="310"/>
      <x:c r="H25" s="109" t="s">
        <x:v>36</x:v>
      </x:c>
      <x:c r="I25" s="110">
        <x:f>SUM('1:17'!$I$21)</x:f>
        <x:v>0</x:v>
      </x:c>
      <x:c r="J25" s="61" t="s">
        <x:v>36</x:v>
      </x:c>
      <x:c r="K25" s="62">
        <x:f>SUM('1:17'!$K$21)</x:f>
        <x:v>0</x:v>
      </x:c>
    </x:row>
    <x:row r="26" spans="1:11" ht="34.149999999999999" customHeight="1">
      <x:c r="A26" s="335" t="s">
        <x:v>145</x:v>
      </x:c>
      <x:c r="B26" s="289"/>
      <x:c r="C26" s="288"/>
      <x:c r="D26" s="289"/>
      <x:c r="E26" s="306"/>
      <x:c r="F26" s="348"/>
      <x:c r="G26" s="307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01" t="s">
        <x:v>144</x:v>
      </x:c>
      <x:c r="B27" s="54" t="s">
        <x:v>47</x:v>
      </x:c>
      <x:c r="C27" s="309">
        <x:f>4000000/31</x:f>
        <x:v>129032.25806451614</x:v>
      </x:c>
      <x:c r="D27" s="310"/>
      <x:c r="E27" s="55" t="s">
        <x:v>153</x:v>
      </x:c>
      <x:c r="F27" s="306"/>
      <x:c r="G27" s="307"/>
      <x:c r="H27" s="113" t="s">
        <x:v>121</x:v>
      </x:c>
      <x:c r="I27" s="114">
        <x:f>SUM(C27:D34,F27:G32)</x:f>
        <x:v>817241.93548387103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156</x:v>
      </x:c>
      <x:c r="F28" s="309">
        <x:f>1500000/30</x:f>
        <x:v>50000</x:v>
      </x:c>
      <x:c r="G28" s="310"/>
      <x:c r="H28" s="113" t="s">
        <x:v>8</x:v>
      </x:c>
      <x:c r="I28" s="115">
        <x:f>I27/$A$25</x:f>
        <x:v>0.19306447802595583</x:v>
      </x:c>
      <x:c r="M28" s="66"/>
    </x:row>
    <x:row r="29" spans="1:13" ht="30.949999999999999" customHeight="1">
      <x:c r="A29" s="302"/>
      <x:c r="B29" s="54" t="s">
        <x:v>50</x:v>
      </x:c>
      <x:c r="C29" s="309">
        <x:f>3200000/31</x:f>
        <x:v>103225.80645161291</x:v>
      </x:c>
      <x:c r="D29" s="310"/>
      <x:c r="E29" s="55"/>
      <x:c r="F29" s="306"/>
      <x:c r="G29" s="307"/>
      <x:c r="H29" s="113" t="s">
        <x:v>36</x:v>
      </x:c>
      <x:c r="I29" s="114">
        <x:f>SUM('1:17'!$I$25)</x:f>
        <x:v>68438261</x:v>
      </x:c>
      <x:c r="M29" s="66"/>
    </x:row>
    <x:row r="30" spans="1:13" ht="30.949999999999999" customHeight="1">
      <x:c r="A30" s="302"/>
      <x:c r="B30" s="54"/>
      <x:c r="C30" s="309"/>
      <x:c r="D30" s="310"/>
      <x:c r="E30" s="55"/>
      <x:c r="F30" s="306"/>
      <x:c r="G30" s="307"/>
      <x:c r="H30" s="113" t="s">
        <x:v>131</x:v>
      </x:c>
      <x:c r="I30" s="115">
        <x:f>I29/$I$27</x:f>
        <x:v>83.742962797765884</x:v>
      </x:c>
      <x:c r="M30" s="66"/>
    </x:row>
    <x:row r="31" spans="1:7" customHeight="1">
      <x:c r="A31" s="302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02"/>
      <x:c r="B32" s="54" t="s">
        <x:v>32</x:v>
      </x:c>
      <x:c r="C32" s="304">
        <x:f>14000*4</x:f>
        <x:v>56000</x:v>
      </x:c>
      <x:c r="D32" s="305"/>
      <x:c r="E32" s="55" t="s">
        <x:v>141</x:v>
      </x:c>
      <x:c r="F32" s="306"/>
      <x:c r="G32" s="307"/>
    </x:row>
    <x:row r="33" spans="1:4" customHeight="1">
      <x:c r="A33" s="302"/>
      <x:c r="B33" s="54" t="s">
        <x:v>21</x:v>
      </x:c>
      <x:c r="C33" s="304">
        <x:f>13000*9.5</x:f>
        <x:v>123500</x:v>
      </x:c>
      <x:c r="D33" s="305"/>
    </x:row>
    <x:row r="34" spans="1:4" customHeight="1">
      <x:c r="A34" s="303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27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18</x:v>
      </x:c>
      <x:c r="G1" s="68" t="s">
        <x:v>29</x:v>
      </x:c>
      <x:c r="H1" s="52" t="s">
        <x:v>126</x:v>
      </x:c>
      <x:c r="I1" s="52">
        <x:f>F1-K1</x:f>
        <x:v>18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4819500</x:v>
      </x:c>
      <x:c r="D2" s="271"/>
      <x:c r="E2" s="274" t="s">
        <x:v>43</x:v>
      </x:c>
      <x:c r="F2" s="275"/>
      <x:c r="G2" s="263">
        <x:v>103500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4045000</x:v>
      </x:c>
      <x:c r="D4" s="258"/>
      <x:c r="E4" s="273" t="s">
        <x:v>149</x:v>
      </x:c>
      <x:c r="F4" s="273"/>
      <x:c r="G4" s="135">
        <x:f>INT(C4*0.0275)</x:f>
        <x:v>111237</x:v>
      </x:c>
      <x:c r="H4" s="54" t="s">
        <x:v>20</x:v>
      </x:c>
      <x:c r="I4" s="126">
        <x:f>452000+56220+221000+250930</x:f>
        <x:v>980150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774500</x:v>
      </x:c>
      <x:c r="D5" s="258"/>
      <x:c r="E5" s="257" t="s">
        <x:v>73</x:v>
      </x:c>
      <x:c r="F5" s="257"/>
      <x:c r="G5" s="135">
        <x:f>INT(C5*0.01)</x:f>
        <x:v>7745</x:v>
      </x:c>
      <x:c r="H5" s="54" t="s">
        <x:v>6</x:v>
      </x:c>
      <x:c r="I5" s="126">
        <x:f>29656+50000+36000</x:f>
        <x:v>115656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741000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131000</x:v>
      </x:c>
      <x:c r="D8" s="258"/>
      <x:c r="E8" s="284" t="s">
        <x:v>113</x:v>
      </x:c>
      <x:c r="F8" s="285"/>
      <x:c r="G8" s="290">
        <x:f>C5+G2-G6-C22</x:f>
        <x:v>137000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f>91000+24000</x:f>
        <x:v>115000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163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7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SUM('1:18'!$C$12)</x:f>
        <x:v>252</x:v>
      </x:c>
      <x:c r="D13" s="276"/>
      <x:c r="E13" s="277"/>
      <x:c r="F13" s="286">
        <x:f>SUM('1:18'!$F$12)</x:f>
        <x:v>114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39</x:v>
      </x:c>
      <x:c r="D14" s="284" t="s">
        <x:v>98</x:v>
      </x:c>
      <x:c r="E14" s="285"/>
      <x:c r="F14" s="288">
        <x:v>20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SUM('1:18'!$C$14)</x:f>
        <x:v>733</x:v>
      </x:c>
      <x:c r="D15" s="276"/>
      <x:c r="E15" s="277"/>
      <x:c r="F15" s="286">
        <x:f>SUM('1:18'!$F$14)</x:f>
        <x:v>334</x:v>
      </x:c>
      <x:c r="G15" s="287"/>
      <x:c r="H15" s="54" t="s">
        <x:v>109</x:v>
      </x:c>
      <x:c r="I15" s="58">
        <x:v>73800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14</x:v>
      </x:c>
      <x:c r="D16" s="284" t="s">
        <x:v>120</x:v>
      </x:c>
      <x:c r="E16" s="285"/>
      <x:c r="F16" s="282">
        <x:v>22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SUM('1:18'!$C$16)</x:f>
        <x:v>95</x:v>
      </x:c>
      <x:c r="D17" s="276"/>
      <x:c r="E17" s="277"/>
      <x:c r="F17" s="283">
        <x:f>SUM('1:18'!$F$16)</x:f>
        <x:v>341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41</x:v>
      </x:c>
      <x:c r="D18" s="284" t="s">
        <x:v>133</x:v>
      </x:c>
      <x:c r="E18" s="285"/>
      <x:c r="F18" s="292">
        <x:v>13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SUM('1:18'!$C$18)</x:f>
        <x:v>594</x:v>
      </x:c>
      <x:c r="D19" s="276"/>
      <x:c r="E19" s="277"/>
      <x:c r="F19" s="283">
        <x:f>SUM('1:18'!$F$18)</x:f>
        <x:v>196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77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SUM('1:18'!$F$20)</x:f>
        <x:v>1003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1169606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774500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0.24268202095653077</x:v>
      </x:c>
      <x:c r="J24" s="61" t="s">
        <x:v>8</x:v>
      </x:c>
      <x:c r="K24" s="63">
        <x:f>K23/A25</x:f>
        <x:v>0.0030431925856762455</x:v>
      </x:c>
    </x:row>
    <x:row r="25" spans="1:11" ht="34.149999999999999" customHeight="1">
      <x:c r="A25" s="308">
        <x:f>C2</x:f>
        <x:v>4819500</x:v>
      </x:c>
      <x:c r="B25" s="272"/>
      <x:c r="C25" s="272">
        <x:f>E25/I1</x:f>
        <x:v>4099944.4444444445</x:v>
      </x:c>
      <x:c r="D25" s="272"/>
      <x:c r="E25" s="272">
        <x:f>SUM('1:18'!$A$25)</x:f>
        <x:v>73799000</x:v>
      </x:c>
      <x:c r="F25" s="272"/>
      <x:c r="G25" s="272"/>
      <x:c r="H25" s="109" t="s">
        <x:v>36</x:v>
      </x:c>
      <x:c r="I25" s="110">
        <x:f>SUM('1:18'!$I$21)</x:f>
        <x:v>0</x:v>
      </x:c>
      <x:c r="J25" s="61" t="s">
        <x:v>36</x:v>
      </x:c>
      <x:c r="K25" s="62">
        <x:f>SUM('1:18'!$K$21)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11700*5</x:f>
        <x:v>58500</x:v>
      </x:c>
      <x:c r="G27" s="258"/>
      <x:c r="H27" s="113" t="s">
        <x:v>121</x:v>
      </x:c>
      <x:c r="I27" s="114">
        <x:f>SUM(C27:D34,F27:G32)</x:f>
        <x:v>696241.93548387103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0.14446352017509514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SUM('1:18'!$I$25)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98.296666018023018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/>
      <x:c r="D34" s="307"/>
    </x:row>
    <x:row r="35" spans="2:4" customHeight="1">
      <x:c r="B35" s="54"/>
      <x:c r="C35" s="306"/>
      <x:c r="D35" s="307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opLeftCell="A26" zoomScale="85" zoomScaleNormal="85" zoomScaleSheetLayoutView="75" workbookViewId="0">
      <x:selection activeCell="E29" activeCellId="0" sqref="E29:E29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128</x:v>
      </x:c>
      <x:c r="D1" s="68"/>
      <x:c r="E1" s="68" t="s">
        <x:v>154</x:v>
      </x:c>
      <x:c r="F1" s="68">
        <x:v>19</x:v>
      </x:c>
      <x:c r="G1" s="68" t="s">
        <x:v>53</x:v>
      </x:c>
      <x:c r="H1" s="52" t="s">
        <x:v>126</x:v>
      </x:c>
      <x:c r="I1" s="52">
        <x:f>F1-K1</x:f>
        <x:v>19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5146500</x:v>
      </x:c>
      <x:c r="D2" s="271"/>
      <x:c r="E2" s="274" t="s">
        <x:v>43</x:v>
      </x:c>
      <x:c r="F2" s="275"/>
      <x:c r="G2" s="263">
        <x:v>131000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4223500</x:v>
      </x:c>
      <x:c r="D4" s="258"/>
      <x:c r="E4" s="273" t="s">
        <x:v>149</x:v>
      </x:c>
      <x:c r="F4" s="273"/>
      <x:c r="G4" s="135">
        <x:f>INT(C4*0.0275)</x:f>
        <x:v>116146</x:v>
      </x:c>
      <x:c r="H4" s="54" t="s">
        <x:v>20</x:v>
      </x:c>
      <x:c r="I4" s="126">
        <x:f>904000+254150+242202+183939+323004</x:f>
        <x:v>1907295</x:v>
      </x:c>
      <x:c r="J4" s="82" t="s">
        <x:v>39</x:v>
      </x:c>
      <x:c r="K4" s="58">
        <x:v>305000</x:v>
      </x:c>
    </x:row>
    <x:row r="5" spans="1:11" ht="30.949999999999999" customHeight="1">
      <x:c r="A5" s="265" t="s">
        <x:v>64</x:v>
      </x:c>
      <x:c r="B5" s="266"/>
      <x:c r="C5" s="258">
        <x:v>923000</x:v>
      </x:c>
      <x:c r="D5" s="258"/>
      <x:c r="E5" s="257" t="s">
        <x:v>73</x:v>
      </x:c>
      <x:c r="F5" s="257"/>
      <x:c r="G5" s="135">
        <x:f>INT(C5*0.01)</x:f>
        <x:v>9230</x:v>
      </x:c>
      <x:c r="H5" s="54" t="s">
        <x:v>6</x:v>
      </x:c>
      <x:c r="I5" s="126">
        <x:f>13620+30300+6430+15700+100000+29656</x:f>
        <x:v>195706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900000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157000</x:v>
      </x:c>
      <x:c r="D8" s="258"/>
      <x:c r="E8" s="284" t="s">
        <x:v>113</x:v>
      </x:c>
      <x:c r="F8" s="285"/>
      <x:c r="G8" s="290">
        <x:f>C5+G2-G6-C22</x:f>
        <x:v>154000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19</x:v>
      </x:c>
      <x:c r="D12" s="284" t="s">
        <x:v>136</x:v>
      </x:c>
      <x:c r="E12" s="285"/>
      <x:c r="F12" s="288">
        <x:v>11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SUM('1:19'!$C$12)</x:f>
        <x:v>271</x:v>
      </x:c>
      <x:c r="D13" s="276"/>
      <x:c r="E13" s="277"/>
      <x:c r="F13" s="286">
        <x:f>SUM('1:19'!$F$12)</x:f>
        <x:v>125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33</x:v>
      </x:c>
      <x:c r="D14" s="284" t="s">
        <x:v>98</x:v>
      </x:c>
      <x:c r="E14" s="285"/>
      <x:c r="F14" s="288">
        <x:v>18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SUM('1:19'!$C$14)</x:f>
        <x:v>766</x:v>
      </x:c>
      <x:c r="D15" s="276"/>
      <x:c r="E15" s="277"/>
      <x:c r="F15" s="286">
        <x:f>SUM('1:19'!$F$14)</x:f>
        <x:v>352</x:v>
      </x:c>
      <x:c r="G15" s="287"/>
      <x:c r="H15" s="54" t="s">
        <x:v>109</x:v>
      </x:c>
      <x:c r="I15" s="58">
        <x:v>146000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10</x:v>
      </x:c>
      <x:c r="D16" s="284" t="s">
        <x:v>120</x:v>
      </x:c>
      <x:c r="E16" s="285"/>
      <x:c r="F16" s="282">
        <x:v>29</x:v>
      </x:c>
      <x:c r="G16" s="282"/>
      <x:c r="H16" s="54"/>
      <x:c r="I16" s="58"/>
      <x:c r="J16" s="54" t="s">
        <x:v>100</x:v>
      </x:c>
      <x:c r="K16" s="58">
        <x:v>26919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SUM('1:19'!$C$16)</x:f>
        <x:v>105</x:v>
      </x:c>
      <x:c r="D17" s="276"/>
      <x:c r="E17" s="277"/>
      <x:c r="F17" s="283">
        <x:f>SUM('1:19'!$F$16)</x:f>
        <x:v>370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48</x:v>
      </x:c>
      <x:c r="D18" s="284" t="s">
        <x:v>133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SUM('1:19'!$C$18)</x:f>
        <x:v>642</x:v>
      </x:c>
      <x:c r="D19" s="276"/>
      <x:c r="E19" s="277"/>
      <x:c r="F19" s="283">
        <x:f>SUM('1:19'!$F$18)</x:f>
        <x:v>208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66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SUM('1:19'!$F$20)</x:f>
        <x:v>1069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2307001</x:v>
      </x:c>
      <x:c r="J23" s="61" t="s">
        <x:v>122</x:v>
      </x:c>
      <x:c r="K23" s="62">
        <x:f>SUM(K4:K22)</x:f>
        <x:v>346585.66666666669</x:v>
      </x:c>
      <x:c r="M23" s="90" t="s">
        <x:v>96</x:v>
      </x:c>
      <x:c r="N23" s="279">
        <x:f>C5+C6</x:f>
        <x:v>923000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0.44826600602351113</x:v>
      </x:c>
      <x:c r="J24" s="61" t="s">
        <x:v>8</x:v>
      </x:c>
      <x:c r="K24" s="63">
        <x:f>K23/A25</x:f>
        <x:v>0.067343955438971467</x:v>
      </x:c>
    </x:row>
    <x:row r="25" spans="1:11" ht="34.149999999999999" customHeight="1">
      <x:c r="A25" s="308">
        <x:f>C2</x:f>
        <x:v>5146500</x:v>
      </x:c>
      <x:c r="B25" s="272"/>
      <x:c r="C25" s="272">
        <x:f>E25/I1</x:f>
        <x:v>4155026.3157894737</x:v>
      </x:c>
      <x:c r="D25" s="272"/>
      <x:c r="E25" s="272">
        <x:f>SUM('1:19'!$A$25)</x:f>
        <x:v>78945500</x:v>
      </x:c>
      <x:c r="F25" s="272"/>
      <x:c r="G25" s="272"/>
      <x:c r="H25" s="109" t="s">
        <x:v>36</x:v>
      </x:c>
      <x:c r="I25" s="110">
        <x:f>SUM('1:18'!$I$21)</x:f>
        <x:v>0</x:v>
      </x:c>
      <x:c r="J25" s="61" t="s">
        <x:v>36</x:v>
      </x:c>
      <x:c r="K25" s="62">
        <x:f>SUM('1:18'!$K$21)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11700*4.5</x:f>
        <x:v>52650</x:v>
      </x:c>
      <x:c r="G27" s="258"/>
      <x:c r="H27" s="113" t="s">
        <x:v>121</x:v>
      </x:c>
      <x:c r="I27" s="114">
        <x:f>SUM(C27:D34,F27:G32)</x:f>
        <x:v>843891.93548387103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0.16397395035147597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SUM('1:18'!$I$25)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81.098370682685626</x:v>
      </x:c>
      <x:c r="M30" s="66"/>
    </x:row>
    <x:row r="31" spans="1:7" ht="30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ht="30" customHeight="1">
      <x:c r="A32" s="314"/>
      <x:c r="B32" s="54" t="s">
        <x:v>32</x:v>
      </x:c>
      <x:c r="C32" s="304">
        <x:f>14000*4</x:f>
        <x:v>56000</x:v>
      </x:c>
      <x:c r="D32" s="305"/>
      <x:c r="E32" s="55" t="s">
        <x:v>141</x:v>
      </x:c>
      <x:c r="F32" s="306"/>
      <x:c r="G32" s="307"/>
    </x:row>
    <x:row r="33" spans="1:4" ht="30" customHeight="1">
      <x:c r="A33" s="314"/>
      <x:c r="B33" s="54" t="s">
        <x:v>21</x:v>
      </x:c>
      <x:c r="C33" s="304">
        <x:f>13000*7.5</x:f>
        <x:v>97500</x:v>
      </x:c>
      <x:c r="D33" s="305"/>
    </x:row>
    <x:row r="34" spans="1:4" ht="30" customHeight="1">
      <x:c r="A34" s="315"/>
      <x:c r="B34" s="54" t="s">
        <x:v>60</x:v>
      </x:c>
      <x:c r="C34" s="306"/>
      <x:c r="D34" s="307"/>
    </x:row>
    <x:row r="35" spans="2:4">
      <x:c r="B35" s="294"/>
      <x:c r="C35" s="297"/>
      <x:c r="D35" s="298"/>
    </x:row>
    <x:row r="36" spans="2:4">
      <x:c r="B36" s="295"/>
      <x:c r="C36" s="299"/>
      <x:c r="D36" s="300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20</x:v>
      </x:c>
      <x:c r="G1" s="68" t="s">
        <x:v>31</x:v>
      </x:c>
      <x:c r="H1" s="52" t="s">
        <x:v>126</x:v>
      </x:c>
      <x:c r="I1" s="52">
        <x:f>F1-K1</x:f>
        <x:v>20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3939000</x:v>
      </x:c>
      <x:c r="D2" s="271"/>
      <x:c r="E2" s="274" t="s">
        <x:v>43</x:v>
      </x:c>
      <x:c r="F2" s="275"/>
      <x:c r="G2" s="263">
        <x:v>157000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3718500</x:v>
      </x:c>
      <x:c r="D4" s="258"/>
      <x:c r="E4" s="273" t="s">
        <x:v>149</x:v>
      </x:c>
      <x:c r="F4" s="273"/>
      <x:c r="G4" s="135">
        <x:f>INT(C4*0.0275)</x:f>
        <x:v>102258</x:v>
      </x:c>
      <x:c r="H4" s="54" t="s">
        <x:v>20</x:v>
      </x:c>
      <x:c r="I4" s="126">
        <x:f>477600+452000+221000</x:f>
        <x:v>1150600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220500</x:v>
      </x:c>
      <x:c r="D5" s="258"/>
      <x:c r="E5" s="257" t="s">
        <x:v>73</x:v>
      </x:c>
      <x:c r="F5" s="257"/>
      <x:c r="G5" s="135">
        <x:f>INT(C5*0.01)</x:f>
        <x:v>2205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200000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638000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176500</x:v>
      </x:c>
      <x:c r="D8" s="258"/>
      <x:c r="E8" s="284" t="s">
        <x:v>113</x:v>
      </x:c>
      <x:c r="F8" s="285"/>
      <x:c r="G8" s="290">
        <x:f>C5+G2-G6-C22</x:f>
        <x:v>177500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16</x:v>
      </x:c>
      <x:c r="D12" s="284" t="s">
        <x:v>136</x:v>
      </x:c>
      <x:c r="E12" s="285"/>
      <x:c r="F12" s="288">
        <x:v>4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SUM('1:20'!$C$12)</x:f>
        <x:v>287</x:v>
      </x:c>
      <x:c r="D13" s="276"/>
      <x:c r="E13" s="277"/>
      <x:c r="F13" s="286">
        <x:f>SUM('1:20'!$F$12)</x:f>
        <x:v>129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36</x:v>
      </x:c>
      <x:c r="D14" s="284" t="s">
        <x:v>98</x:v>
      </x:c>
      <x:c r="E14" s="285"/>
      <x:c r="F14" s="288">
        <x:v>4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SUM('1:20'!$C$14)</x:f>
        <x:v>802</x:v>
      </x:c>
      <x:c r="D15" s="276"/>
      <x:c r="E15" s="277"/>
      <x:c r="F15" s="286">
        <x:f>SUM('1:20'!$F$14)</x:f>
        <x:v>356</x:v>
      </x:c>
      <x:c r="G15" s="287"/>
      <x:c r="H15" s="54" t="s">
        <x:v>109</x:v>
      </x:c>
      <x:c r="I15" s="58">
        <x:f>12500+20000+13500+11000+52000+6200+9800+57600+16000+19200+6600+3900+6900+3200</x:f>
        <x:v>238400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5</x:v>
      </x:c>
      <x:c r="D16" s="284" t="s">
        <x:v>120</x:v>
      </x:c>
      <x:c r="E16" s="285"/>
      <x:c r="F16" s="282">
        <x:v>22</x:v>
      </x:c>
      <x:c r="G16" s="282"/>
      <x:c r="H16" s="54"/>
      <x:c r="I16" s="58"/>
      <x:c r="J16" s="54" t="s">
        <x:v>100</x:v>
      </x:c>
      <x:c r="K16" s="58">
        <x:v>32480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SUM('1:20'!$C$16)</x:f>
        <x:v>110</x:v>
      </x:c>
      <x:c r="D17" s="276"/>
      <x:c r="E17" s="277"/>
      <x:c r="F17" s="283">
        <x:f>SUM('1:20'!$F$16)</x:f>
        <x:v>392</x:v>
      </x:c>
      <x:c r="G17" s="283"/>
      <x:c r="H17" s="54" t="s">
        <x:v>7</x:v>
      </x:c>
      <x:c r="I17" s="58">
        <x:v>4800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41</x:v>
      </x:c>
      <x:c r="D18" s="284" t="s">
        <x:v>133</x:v>
      </x:c>
      <x:c r="E18" s="285"/>
      <x:c r="F18" s="292">
        <x:v>13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SUM('1:20'!$C$18)</x:f>
        <x:v>683</x:v>
      </x:c>
      <x:c r="D19" s="276"/>
      <x:c r="E19" s="277"/>
      <x:c r="F19" s="283">
        <x:f>SUM('1:20'!$F$18)</x:f>
        <x:v>221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56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SUM('1:20'!$F$20)</x:f>
        <x:v>1125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2031800</x:v>
      </x:c>
      <x:c r="J23" s="61" t="s">
        <x:v>122</x:v>
      </x:c>
      <x:c r="K23" s="62">
        <x:f>SUM(K4:K22)</x:f>
        <x:v>47146.666666666664</x:v>
      </x:c>
      <x:c r="M23" s="90" t="s">
        <x:v>96</x:v>
      </x:c>
      <x:c r="N23" s="279">
        <x:f>C5+C6</x:f>
        <x:v>220500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0.5158161970043158</x:v>
      </x:c>
      <x:c r="J24" s="61" t="s">
        <x:v>8</x:v>
      </x:c>
      <x:c r="K24" s="63">
        <x:f>K23/A25</x:f>
        <x:v>0.011969196919691968</x:v>
      </x:c>
    </x:row>
    <x:row r="25" spans="1:11" ht="34.149999999999999" customHeight="1">
      <x:c r="A25" s="308">
        <x:f>C2</x:f>
        <x:v>3939000</x:v>
      </x:c>
      <x:c r="B25" s="272"/>
      <x:c r="C25" s="272">
        <x:f>E25/I1</x:f>
        <x:v>4144225</x:v>
      </x:c>
      <x:c r="D25" s="272"/>
      <x:c r="E25" s="272">
        <x:f>SUM('1:20'!$A$25)</x:f>
        <x:v>82884500</x:v>
      </x:c>
      <x:c r="F25" s="272"/>
      <x:c r="G25" s="272"/>
      <x:c r="H25" s="109" t="s">
        <x:v>36</x:v>
      </x:c>
      <x:c r="I25" s="110">
        <x:f>SUM('1:20'!$I$21)</x:f>
        <x:v>0</x:v>
      </x:c>
      <x:c r="J25" s="61" t="s">
        <x:v>36</x:v>
      </x:c>
      <x:c r="K25" s="62">
        <x:f>SUM('1:20'!$K$21)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11700*3.5</x:f>
        <x:v>40950</x:v>
      </x:c>
      <x:c r="G27" s="258"/>
      <x:c r="H27" s="113" t="s">
        <x:v>121</x:v>
      </x:c>
      <x:c r="I27" s="114">
        <x:f>SUM(C27:D34,F27:G32)</x:f>
        <x:v>724191.93548387103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0.18385172264124677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SUM('1:20'!$I$25)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94.502931676907963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13000*3.5</x:f>
        <x:v>45500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C10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21</x:v>
      </x:c>
      <x:c r="G1" s="68" t="s">
        <x:v>18</x:v>
      </x:c>
      <x:c r="H1" s="52" t="s">
        <x:v>126</x:v>
      </x:c>
      <x:c r="I1" s="52">
        <x:f>F1-K1</x:f>
        <x:v>21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5309000</x:v>
      </x:c>
      <x:c r="D2" s="271"/>
      <x:c r="E2" s="274" t="s">
        <x:v>43</x:v>
      </x:c>
      <x:c r="F2" s="275"/>
      <x:c r="G2" s="263">
        <x:v>176500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3843000</x:v>
      </x:c>
      <x:c r="D4" s="258"/>
      <x:c r="E4" s="273" t="s">
        <x:v>149</x:v>
      </x:c>
      <x:c r="F4" s="273"/>
      <x:c r="G4" s="135">
        <x:f>INT(C4*0.0275)</x:f>
        <x:v>105682</x:v>
      </x:c>
      <x:c r="H4" s="54" t="s">
        <x:v>20</x:v>
      </x:c>
      <x:c r="I4" s="126"/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1466000</x:v>
      </x:c>
      <x:c r="D5" s="258"/>
      <x:c r="E5" s="257" t="s">
        <x:v>73</x:v>
      </x:c>
      <x:c r="F5" s="257"/>
      <x:c r="G5" s="135">
        <x:f>INT(C5*0.01)</x:f>
        <x:v>14660</x:v>
      </x:c>
      <x:c r="H5" s="54" t="s">
        <x:v>6</x:v>
      </x:c>
      <x:c r="I5" s="126">
        <x:v>459148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1540000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102500</x:v>
      </x:c>
      <x:c r="D8" s="258"/>
      <x:c r="E8" s="284" t="s">
        <x:v>113</x:v>
      </x:c>
      <x:c r="F8" s="285"/>
      <x:c r="G8" s="290">
        <x:f>C5+G2-G6-C22</x:f>
        <x:v>102500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49000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162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15</x:v>
      </x:c>
      <x:c r="D12" s="284" t="s">
        <x:v>136</x:v>
      </x:c>
      <x:c r="E12" s="285"/>
      <x:c r="F12" s="288">
        <x:v>13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SUM('1:21'!$C$12)</x:f>
        <x:v>302</x:v>
      </x:c>
      <x:c r="D13" s="276"/>
      <x:c r="E13" s="277"/>
      <x:c r="F13" s="286">
        <x:f>SUM('1:21'!$F$12)</x:f>
        <x:v>142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59</x:v>
      </x:c>
      <x:c r="D14" s="284" t="s">
        <x:v>98</x:v>
      </x:c>
      <x:c r="E14" s="285"/>
      <x:c r="F14" s="288">
        <x:v>35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SUM('1:21'!$C$14)</x:f>
        <x:v>861</x:v>
      </x:c>
      <x:c r="D15" s="276"/>
      <x:c r="E15" s="277"/>
      <x:c r="F15" s="286">
        <x:f>SUM('1:21'!$F$14)</x:f>
        <x:v>391</x:v>
      </x:c>
      <x:c r="G15" s="287"/>
      <x:c r="H15" s="54" t="s">
        <x:v>109</x:v>
      </x:c>
      <x:c r="I15" s="58">
        <x:v>188900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10</x:v>
      </x:c>
      <x:c r="D16" s="284" t="s">
        <x:v>120</x:v>
      </x:c>
      <x:c r="E16" s="285"/>
      <x:c r="F16" s="282">
        <x:v>0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SUM('1:21'!$C$16)</x:f>
        <x:v>120</x:v>
      </x:c>
      <x:c r="D17" s="276"/>
      <x:c r="E17" s="277"/>
      <x:c r="F17" s="283">
        <x:f>SUM('1:21'!$F$16)</x:f>
        <x:v>392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67</x:v>
      </x:c>
      <x:c r="D18" s="284" t="s">
        <x:v>133</x:v>
      </x:c>
      <x:c r="E18" s="285"/>
      <x:c r="F18" s="292">
        <x:v>36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SUM('1:21'!$C$18)</x:f>
        <x:v>750</x:v>
      </x:c>
      <x:c r="D19" s="276"/>
      <x:c r="E19" s="277"/>
      <x:c r="F19" s="283">
        <x:f>SUM('1:21'!$F$18)</x:f>
        <x:v>257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71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SUM('1:21'!$F$20)</x:f>
        <x:v>1196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648048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1466000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0.12206592578640045</x:v>
      </x:c>
      <x:c r="J24" s="61" t="s">
        <x:v>8</x:v>
      </x:c>
      <x:c r="K24" s="63">
        <x:f>K23/A25</x:f>
        <x:v>0.0027626043824951338</x:v>
      </x:c>
    </x:row>
    <x:row r="25" spans="1:11" ht="34.149999999999999" customHeight="1">
      <x:c r="A25" s="308">
        <x:f>C2</x:f>
        <x:v>5309000</x:v>
      </x:c>
      <x:c r="B25" s="272"/>
      <x:c r="C25" s="272">
        <x:f>E25/I1</x:f>
        <x:v>4199690.4761904757</x:v>
      </x:c>
      <x:c r="D25" s="272"/>
      <x:c r="E25" s="272">
        <x:f>SUM('1:21'!$A$25)</x:f>
        <x:v>88193500</x:v>
      </x:c>
      <x:c r="F25" s="272"/>
      <x:c r="G25" s="272"/>
      <x:c r="H25" s="109" t="s">
        <x:v>36</x:v>
      </x:c>
      <x:c r="I25" s="110">
        <x:f>SUM('1:21'!$I$21)</x:f>
        <x:v>0</x:v>
      </x:c>
      <x:c r="J25" s="61" t="s">
        <x:v>36</x:v>
      </x:c>
      <x:c r="K25" s="62">
        <x:f>SUM('1:21'!$K$21)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821741.93548387103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0.15478280947143927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SUM('1:21'!$I$25)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83.284371947868408</x:v>
      </x:c>
      <x:c r="M30" s="66"/>
    </x:row>
    <x:row r="31" spans="1:7" customHeight="1">
      <x:c r="A31" s="314"/>
      <x:c r="B31" s="54" t="s">
        <x:v>44</x:v>
      </x:c>
      <x:c r="C31" s="272">
        <x:f>3500000/31</x:f>
        <x:v>112903.22580645161</x:v>
      </x:c>
      <x:c r="D31" s="272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>
        <x:f>14000*5</x:f>
        <x:v>70000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13000*8</x:f>
        <x:v>104000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22</x:v>
      </x:c>
      <x:c r="G1" s="68" t="s">
        <x:v>19</x:v>
      </x:c>
      <x:c r="H1" s="52" t="s">
        <x:v>126</x:v>
      </x:c>
      <x:c r="I1" s="52">
        <x:f>F1-K1</x:f>
        <x:v>22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3400500</x:v>
      </x:c>
      <x:c r="D2" s="271"/>
      <x:c r="E2" s="274" t="s">
        <x:v>43</x:v>
      </x:c>
      <x:c r="F2" s="275"/>
      <x:c r="G2" s="263">
        <x:v>102500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3020500</x:v>
      </x:c>
      <x:c r="D4" s="258"/>
      <x:c r="E4" s="273" t="s">
        <x:v>149</x:v>
      </x:c>
      <x:c r="F4" s="273"/>
      <x:c r="G4" s="135">
        <x:f>INT(C4*0.0275)</x:f>
        <x:v>83063</x:v>
      </x:c>
      <x:c r="H4" s="54" t="s">
        <x:v>20</x:v>
      </x:c>
      <x:c r="I4" s="126"/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380000</x:v>
      </x:c>
      <x:c r="D5" s="258"/>
      <x:c r="E5" s="257" t="s">
        <x:v>73</x:v>
      </x:c>
      <x:c r="F5" s="257"/>
      <x:c r="G5" s="135">
        <x:f>INT(C5*0.01)</x:f>
        <x:v>3800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82500</x:v>
      </x:c>
      <x:c r="D8" s="258"/>
      <x:c r="E8" s="284" t="s">
        <x:v>113</x:v>
      </x:c>
      <x:c r="F8" s="285"/>
      <x:c r="G8" s="290">
        <x:f>C5+G2-G6-C22</x:f>
        <x:v>82500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50000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150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18</x:v>
      </x:c>
      <x:c r="D12" s="284" t="s">
        <x:v>136</x:v>
      </x:c>
      <x:c r="E12" s="285"/>
      <x:c r="F12" s="288">
        <x:v>16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SUM('1:22'!$C$12)</x:f>
        <x:v>320</x:v>
      </x:c>
      <x:c r="D13" s="276"/>
      <x:c r="E13" s="277"/>
      <x:c r="F13" s="286">
        <x:f>SUM('1:22'!$F$12)</x:f>
        <x:v>158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33</x:v>
      </x:c>
      <x:c r="D14" s="284" t="s">
        <x:v>98</x:v>
      </x:c>
      <x:c r="E14" s="285"/>
      <x:c r="F14" s="288">
        <x:v>15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SUM('1:22'!$C$14)</x:f>
        <x:v>894</x:v>
      </x:c>
      <x:c r="D15" s="276"/>
      <x:c r="E15" s="277"/>
      <x:c r="F15" s="286">
        <x:f>SUM('1:22'!$F$14)</x:f>
        <x:v>406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11</x:v>
      </x:c>
      <x:c r="D16" s="284" t="s">
        <x:v>120</x:v>
      </x:c>
      <x:c r="E16" s="285"/>
      <x:c r="F16" s="282">
        <x:v>0</x:v>
      </x:c>
      <x:c r="G16" s="282"/>
      <x:c r="H16" s="54"/>
      <x:c r="I16" s="58"/>
      <x:c r="J16" s="54" t="s">
        <x:v>100</x:v>
      </x:c>
      <x:c r="K16" s="58">
        <x:v>179973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SUM('1:22'!$C$16)</x:f>
        <x:v>131</x:v>
      </x:c>
      <x:c r="D17" s="276"/>
      <x:c r="E17" s="277"/>
      <x:c r="F17" s="283">
        <x:f>SUM('1:22'!$F$16)</x:f>
        <x:v>392</x:v>
      </x:c>
      <x:c r="G17" s="283"/>
      <x:c r="H17" s="54" t="s">
        <x:v>7</x:v>
      </x:c>
      <x:c r="I17" s="58">
        <x:v>4800</x:v>
      </x:c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0</x:v>
      </x:c>
      <x:c r="D18" s="284" t="s">
        <x:v>133</x:v>
      </x:c>
      <x:c r="E18" s="285"/>
      <x:c r="F18" s="292">
        <x:v>17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SUM('1:22'!$C$18)</x:f>
        <x:v>750</x:v>
      </x:c>
      <x:c r="D19" s="276"/>
      <x:c r="E19" s="277"/>
      <x:c r="F19" s="283">
        <x:f>SUM('1:22'!$F$18)</x:f>
        <x:v>274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50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SUM('1:22'!$F$20)</x:f>
        <x:v>1246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4800</x:v>
      </x:c>
      <x:c r="J23" s="61" t="s">
        <x:v>122</x:v>
      </x:c>
      <x:c r="K23" s="62">
        <x:f>SUM(K4:K22)</x:f>
        <x:v>194639.66666666666</x:v>
      </x:c>
      <x:c r="M23" s="90" t="s">
        <x:v>96</x:v>
      </x:c>
      <x:c r="N23" s="279">
        <x:f>C5+C6</x:f>
        <x:v>380000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0.00141155712395236</x:v>
      </x:c>
      <x:c r="J24" s="61" t="s">
        <x:v>8</x:v>
      </x:c>
      <x:c r="K24" s="63">
        <x:f>K23/A25</x:f>
        <x:v>0.05723854335146792</x:v>
      </x:c>
    </x:row>
    <x:row r="25" spans="1:11" ht="34.149999999999999" customHeight="1">
      <x:c r="A25" s="308">
        <x:f>C2</x:f>
        <x:v>3400500</x:v>
      </x:c>
      <x:c r="B25" s="272"/>
      <x:c r="C25" s="272">
        <x:f>E25/I1</x:f>
        <x:v>4163363.6363636362</x:v>
      </x:c>
      <x:c r="D25" s="272"/>
      <x:c r="E25" s="272">
        <x:f>SUM('1:22'!$A$25)</x:f>
        <x:v>91594000</x:v>
      </x:c>
      <x:c r="F25" s="272"/>
      <x:c r="G25" s="272"/>
      <x:c r="H25" s="109" t="s">
        <x:v>36</x:v>
      </x:c>
      <x:c r="I25" s="110">
        <x:f>SUM('1:22'!$I$21)</x:f>
        <x:v>0</x:v>
      </x:c>
      <x:c r="J25" s="61" t="s">
        <x:v>36</x:v>
      </x:c>
      <x:c r="K25" s="62">
        <x:f>SUM('1:22'!$K$21)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710741.93548387103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0.20901100881748891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SUM('1:22'!$I$25)</x:f>
        <x:v>68438261</x:v>
      </x:c>
      <x:c r="M29" s="66"/>
    </x:row>
    <x:row r="30" spans="1:13" ht="30.949999999999999" customHeight="1">
      <x:c r="A30" s="314"/>
      <x:c r="B30" s="55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96.291294467389818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>
        <x:f>14000*4.5</x:f>
        <x:v>63000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26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23</x:v>
      </x:c>
      <x:c r="G1" s="68" t="s">
        <x:v>157</x:v>
      </x:c>
      <x:c r="H1" s="52" t="s">
        <x:v>126</x:v>
      </x:c>
      <x:c r="I1" s="52">
        <x:f>F1-K1</x:f>
        <x:v>23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4388500</x:v>
      </x:c>
      <x:c r="D2" s="271"/>
      <x:c r="E2" s="274" t="s">
        <x:v>43</x:v>
      </x:c>
      <x:c r="F2" s="275"/>
      <x:c r="G2" s="263">
        <x:v>82500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3566500</x:v>
      </x:c>
      <x:c r="D4" s="258"/>
      <x:c r="E4" s="273" t="s">
        <x:v>149</x:v>
      </x:c>
      <x:c r="F4" s="273"/>
      <x:c r="G4" s="135">
        <x:f>INT(C4*0.0275)</x:f>
        <x:v>98078</x:v>
      </x:c>
      <x:c r="H4" s="54" t="s">
        <x:v>20</x:v>
      </x:c>
      <x:c r="I4" s="126">
        <x:f>370175+323004+183939+477600+272750</x:f>
        <x:v>1627468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822000</x:v>
      </x:c>
      <x:c r="D5" s="258"/>
      <x:c r="E5" s="257" t="s">
        <x:v>73</x:v>
      </x:c>
      <x:c r="F5" s="257"/>
      <x:c r="G5" s="135">
        <x:v>0</x:v>
      </x:c>
      <x:c r="H5" s="54" t="s">
        <x:v>6</x:v>
      </x:c>
      <x:c r="I5" s="126">
        <x:f>36080+59312+38940+34540+68600+50000+72000+13620+5810+15700</x:f>
        <x:v>394602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840000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64500</x:v>
      </x:c>
      <x:c r="D8" s="258"/>
      <x:c r="E8" s="284" t="s">
        <x:v>113</x:v>
      </x:c>
      <x:c r="F8" s="285"/>
      <x:c r="G8" s="290">
        <x:f>C5+G2-G6-C22</x:f>
        <x:v>64500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>
        <x:v>6000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13</x:v>
      </x:c>
      <x:c r="D12" s="284" t="s">
        <x:v>136</x:v>
      </x:c>
      <x:c r="E12" s="285"/>
      <x:c r="F12" s="288">
        <x:v>8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SUM('1:23'!$C$12)</x:f>
        <x:v>333</x:v>
      </x:c>
      <x:c r="D13" s="276"/>
      <x:c r="E13" s="277"/>
      <x:c r="F13" s="286">
        <x:f>SUM('1:23'!$F$12)</x:f>
        <x:v>166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45</x:v>
      </x:c>
      <x:c r="D14" s="284" t="s">
        <x:v>98</x:v>
      </x:c>
      <x:c r="E14" s="285"/>
      <x:c r="F14" s="288">
        <x:v>11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SUM('1:23'!$C$14)</x:f>
        <x:v>939</x:v>
      </x:c>
      <x:c r="D15" s="276"/>
      <x:c r="E15" s="277"/>
      <x:c r="F15" s="286">
        <x:f>SUM('1:23'!$F$14)</x:f>
        <x:v>417</x:v>
      </x:c>
      <x:c r="G15" s="287"/>
      <x:c r="H15" s="54" t="s">
        <x:v>109</x:v>
      </x:c>
      <x:c r="I15" s="58">
        <x:f>21600+11800+52000+13500+25000+3500+2550+3200</x:f>
        <x:v>133150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7</x:v>
      </x:c>
      <x:c r="D16" s="284" t="s">
        <x:v>120</x:v>
      </x:c>
      <x:c r="E16" s="285"/>
      <x:c r="F16" s="282">
        <x:v>15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SUM('1:23'!$C$16)</x:f>
        <x:v>138</x:v>
      </x:c>
      <x:c r="D17" s="276"/>
      <x:c r="E17" s="277"/>
      <x:c r="F17" s="283">
        <x:f>SUM('1:23'!$F$16)</x:f>
        <x:v>407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42</x:v>
      </x:c>
      <x:c r="D18" s="284" t="s">
        <x:v>133</x:v>
      </x:c>
      <x:c r="E18" s="285"/>
      <x:c r="F18" s="292">
        <x:v>11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SUM('1:23'!$C$18)</x:f>
        <x:v>792</x:v>
      </x:c>
      <x:c r="D19" s="276"/>
      <x:c r="E19" s="277"/>
      <x:c r="F19" s="283">
        <x:f>SUM('1:23'!$F$18)</x:f>
        <x:v>285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SUM('1:23'!$F$20)</x:f>
        <x:v>1313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2213220</x:v>
      </x:c>
      <x:c r="J23" s="61" t="s">
        <x:v>122</x:v>
      </x:c>
      <x:c r="K23" s="62">
        <x:f>SUM(K4:K22)</x:f>
        <x:v>20666.666666666664</x:v>
      </x:c>
      <x:c r="M23" s="90" t="s">
        <x:v>96</x:v>
      </x:c>
      <x:c r="N23" s="279">
        <x:f>C5+C6</x:f>
        <x:v>822000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0.50432266150165206</x:v>
      </x:c>
      <x:c r="J24" s="61" t="s">
        <x:v>8</x:v>
      </x:c>
      <x:c r="K24" s="63">
        <x:f>K23/A25</x:f>
        <x:v>0.0047092780372944435</x:v>
      </x:c>
    </x:row>
    <x:row r="25" spans="1:11" ht="34.149999999999999" customHeight="1">
      <x:c r="A25" s="308">
        <x:f>C2</x:f>
        <x:v>4388500</x:v>
      </x:c>
      <x:c r="B25" s="272"/>
      <x:c r="C25" s="272">
        <x:f>E25/I1</x:f>
        <x:v>4173152.1739130435</x:v>
      </x:c>
      <x:c r="D25" s="272"/>
      <x:c r="E25" s="272">
        <x:f>SUM('1:23'!$A$25)</x:f>
        <x:v>95982500</x:v>
      </x:c>
      <x:c r="F25" s="272"/>
      <x:c r="G25" s="272"/>
      <x:c r="H25" s="109" t="s">
        <x:v>36</x:v>
      </x:c>
      <x:c r="I25" s="110">
        <x:f>SUM('1:23'!$I$21)</x:f>
        <x:v>0</x:v>
      </x:c>
      <x:c r="J25" s="61" t="s">
        <x:v>36</x:v>
      </x:c>
      <x:c r="K25" s="62">
        <x:f>SUM('1:23'!$K$21)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11700*5</x:f>
        <x:v>58500</x:v>
      </x:c>
      <x:c r="G27" s="258"/>
      <x:c r="H27" s="113" t="s">
        <x:v>121</x:v>
      </x:c>
      <x:c r="I27" s="114">
        <x:f>SUM(C27:D34,F27:G32)</x:f>
        <x:v>819741.93548387103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0.18679319482371448</x:v>
      </x:c>
      <x:c r="M28" s="66" t="s">
        <x:v>66</x:v>
      </x:c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SUM('1:23'!$I$25)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83.48756851093971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13000*9.5</x:f>
        <x:v>123500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24</x:v>
      </x:c>
      <x:c r="G1" s="68" t="s">
        <x:v>65</x:v>
      </x:c>
      <x:c r="H1" s="52" t="s">
        <x:v>126</x:v>
      </x:c>
      <x:c r="I1" s="52">
        <x:f>F1-K1</x:f>
        <x:v>24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4276000</x:v>
      </x:c>
      <x:c r="D2" s="271"/>
      <x:c r="E2" s="274" t="s">
        <x:v>43</x:v>
      </x:c>
      <x:c r="F2" s="275"/>
      <x:c r="G2" s="263">
        <x:v>64500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3462000</x:v>
      </x:c>
      <x:c r="D4" s="258"/>
      <x:c r="E4" s="273" t="s">
        <x:v>149</x:v>
      </x:c>
      <x:c r="F4" s="273"/>
      <x:c r="G4" s="135">
        <x:f>INT(C4*0.0275)</x:f>
        <x:v>95205</x:v>
      </x:c>
      <x:c r="H4" s="54" t="s">
        <x:v>20</x:v>
      </x:c>
      <x:c r="I4" s="126">
        <x:f>56220+1356000+204425+310769</x:f>
        <x:v>1927414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814000</x:v>
      </x:c>
      <x:c r="D5" s="258"/>
      <x:c r="E5" s="257" t="s">
        <x:v>73</x:v>
      </x:c>
      <x:c r="F5" s="257"/>
      <x:c r="G5" s="135">
        <x:f>INT(C5*0.01)</x:f>
        <x:v>8140</x:v>
      </x:c>
      <x:c r="H5" s="54" t="s">
        <x:v>6</x:v>
      </x:c>
      <x:c r="I5" s="126">
        <x:f>50000+72000+29656+36080</x:f>
        <x:v>187736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760000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f>-23400</x:f>
        <x:v>-23400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121500</x:v>
      </x:c>
      <x:c r="D8" s="258"/>
      <x:c r="E8" s="284" t="s">
        <x:v>113</x:v>
      </x:c>
      <x:c r="F8" s="285"/>
      <x:c r="G8" s="290">
        <x:f>C5+G2-G6-C22</x:f>
        <x:v>118500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50000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159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7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SUM('1:24'!$C$12)</x:f>
        <x:v>344</x:v>
      </x:c>
      <x:c r="D13" s="276"/>
      <x:c r="E13" s="277"/>
      <x:c r="F13" s="286">
        <x:f>SUM('1:24'!$F$12)</x:f>
        <x:v>173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76</x:v>
      </x:c>
      <x:c r="D14" s="284" t="s">
        <x:v>98</x:v>
      </x:c>
      <x:c r="E14" s="285"/>
      <x:c r="F14" s="288">
        <x:v>11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SUM('1:24'!$C$14)</x:f>
        <x:v>1015</x:v>
      </x:c>
      <x:c r="D15" s="276"/>
      <x:c r="E15" s="277"/>
      <x:c r="F15" s="286">
        <x:f>SUM('1:24'!$F$14)</x:f>
        <x:v>428</x:v>
      </x:c>
      <x:c r="G15" s="287"/>
      <x:c r="H15" s="54" t="s">
        <x:v>109</x:v>
      </x:c>
      <x:c r="I15" s="58">
        <x:v>130500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2</x:v>
      </x:c>
      <x:c r="D16" s="284" t="s">
        <x:v>120</x:v>
      </x:c>
      <x:c r="E16" s="285"/>
      <x:c r="F16" s="282">
        <x:v>23</x:v>
      </x:c>
      <x:c r="G16" s="282"/>
      <x:c r="H16" s="54"/>
      <x:c r="I16" s="58"/>
      <x:c r="J16" s="54" t="s">
        <x:v>100</x:v>
      </x:c>
      <x:c r="K16" s="58">
        <x:v>43350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SUM('1:24'!$C$16)</x:f>
        <x:v>140</x:v>
      </x:c>
      <x:c r="D17" s="276"/>
      <x:c r="E17" s="277"/>
      <x:c r="F17" s="283">
        <x:f>SUM('1:24'!$F$16)</x:f>
        <x:v>430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31</x:v>
      </x:c>
      <x:c r="D18" s="284" t="s">
        <x:v>133</x:v>
      </x:c>
      <x:c r="E18" s="285"/>
      <x:c r="F18" s="292">
        <x:v>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SUM('1:24'!$C$18)</x:f>
        <x:v>823</x:v>
      </x:c>
      <x:c r="D19" s="276"/>
      <x:c r="E19" s="277"/>
      <x:c r="F19" s="283">
        <x:f>SUM('1:24'!$F$18)</x:f>
        <x:v>292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63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SUM('1:24'!$F$20)</x:f>
        <x:v>1376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2222250</x:v>
      </x:c>
      <x:c r="J23" s="61" t="s">
        <x:v>122</x:v>
      </x:c>
      <x:c r="K23" s="62">
        <x:f>SUM(K4:K22)</x:f>
        <x:v>58016.666666666664</x:v>
      </x:c>
      <x:c r="M23" s="90" t="s">
        <x:v>96</x:v>
      </x:c>
      <x:c r="N23" s="279">
        <x:f>C5+C6</x:f>
        <x:v>814000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0.51970299345182414</x:v>
      </x:c>
      <x:c r="J24" s="61" t="s">
        <x:v>8</x:v>
      </x:c>
      <x:c r="K24" s="63">
        <x:f>K23/A25</x:f>
        <x:v>0.013567976301839726</x:v>
      </x:c>
    </x:row>
    <x:row r="25" spans="1:11" ht="34.149999999999999" customHeight="1">
      <x:c r="A25" s="308">
        <x:f>C2</x:f>
        <x:v>4276000</x:v>
      </x:c>
      <x:c r="B25" s="272"/>
      <x:c r="C25" s="272">
        <x:f>E25/I1</x:f>
        <x:v>4177437.5</x:v>
      </x:c>
      <x:c r="D25" s="272"/>
      <x:c r="E25" s="272">
        <x:f>SUM('1:24'!$A$25)</x:f>
        <x:v>100258500</x:v>
      </x:c>
      <x:c r="F25" s="272"/>
      <x:c r="G25" s="272"/>
      <x:c r="H25" s="109" t="s">
        <x:v>36</x:v>
      </x:c>
      <x:c r="I25" s="110">
        <x:f>SUM('1:24'!$I$21)</x:f>
        <x:v>0</x:v>
      </x:c>
      <x:c r="J25" s="61" t="s">
        <x:v>36</x:v>
      </x:c>
      <x:c r="K25" s="62">
        <x:f>SUM('1:24'!$K$21)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11700*4</x:f>
        <x:v>46800</x:v>
      </x:c>
      <x:c r="G27" s="258"/>
      <x:c r="H27" s="113" t="s">
        <x:v>121</x:v>
      </x:c>
      <x:c r="I27" s="114">
        <x:f>SUM(C27:D34,F27:G32)</x:f>
        <x:v>795041.93548387103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v>50000</x:v>
      </x:c>
      <x:c r="G28" s="272"/>
      <x:c r="H28" s="113" t="s">
        <x:v>8</x:v>
      </x:c>
      <x:c r="I28" s="115">
        <x:f>I27/$A$25</x:f>
        <x:v>0.18593122906545159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SUM('1:24'!$I$25)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86.081322186291644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13000*8.5</x:f>
        <x:v>110500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23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25</x:v>
      </x:c>
      <x:c r="G1" s="68" t="s">
        <x:v>29</x:v>
      </x:c>
      <x:c r="H1" s="52" t="s">
        <x:v>126</x:v>
      </x:c>
      <x:c r="I1" s="52">
        <x:f>F1-K1</x:f>
        <x:v>25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5706000</x:v>
      </x:c>
      <x:c r="D2" s="271"/>
      <x:c r="E2" s="274" t="s">
        <x:v>43</x:v>
      </x:c>
      <x:c r="F2" s="275"/>
      <x:c r="G2" s="263">
        <x:v>121500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4461000</x:v>
      </x:c>
      <x:c r="D4" s="258"/>
      <x:c r="E4" s="273" t="s">
        <x:v>149</x:v>
      </x:c>
      <x:c r="F4" s="273"/>
      <x:c r="G4" s="135">
        <x:f>INT(C4*0.0275)</x:f>
        <x:v>122677</x:v>
      </x:c>
      <x:c r="H4" s="54" t="s">
        <x:v>20</x:v>
      </x:c>
      <x:c r="I4" s="126">
        <x:f>452000+221000+261840+206528+577492</x:f>
        <x:v>1718860</x:v>
      </x:c>
      <x:c r="J4" s="82" t="s">
        <x:v>39</x:v>
      </x:c>
      <x:c r="K4" s="58">
        <x:v>244400</x:v>
      </x:c>
    </x:row>
    <x:row r="5" spans="1:11" ht="30.949999999999999" customHeight="1">
      <x:c r="A5" s="265" t="s">
        <x:v>64</x:v>
      </x:c>
      <x:c r="B5" s="266"/>
      <x:c r="C5" s="258">
        <x:v>1245000</x:v>
      </x:c>
      <x:c r="D5" s="258"/>
      <x:c r="E5" s="257" t="s">
        <x:v>73</x:v>
      </x:c>
      <x:c r="F5" s="257"/>
      <x:c r="G5" s="135">
        <x:f>INT(C5*0.01)</x:f>
        <x:v>12450</x:v>
      </x:c>
      <x:c r="H5" s="54" t="s">
        <x:v>6</x:v>
      </x:c>
      <x:c r="I5" s="126">
        <x:f>29656+50000+36000+13620+16940</x:f>
        <x:v>146216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1240000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127500</x:v>
      </x:c>
      <x:c r="D8" s="258"/>
      <x:c r="E8" s="284" t="s">
        <x:v>113</x:v>
      </x:c>
      <x:c r="F8" s="285"/>
      <x:c r="G8" s="290">
        <x:f>C5+G2-G6-C22</x:f>
        <x:v>126500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180000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151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11</x:v>
      </x:c>
      <x:c r="D12" s="284" t="s">
        <x:v>136</x:v>
      </x:c>
      <x:c r="E12" s="285"/>
      <x:c r="F12" s="288">
        <x:v>19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SUM('1:25'!$C$12)</x:f>
        <x:v>355</x:v>
      </x:c>
      <x:c r="D13" s="276"/>
      <x:c r="E13" s="277"/>
      <x:c r="F13" s="286">
        <x:f>SUM('1:25'!$F$12)</x:f>
        <x:v>192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45</x:v>
      </x:c>
      <x:c r="D14" s="284" t="s">
        <x:v>98</x:v>
      </x:c>
      <x:c r="E14" s="285"/>
      <x:c r="F14" s="288">
        <x:v>17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SUM('1:25'!$C$14)</x:f>
        <x:v>1060</x:v>
      </x:c>
      <x:c r="D15" s="276"/>
      <x:c r="E15" s="277"/>
      <x:c r="F15" s="286">
        <x:f>SUM('1:25'!$F$14)</x:f>
        <x:v>445</x:v>
      </x:c>
      <x:c r="G15" s="287"/>
      <x:c r="H15" s="54" t="s">
        <x:v>109</x:v>
      </x:c>
      <x:c r="I15" s="58">
        <x:v>397550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9</x:v>
      </x:c>
      <x:c r="D16" s="284" t="s">
        <x:v>120</x:v>
      </x:c>
      <x:c r="E16" s="285"/>
      <x:c r="F16" s="282">
        <x:v>37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SUM('1:25'!$C$16)</x:f>
        <x:v>149</x:v>
      </x:c>
      <x:c r="D17" s="276"/>
      <x:c r="E17" s="277"/>
      <x:c r="F17" s="283">
        <x:f>SUM('1:25'!$F$16)</x:f>
        <x:v>467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/>
      <x:c r="D18" s="284" t="s">
        <x:v>133</x:v>
      </x:c>
      <x:c r="E18" s="285"/>
      <x:c r="F18" s="292">
        <x:v>17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SUM('1:25'!$C$18)</x:f>
        <x:v>823</x:v>
      </x:c>
      <x:c r="D19" s="276"/>
      <x:c r="E19" s="277"/>
      <x:c r="F19" s="283">
        <x:f>SUM('1:25'!$F$18)</x:f>
        <x:v>309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81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SUM('1:25'!$F$20)</x:f>
        <x:v>1457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2320626</x:v>
      </x:c>
      <x:c r="J23" s="61" t="s">
        <x:v>122</x:v>
      </x:c>
      <x:c r="K23" s="62">
        <x:f>SUM(K4:K22)</x:f>
        <x:v>259066.66666666666</x:v>
      </x:c>
      <x:c r="M23" s="90" t="s">
        <x:v>96</x:v>
      </x:c>
      <x:c r="N23" s="279">
        <x:f>C5+C6</x:f>
        <x:v>1245000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0.40669926393270239</x:v>
      </x:c>
      <x:c r="J24" s="61" t="s">
        <x:v>8</x:v>
      </x:c>
      <x:c r="K24" s="63">
        <x:f>K23/A25</x:f>
        <x:v>0.045402500292090198</x:v>
      </x:c>
    </x:row>
    <x:row r="25" spans="1:11" ht="34.149999999999999" customHeight="1">
      <x:c r="A25" s="308">
        <x:f>C2</x:f>
        <x:v>5706000</x:v>
      </x:c>
      <x:c r="B25" s="272"/>
      <x:c r="C25" s="272">
        <x:f>E25/I1</x:f>
        <x:v>4238580</x:v>
      </x:c>
      <x:c r="D25" s="272"/>
      <x:c r="E25" s="272">
        <x:f>SUM('1:25'!$A$25)</x:f>
        <x:v>105964500</x:v>
      </x:c>
      <x:c r="F25" s="272"/>
      <x:c r="G25" s="272"/>
      <x:c r="H25" s="109" t="s">
        <x:v>36</x:v>
      </x:c>
      <x:c r="I25" s="110">
        <x:f>SUM('1:25'!$I$21)</x:f>
        <x:v>0</x:v>
      </x:c>
      <x:c r="J25" s="61" t="s">
        <x:v>36</x:v>
      </x:c>
      <x:c r="K25" s="62">
        <x:f>SUM('1:25'!$K$21)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11700*4.5</x:f>
        <x:v>52650</x:v>
      </x:c>
      <x:c r="G27" s="258"/>
      <x:c r="H27" s="113" t="s">
        <x:v>121</x:v>
      </x:c>
      <x:c r="I27" s="114">
        <x:f>SUM(C27:D34,F27:G32)</x:f>
        <x:v>752391.93548387103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0.13185978539850526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SUM('1:25'!$I$25)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90.960917804078605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26</x:v>
      </x:c>
      <x:c r="G1" s="68" t="s">
        <x:v>53</x:v>
      </x:c>
      <x:c r="H1" s="52" t="s">
        <x:v>126</x:v>
      </x:c>
      <x:c r="I1" s="52">
        <x:f>F1-K1</x:f>
        <x:v>26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5702500</x:v>
      </x:c>
      <x:c r="D2" s="271"/>
      <x:c r="E2" s="274" t="s">
        <x:v>43</x:v>
      </x:c>
      <x:c r="F2" s="275"/>
      <x:c r="G2" s="263">
        <x:v>127500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5235500</x:v>
      </x:c>
      <x:c r="D4" s="258"/>
      <x:c r="E4" s="273" t="s">
        <x:v>149</x:v>
      </x:c>
      <x:c r="F4" s="273"/>
      <x:c r="G4" s="135">
        <x:f>INT(C4*0.0275)</x:f>
        <x:v>143976</x:v>
      </x:c>
      <x:c r="H4" s="54" t="s">
        <x:v>20</x:v>
      </x:c>
      <x:c r="I4" s="126">
        <x:f>477600+452000+221000+259658</x:f>
        <x:v>1410258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467000</x:v>
      </x:c>
      <x:c r="D5" s="258"/>
      <x:c r="E5" s="257" t="s">
        <x:v>73</x:v>
      </x:c>
      <x:c r="F5" s="257"/>
      <x:c r="G5" s="135">
        <x:f>INT(C5*0.01)</x:f>
        <x:v>4670</x:v>
      </x:c>
      <x:c r="H5" s="54" t="s">
        <x:v>6</x:v>
      </x:c>
      <x:c r="I5" s="126">
        <x:f>23650+41250+29656+36080+50000</x:f>
        <x:v>180636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549100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194500</x:v>
      </x:c>
      <x:c r="D8" s="258"/>
      <x:c r="E8" s="284" t="s">
        <x:v>113</x:v>
      </x:c>
      <x:c r="F8" s="285"/>
      <x:c r="G8" s="290">
        <x:f>C5+G2-G6-C22</x:f>
        <x:v>194500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/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22</x:v>
      </x:c>
      <x:c r="D12" s="284" t="s">
        <x:v>136</x:v>
      </x:c>
      <x:c r="E12" s="285"/>
      <x:c r="F12" s="288">
        <x:v>19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SUM('1:26'!$C$12)</x:f>
        <x:v>377</x:v>
      </x:c>
      <x:c r="D13" s="276"/>
      <x:c r="E13" s="277"/>
      <x:c r="F13" s="286">
        <x:f>SUM('1:26'!$F$12)</x:f>
        <x:v>211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48</x:v>
      </x:c>
      <x:c r="D14" s="284" t="s">
        <x:v>98</x:v>
      </x:c>
      <x:c r="E14" s="285"/>
      <x:c r="F14" s="288">
        <x:v>17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SUM('1:26'!$C$14)</x:f>
        <x:v>1108</x:v>
      </x:c>
      <x:c r="D15" s="276"/>
      <x:c r="E15" s="277"/>
      <x:c r="F15" s="286">
        <x:f>SUM('1:26'!$F$14)</x:f>
        <x:v>462</x:v>
      </x:c>
      <x:c r="G15" s="287"/>
      <x:c r="H15" s="54" t="s">
        <x:v>109</x:v>
      </x:c>
      <x:c r="I15" s="58">
        <x:f>9800+13000+5500+11800+13500+57600+3500+10500+4500</x:f>
        <x:v>129700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5</x:v>
      </x:c>
      <x:c r="D16" s="284" t="s">
        <x:v>120</x:v>
      </x:c>
      <x:c r="E16" s="285"/>
      <x:c r="F16" s="282">
        <x:v>32</x:v>
      </x:c>
      <x:c r="G16" s="282"/>
      <x:c r="H16" s="54"/>
      <x:c r="I16" s="58"/>
      <x:c r="J16" s="54" t="s">
        <x:v>100</x:v>
      </x:c>
      <x:c r="K16" s="58">
        <x:v>186808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SUM('1:26'!$C$16)</x:f>
        <x:v>154</x:v>
      </x:c>
      <x:c r="D17" s="276"/>
      <x:c r="E17" s="277"/>
      <x:c r="F17" s="283">
        <x:f>SUM('1:26'!$F$16)</x:f>
        <x:v>499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48</x:v>
      </x:c>
      <x:c r="D18" s="284" t="s">
        <x:v>133</x:v>
      </x:c>
      <x:c r="E18" s="285"/>
      <x:c r="F18" s="292">
        <x:v>16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SUM('1:26'!$C$18)</x:f>
        <x:v>871</x:v>
      </x:c>
      <x:c r="D19" s="276"/>
      <x:c r="E19" s="277"/>
      <x:c r="F19" s="283">
        <x:f>SUM('1:26'!$F$18)</x:f>
        <x:v>325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72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SUM('1:26'!$F$20)</x:f>
        <x:v>1529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2269694</x:v>
      </x:c>
      <x:c r="J23" s="61" t="s">
        <x:v>122</x:v>
      </x:c>
      <x:c r="K23" s="62">
        <x:f>SUM(K4:K22)</x:f>
        <x:v>201474.66666666666</x:v>
      </x:c>
      <x:c r="M23" s="90" t="s">
        <x:v>96</x:v>
      </x:c>
      <x:c r="N23" s="279">
        <x:f>C5+C6</x:f>
        <x:v>467000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0.39801736080666372</x:v>
      </x:c>
      <x:c r="J24" s="61" t="s">
        <x:v>8</x:v>
      </x:c>
      <x:c r="K24" s="63">
        <x:f>K23/A25</x:f>
        <x:v>0.035330936723659209</x:v>
      </x:c>
    </x:row>
    <x:row r="25" spans="1:11" ht="34.149999999999999" customHeight="1">
      <x:c r="A25" s="308">
        <x:f>C2</x:f>
        <x:v>5702500</x:v>
      </x:c>
      <x:c r="B25" s="272"/>
      <x:c r="C25" s="353">
        <x:f>E25/I1</x:f>
        <x:v>4294884.615384615</x:v>
      </x:c>
      <x:c r="D25" s="272"/>
      <x:c r="E25" s="272">
        <x:f>SUM('1:26'!$A$25)</x:f>
        <x:v>111667000</x:v>
      </x:c>
      <x:c r="F25" s="272"/>
      <x:c r="G25" s="272"/>
      <x:c r="H25" s="109" t="s">
        <x:v>36</x:v>
      </x:c>
      <x:c r="I25" s="110">
        <x:f>SUM('1:26'!$I$21)</x:f>
        <x:v>0</x:v>
      </x:c>
      <x:c r="J25" s="61" t="s">
        <x:v>36</x:v>
      </x:c>
      <x:c r="K25" s="62">
        <x:f>SUM('1:26'!$K$21)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11700*4</x:f>
        <x:v>46800</x:v>
      </x:c>
      <x:c r="G27" s="258"/>
      <x:c r="H27" s="113" t="s">
        <x:v>121</x:v>
      </x:c>
      <x:c r="I27" s="114">
        <x:f>SUM(C27:D34,F27:G32)</x:f>
        <x:v>757541.93548387103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0.13284382910721104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SUM('1:26'!$I$25)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90.342537877174891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>
        <x:f>14000*4.5</x:f>
        <x:v>63000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19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27</x:v>
      </x:c>
      <x:c r="G1" s="68" t="s">
        <x:v>31</x:v>
      </x:c>
      <x:c r="H1" s="52" t="s">
        <x:v>126</x:v>
      </x:c>
      <x:c r="I1" s="52">
        <x:f>F1-K1</x:f>
        <x:v>27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5623000</x:v>
      </x:c>
      <x:c r="D2" s="271"/>
      <x:c r="E2" s="274" t="s">
        <x:v>43</x:v>
      </x:c>
      <x:c r="F2" s="275"/>
      <x:c r="G2" s="263">
        <x:v>194500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4849500</x:v>
      </x:c>
      <x:c r="D4" s="258"/>
      <x:c r="E4" s="273" t="s">
        <x:v>149</x:v>
      </x:c>
      <x:c r="F4" s="273"/>
      <x:c r="G4" s="135">
        <x:f>INT(C4*0.0275)</x:f>
        <x:v>133361</x:v>
      </x:c>
      <x:c r="H4" s="54" t="s">
        <x:v>20</x:v>
      </x:c>
      <x:c r="I4" s="126">
        <x:f>452000+82875+183939+325451</x:f>
        <x:v>1044265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773500</x:v>
      </x:c>
      <x:c r="D5" s="258"/>
      <x:c r="E5" s="257" t="s">
        <x:v>73</x:v>
      </x:c>
      <x:c r="F5" s="257"/>
      <x:c r="G5" s="135">
        <x:f>INT(C5*0.01)</x:f>
        <x:v>7735</x:v>
      </x:c>
      <x:c r="H5" s="54" t="s">
        <x:v>6</x:v>
      </x:c>
      <x:c r="I5" s="126">
        <x:f>88968+40700+100000+27240+39060</x:f>
        <x:v>295968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850000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f>502020-19700</x:f>
        <x:v>482320</x:v>
      </x:c>
      <x:c r="J7" s="83" t="s">
        <x:v>119</x:v>
      </x:c>
      <x:c r="K7" s="58">
        <x:v>12500</x:v>
      </x:c>
    </x:row>
    <x:row r="8" spans="1:11" ht="21.949999999999999" customHeight="1">
      <x:c r="A8" s="256" t="s">
        <x:v>137</x:v>
      </x:c>
      <x:c r="B8" s="257"/>
      <x:c r="C8" s="258">
        <x:v>118000</x:v>
      </x:c>
      <x:c r="D8" s="258"/>
      <x:c r="E8" s="284" t="s">
        <x:v>113</x:v>
      </x:c>
      <x:c r="F8" s="285"/>
      <x:c r="G8" s="290">
        <x:f>C5+G2-G6-C22</x:f>
        <x:v>118000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50000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70</x:v>
      </x:c>
      <x:c r="D11" s="296"/>
      <x:c r="E11" s="296"/>
      <x:c r="F11" s="296"/>
      <x:c r="G11" s="296"/>
      <x:c r="H11" s="54" t="s">
        <x:v>61</x:v>
      </x:c>
      <x:c r="I11" s="58">
        <x:v>100000</x:v>
      </x:c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29</x:v>
      </x:c>
      <x:c r="D12" s="284" t="s">
        <x:v>136</x:v>
      </x:c>
      <x:c r="E12" s="285"/>
      <x:c r="F12" s="288">
        <x:v>13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SUM('1:27'!$C$12)</x:f>
        <x:v>406</x:v>
      </x:c>
      <x:c r="D13" s="276"/>
      <x:c r="E13" s="277"/>
      <x:c r="F13" s="286">
        <x:f>SUM('1:27'!$F$12)</x:f>
        <x:v>224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62</x:v>
      </x:c>
      <x:c r="D14" s="284" t="s">
        <x:v>98</x:v>
      </x:c>
      <x:c r="E14" s="285"/>
      <x:c r="F14" s="288">
        <x:v>21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SUM('1:27'!$C$14)</x:f>
        <x:v>1170</x:v>
      </x:c>
      <x:c r="D15" s="276"/>
      <x:c r="E15" s="277"/>
      <x:c r="F15" s="286">
        <x:f>SUM('1:27'!$F$14)</x:f>
        <x:v>483</x:v>
      </x:c>
      <x:c r="G15" s="287"/>
      <x:c r="H15" s="54" t="s">
        <x:v>109</x:v>
      </x:c>
      <x:c r="I15" s="58">
        <x:f>19200+6500+5500+13500+11800+8500+12000+43200+52000+6200+3500+14700</x:f>
        <x:v>196600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9</x:v>
      </x:c>
      <x:c r="D16" s="284" t="s">
        <x:v>120</x:v>
      </x:c>
      <x:c r="E16" s="285"/>
      <x:c r="F16" s="282">
        <x:v>11</x:v>
      </x:c>
      <x:c r="G16" s="282"/>
      <x:c r="H16" s="54"/>
      <x:c r="I16" s="58"/>
      <x:c r="J16" s="54" t="s">
        <x:v>100</x:v>
      </x:c>
      <x:c r="K16" s="58">
        <x:v>358880</x:v>
      </x:c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SUM('1:27'!$C$16)</x:f>
        <x:v>163</x:v>
      </x:c>
      <x:c r="D17" s="276"/>
      <x:c r="E17" s="277"/>
      <x:c r="F17" s="283">
        <x:f>SUM('1:27'!$F$16)</x:f>
        <x:v>510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49</x:v>
      </x:c>
      <x:c r="D18" s="284" t="s">
        <x:v>133</x:v>
      </x:c>
      <x:c r="E18" s="285"/>
      <x:c r="F18" s="292">
        <x:v>15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SUM('1:27'!$C$18)</x:f>
        <x:v>920</x:v>
      </x:c>
      <x:c r="D19" s="276"/>
      <x:c r="E19" s="277"/>
      <x:c r="F19" s="283">
        <x:f>SUM('1:27'!$F$18)</x:f>
        <x:v>340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82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SUM('1:27'!$F$20)</x:f>
        <x:v>1611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2177153</x:v>
      </x:c>
      <x:c r="J23" s="61" t="s">
        <x:v>122</x:v>
      </x:c>
      <x:c r="K23" s="62">
        <x:f>SUM(K4:K22)</x:f>
        <x:v>386046.66666666669</x:v>
      </x:c>
      <x:c r="M23" s="90" t="s">
        <x:v>96</x:v>
      </x:c>
      <x:c r="N23" s="279">
        <x:f>C5+C6</x:f>
        <x:v>773500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0.38718708874266405</x:v>
      </x:c>
      <x:c r="J24" s="61" t="s">
        <x:v>8</x:v>
      </x:c>
      <x:c r="K24" s="63">
        <x:f>K23/A25</x:f>
        <x:v>0.06865492915999763</x:v>
      </x:c>
    </x:row>
    <x:row r="25" spans="1:11" ht="34.149999999999999" customHeight="1">
      <x:c r="A25" s="308">
        <x:f>C2</x:f>
        <x:v>5623000</x:v>
      </x:c>
      <x:c r="B25" s="272"/>
      <x:c r="C25" s="272">
        <x:f>E25/I1</x:f>
        <x:v>4344074.0740740737</x:v>
      </x:c>
      <x:c r="D25" s="272"/>
      <x:c r="E25" s="272">
        <x:f>SUM('1:27'!$A$25)</x:f>
        <x:v>117290000</x:v>
      </x:c>
      <x:c r="F25" s="272"/>
      <x:c r="G25" s="272"/>
      <x:c r="H25" s="109" t="s">
        <x:v>36</x:v>
      </x:c>
      <x:c r="I25" s="110">
        <x:f>SUM('1:27'!$I$21)</x:f>
        <x:v>0</x:v>
      </x:c>
      <x:c r="J25" s="61" t="s">
        <x:v>36</x:v>
      </x:c>
      <x:c r="K25" s="62">
        <x:f>SUM('1:27'!$K$21)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11700*5.25</x:f>
        <x:v>61425</x:v>
      </x:c>
      <x:c r="G27" s="258"/>
      <x:c r="H27" s="113" t="s">
        <x:v>121</x:v>
      </x:c>
      <x:c r="I27" s="114">
        <x:f>SUM(C27:D34,F27:G32)</x:f>
        <x:v>711166.93548387103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0.12647464618244195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SUM('1:27'!$I$25)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96.233749890854071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132000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/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19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28</x:v>
      </x:c>
      <x:c r="G1" s="68" t="s">
        <x:v>18</x:v>
      </x:c>
      <x:c r="H1" s="52" t="s">
        <x:v>126</x:v>
      </x:c>
      <x:c r="I1" s="52">
        <x:f>F1-K1</x:f>
        <x:v>28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5062000</x:v>
      </x:c>
      <x:c r="D2" s="271"/>
      <x:c r="E2" s="274" t="s">
        <x:v>43</x:v>
      </x:c>
      <x:c r="F2" s="275"/>
      <x:c r="G2" s="263">
        <x:v>118000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4188000</x:v>
      </x:c>
      <x:c r="D4" s="258"/>
      <x:c r="E4" s="273" t="s">
        <x:v>149</x:v>
      </x:c>
      <x:c r="F4" s="273"/>
      <x:c r="G4" s="135">
        <x:f>INT(C4*0.0275)</x:f>
        <x:v>115170</x:v>
      </x:c>
      <x:c r="H4" s="54" t="s">
        <x:v>20</x:v>
      </x:c>
      <x:c r="I4" s="126">
        <x:f>56220+30650+477600+221000+506224+480823+10+601962+452000</x:f>
        <x:v>2826489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874000</x:v>
      </x:c>
      <x:c r="D5" s="258"/>
      <x:c r="E5" s="257" t="s">
        <x:v>73</x:v>
      </x:c>
      <x:c r="F5" s="257"/>
      <x:c r="G5" s="135">
        <x:f>INT(C5*0.01)</x:f>
        <x:v>8740</x:v>
      </x:c>
      <x:c r="H5" s="54" t="s">
        <x:v>6</x:v>
      </x:c>
      <x:c r="I5" s="126">
        <x:f>50000+36000+13620+25470+47300+41250+59312+36080</x:f>
        <x:v>309032</x:v>
      </x:c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900000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92000</x:v>
      </x:c>
      <x:c r="D8" s="258"/>
      <x:c r="E8" s="284" t="s">
        <x:v>113</x:v>
      </x:c>
      <x:c r="F8" s="285"/>
      <x:c r="G8" s="290">
        <x:f>C5+G2-G6-C22</x:f>
        <x:v>92000</x:v>
      </x:c>
      <x:c r="H8" s="54" t="s">
        <x:v>48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95000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158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15</x:v>
      </x:c>
      <x:c r="D12" s="284" t="s">
        <x:v>136</x:v>
      </x:c>
      <x:c r="E12" s="285"/>
      <x:c r="F12" s="288">
        <x:v>10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SUM('1:28'!$C$12)</x:f>
        <x:v>421</x:v>
      </x:c>
      <x:c r="D13" s="276"/>
      <x:c r="E13" s="277"/>
      <x:c r="F13" s="286">
        <x:f>SUM('1:28'!$F$12)</x:f>
        <x:v>234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56</x:v>
      </x:c>
      <x:c r="D14" s="284" t="s">
        <x:v>98</x:v>
      </x:c>
      <x:c r="E14" s="285"/>
      <x:c r="F14" s="288">
        <x:v>31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SUM('1:28'!$C$14)</x:f>
        <x:v>1226</x:v>
      </x:c>
      <x:c r="D15" s="276"/>
      <x:c r="E15" s="277"/>
      <x:c r="F15" s="286">
        <x:f>SUM('1:28'!$F$14)</x:f>
        <x:v>514</x:v>
      </x:c>
      <x:c r="G15" s="287"/>
      <x:c r="H15" s="54" t="s">
        <x:v>109</x:v>
      </x:c>
      <x:c r="I15" s="58">
        <x:f>19200+19500+11000+13500+11800+57600+3500+11500+13000+3500+3900+6600+6200+13500+19500+1700+4500</x:f>
        <x:v>220000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9</x:v>
      </x:c>
      <x:c r="D16" s="284" t="s">
        <x:v>120</x:v>
      </x:c>
      <x:c r="E16" s="285"/>
      <x:c r="F16" s="282">
        <x:v>23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SUM('1:28'!$C$16)</x:f>
        <x:v>172</x:v>
      </x:c>
      <x:c r="D17" s="276"/>
      <x:c r="E17" s="277"/>
      <x:c r="F17" s="283">
        <x:f>SUM('1:28'!$F$16)</x:f>
        <x:v>533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58</x:v>
      </x:c>
      <x:c r="D18" s="284" t="s">
        <x:v>133</x:v>
      </x:c>
      <x:c r="E18" s="285"/>
      <x:c r="F18" s="292">
        <x:v>20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SUM('1:28'!$C$18)</x:f>
        <x:v>978</x:v>
      </x:c>
      <x:c r="D19" s="276"/>
      <x:c r="E19" s="277"/>
      <x:c r="F19" s="283">
        <x:f>SUM('1:28'!$F$18)</x:f>
        <x:v>360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70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SUM('1:28'!$F$20)</x:f>
        <x:v>1681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3355521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874000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0.66288443303042277</x:v>
      </x:c>
      <x:c r="J24" s="61" t="s">
        <x:v>8</x:v>
      </x:c>
      <x:c r="K24" s="63">
        <x:f>K23/A25</x:f>
        <x:v>0.0028974055050704594</x:v>
      </x:c>
    </x:row>
    <x:row r="25" spans="1:11" ht="34.149999999999999" customHeight="1">
      <x:c r="A25" s="308">
        <x:f>C2</x:f>
        <x:v>5062000</x:v>
      </x:c>
      <x:c r="B25" s="272"/>
      <x:c r="C25" s="272">
        <x:f>E25/I1</x:f>
        <x:v>4369714.2857142854</x:v>
      </x:c>
      <x:c r="D25" s="272"/>
      <x:c r="E25" s="272">
        <x:f>SUM('1:28'!$A$25)</x:f>
        <x:v>122352000</x:v>
      </x:c>
      <x:c r="F25" s="272"/>
      <x:c r="G25" s="272"/>
      <x:c r="H25" s="109" t="s">
        <x:v>36</x:v>
      </x:c>
      <x:c r="I25" s="110">
        <x:f>SUM('1:28'!$I$21)</x:f>
        <x:v>0</x:v>
      </x:c>
      <x:c r="J25" s="61" t="s">
        <x:v>36</x:v>
      </x:c>
      <x:c r="K25" s="62">
        <x:f>SUM('1:28'!$K$21)</x:f>
        <x:v>0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788741.93548387103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0.155816265405743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SUM('1:28'!$I$25)</x:f>
        <x:v>68438261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86.768888429921063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f>130000</x:f>
        <x:v>130000</x:v>
      </x:c>
      <x:c r="G31" s="307"/>
    </x:row>
    <x:row r="32" spans="1:7" customHeight="1">
      <x:c r="A32" s="314"/>
      <x:c r="B32" s="54" t="s">
        <x:v>32</x:v>
      </x:c>
      <x:c r="C32" s="304">
        <x:f>14000*4.5</x:f>
        <x:v>63000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13000*6</x:f>
        <x:v>78000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25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29</x:v>
      </x:c>
      <x:c r="G1" s="68" t="s">
        <x:v>19</x:v>
      </x:c>
      <x:c r="H1" s="52" t="s">
        <x:v>126</x:v>
      </x:c>
      <x:c r="I1" s="52">
        <x:f>F1-K1</x:f>
        <x:v>29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4960500</x:v>
      </x:c>
      <x:c r="D2" s="271"/>
      <x:c r="E2" s="274" t="s">
        <x:v>43</x:v>
      </x:c>
      <x:c r="F2" s="275"/>
      <x:c r="G2" s="263">
        <x:v>92000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3650000</x:v>
      </x:c>
      <x:c r="D4" s="258"/>
      <x:c r="E4" s="273" t="s">
        <x:v>149</x:v>
      </x:c>
      <x:c r="F4" s="273"/>
      <x:c r="G4" s="135">
        <x:f>INT(C4*0.0275)</x:f>
        <x:v>100375</x:v>
      </x:c>
      <x:c r="H4" s="54" t="s">
        <x:v>20</x:v>
      </x:c>
      <x:c r="I4" s="126"/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1310500</x:v>
      </x:c>
      <x:c r="D5" s="258"/>
      <x:c r="E5" s="257" t="s">
        <x:v>73</x:v>
      </x:c>
      <x:c r="F5" s="257"/>
      <x:c r="G5" s="135">
        <x:f>INT(C5*0.01)</x:f>
        <x:v>13105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1350000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/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52500</x:v>
      </x:c>
      <x:c r="D8" s="258"/>
      <x:c r="E8" s="284" t="s">
        <x:v>113</x:v>
      </x:c>
      <x:c r="F8" s="285"/>
      <x:c r="G8" s="290">
        <x:f>C5+G2-G6-C22</x:f>
        <x:v>52500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50000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/>
    </x:row>
    <x:row r="11" spans="1:11" ht="33" customHeight="1">
      <x:c r="A11" s="256" t="s">
        <x:v>106</x:v>
      </x:c>
      <x:c r="B11" s="257"/>
      <x:c r="C11" s="296" t="s">
        <x:v>70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25</x:v>
      </x:c>
      <x:c r="D12" s="284" t="s">
        <x:v>136</x:v>
      </x:c>
      <x:c r="E12" s="285"/>
      <x:c r="F12" s="288">
        <x:v>21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SUM('1:29'!$C$12)</x:f>
        <x:v>446</x:v>
      </x:c>
      <x:c r="D13" s="276"/>
      <x:c r="E13" s="277"/>
      <x:c r="F13" s="286">
        <x:f>SUM('1:29'!$F$12)</x:f>
        <x:v>255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50</x:v>
      </x:c>
      <x:c r="D14" s="284" t="s">
        <x:v>98</x:v>
      </x:c>
      <x:c r="E14" s="285"/>
      <x:c r="F14" s="288">
        <x:v>20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SUM('1:29'!$C$14)</x:f>
        <x:v>1276</x:v>
      </x:c>
      <x:c r="D15" s="276"/>
      <x:c r="E15" s="277"/>
      <x:c r="F15" s="286">
        <x:f>SUM('1:29'!$F$14)</x:f>
        <x:v>534</x:v>
      </x:c>
      <x:c r="G15" s="287"/>
      <x:c r="H15" s="54" t="s">
        <x:v>109</x:v>
      </x:c>
      <x:c r="I15" s="58"/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12</x:v>
      </x:c>
      <x:c r="D16" s="284" t="s">
        <x:v>120</x:v>
      </x:c>
      <x:c r="E16" s="285"/>
      <x:c r="F16" s="282">
        <x:v>0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SUM('1:29'!$C$16)</x:f>
        <x:v>184</x:v>
      </x:c>
      <x:c r="D17" s="276"/>
      <x:c r="E17" s="277"/>
      <x:c r="F17" s="283">
        <x:f>SUM('1:29'!$F$16)</x:f>
        <x:v>533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56</x:v>
      </x:c>
      <x:c r="D18" s="284" t="s">
        <x:v>133</x:v>
      </x:c>
      <x:c r="E18" s="285"/>
      <x:c r="F18" s="292">
        <x:v>29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SUM('1:29'!$C$18)</x:f>
        <x:v>1034</x:v>
      </x:c>
      <x:c r="D19" s="276"/>
      <x:c r="E19" s="277"/>
      <x:c r="F19" s="283">
        <x:f>SUM('1:29'!$F$18)</x:f>
        <x:v>389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71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SUM('1:29'!$F$20)</x:f>
        <x:v>1752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58000</x:v>
      </x:c>
      <x:c r="J23" s="61" t="s">
        <x:v>122</x:v>
      </x:c>
      <x:c r="K23" s="62">
        <x:f>SUM(K4:K22)</x:f>
        <x:v>14666.666666666666</x:v>
      </x:c>
      <x:c r="M23" s="90" t="s">
        <x:v>96</x:v>
      </x:c>
      <x:c r="N23" s="279">
        <x:f>C5+C6</x:f>
        <x:v>1310500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0.011692369720794274</x:v>
      </x:c>
      <x:c r="J24" s="61" t="s">
        <x:v>8</x:v>
      </x:c>
      <x:c r="K24" s="63">
        <x:f>K23/A25</x:f>
        <x:v>0.0029566911937640695</x:v>
      </x:c>
    </x:row>
    <x:row r="25" spans="1:11" ht="34.149999999999999" customHeight="1">
      <x:c r="A25" s="308">
        <x:f>C2</x:f>
        <x:v>4960500</x:v>
      </x:c>
      <x:c r="B25" s="272"/>
      <x:c r="C25" s="272">
        <x:f>E25/I1</x:f>
        <x:v>4390086.2068965519</x:v>
      </x:c>
      <x:c r="D25" s="272"/>
      <x:c r="E25" s="272">
        <x:f>SUM('1:29'!$A$25)</x:f>
        <x:v>127312500</x:v>
      </x:c>
      <x:c r="F25" s="272"/>
      <x:c r="G25" s="272"/>
      <x:c r="H25" s="109" t="s">
        <x:v>36</x:v>
      </x:c>
      <x:c r="I25" s="110">
        <x:f>SUM('1:29'!$I$21)</x:f>
        <x:v>0</x:v>
      </x:c>
      <x:c r="J25" s="61" t="s">
        <x:v>36</x:v>
      </x:c>
      <x:c r="K25" s="62">
        <x:f>SUM('1:29'!$K$23)</x:f>
        <x:v>3923101.3333333316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</x:v>
      </x:c>
      <x:c r="J26" s="64" t="s">
        <x:v>131</x:v>
      </x:c>
      <x:c r="K26" s="65">
        <x:f>K25/$E$25</x:f>
        <x:v>0.030814738013418413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/>
      <x:c r="G27" s="258"/>
      <x:c r="H27" s="113" t="s">
        <x:v>121</x:v>
      </x:c>
      <x:c r="I27" s="114">
        <x:f>SUM(C27:D34,F27:G32)</x:f>
        <x:v>788741.93548387103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0.15900452282710836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SUM('1:29'!$I$27)</x:f>
        <x:v>22435591.129032269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28.444780377080704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4"/>
      <x:c r="B32" s="54" t="s">
        <x:v>32</x:v>
      </x:c>
      <x:c r="C32" s="304">
        <x:f>14000*4.5</x:f>
        <x:v>63000</x:v>
      </x:c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13000*6</x:f>
        <x:v>78000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2" zoomScale="85" zoomScaleNormal="85" zoomScaleSheetLayoutView="75" workbookViewId="0">
      <x:selection activeCell="E29" activeCellId="0" sqref="E29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128</x:v>
      </x:c>
      <x:c r="D1" s="68"/>
      <x:c r="E1" s="68" t="s">
        <x:v>154</x:v>
      </x:c>
      <x:c r="F1" s="68">
        <x:v>30</x:v>
      </x:c>
      <x:c r="G1" s="68" t="s">
        <x:v>52</x:v>
      </x:c>
      <x:c r="H1" s="52" t="s">
        <x:v>126</x:v>
      </x:c>
      <x:c r="I1" s="52">
        <x:f>F1-K1</x:f>
        <x:v>30</x:v>
      </x:c>
      <x:c r="J1" s="52" t="s">
        <x:v>101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4491000</x:v>
      </x:c>
      <x:c r="D2" s="271"/>
      <x:c r="E2" s="274" t="s">
        <x:v>43</x:v>
      </x:c>
      <x:c r="F2" s="275"/>
      <x:c r="G2" s="263">
        <x:v>52500</x:v>
      </x:c>
      <x:c r="H2" s="261" t="s">
        <x:v>6</x:v>
      </x:c>
      <x:c r="I2" s="262"/>
      <x:c r="J2" s="259" t="s">
        <x:v>77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27</x:v>
      </x:c>
      <x:c r="I3" s="56" t="s">
        <x:v>42</x:v>
      </x:c>
      <x:c r="J3" s="57" t="s">
        <x:v>27</x:v>
      </x:c>
      <x:c r="K3" s="56" t="s">
        <x:v>42</x:v>
      </x:c>
    </x:row>
    <x:row r="4" spans="1:11" ht="30.949999999999999" customHeight="1">
      <x:c r="A4" s="265" t="s">
        <x:v>22</x:v>
      </x:c>
      <x:c r="B4" s="266"/>
      <x:c r="C4" s="258">
        <x:v>3996000</x:v>
      </x:c>
      <x:c r="D4" s="258"/>
      <x:c r="E4" s="273" t="s">
        <x:v>149</x:v>
      </x:c>
      <x:c r="F4" s="273"/>
      <x:c r="G4" s="135">
        <x:f>INT(C4*0.0275)</x:f>
        <x:v>109890</x:v>
      </x:c>
      <x:c r="H4" s="54" t="s">
        <x:v>20</x:v>
      </x:c>
      <x:c r="I4" s="126">
        <x:f>452000+221000+305875</x:f>
        <x:v>978875</x:v>
      </x:c>
      <x:c r="J4" s="82" t="s">
        <x:v>39</x:v>
      </x:c>
      <x:c r="K4" s="58"/>
    </x:row>
    <x:row r="5" spans="1:11" ht="30.949999999999999" customHeight="1">
      <x:c r="A5" s="265" t="s">
        <x:v>64</x:v>
      </x:c>
      <x:c r="B5" s="266"/>
      <x:c r="C5" s="258">
        <x:v>495000</x:v>
      </x:c>
      <x:c r="D5" s="258"/>
      <x:c r="E5" s="257" t="s">
        <x:v>73</x:v>
      </x:c>
      <x:c r="F5" s="257"/>
      <x:c r="G5" s="135">
        <x:f>INT(C5*0.01)</x:f>
        <x:v>4950</x:v>
      </x:c>
      <x:c r="H5" s="54" t="s">
        <x:v>6</x:v>
      </x:c>
      <x:c r="I5" s="126"/>
      <x:c r="J5" s="83"/>
      <x:c r="K5" s="58"/>
    </x:row>
    <x:row r="6" spans="1:11" ht="21.949999999999999" customHeight="1">
      <x:c r="A6" s="252" t="s">
        <x:v>87</x:v>
      </x:c>
      <x:c r="B6" s="253"/>
      <x:c r="C6" s="297"/>
      <x:c r="D6" s="298"/>
      <x:c r="E6" s="284" t="s">
        <x:v>134</x:v>
      </x:c>
      <x:c r="F6" s="285"/>
      <x:c r="G6" s="278">
        <x:v>400000</x:v>
      </x:c>
      <x:c r="H6" s="54"/>
      <x:c r="I6" s="126"/>
      <x:c r="J6" s="83" t="s">
        <x:v>130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44000</x:v>
      </x:c>
      <x:c r="J7" s="83" t="s">
        <x:v>119</x:v>
      </x:c>
      <x:c r="K7" s="58"/>
    </x:row>
    <x:row r="8" spans="1:11" ht="21.949999999999999" customHeight="1">
      <x:c r="A8" s="256" t="s">
        <x:v>137</x:v>
      </x:c>
      <x:c r="B8" s="257"/>
      <x:c r="C8" s="258">
        <x:v>147500</x:v>
      </x:c>
      <x:c r="D8" s="258"/>
      <x:c r="E8" s="284" t="s">
        <x:v>113</x:v>
      </x:c>
      <x:c r="F8" s="285"/>
      <x:c r="G8" s="290">
        <x:f>C5+G2-G6-C22</x:f>
        <x:v>147500</x:v>
      </x:c>
      <x:c r="H8" s="54" t="s">
        <x:v>48</x:v>
      </x:c>
      <x:c r="I8" s="126">
        <x:v>58000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16</x:v>
      </x:c>
      <x:c r="K9" s="58"/>
    </x:row>
    <x:row r="10" spans="1:11" ht="30.949999999999999" customHeight="1">
      <x:c r="A10" s="256" t="s">
        <x:v>146</x:v>
      </x:c>
      <x:c r="B10" s="257"/>
      <x:c r="C10" s="258">
        <x:v>23000</x:v>
      </x:c>
      <x:c r="D10" s="258"/>
      <x:c r="E10" s="257" t="s">
        <x:v>90</x:v>
      </x:c>
      <x:c r="F10" s="257"/>
      <x:c r="G10" s="55"/>
      <x:c r="H10" s="54"/>
      <x:c r="I10" s="126"/>
      <x:c r="J10" s="54" t="s">
        <x:v>56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 t="s">
        <x:v>164</x:v>
      </x:c>
      <x:c r="D11" s="296"/>
      <x:c r="E11" s="296"/>
      <x:c r="F11" s="296"/>
      <x:c r="G11" s="296"/>
      <x:c r="H11" s="54" t="s">
        <x:v>61</x:v>
      </x:c>
      <x:c r="I11" s="58"/>
      <x:c r="J11" s="54" t="s">
        <x:v>85</x:v>
      </x:c>
      <x:c r="K11" s="137">
        <x:f>440000/30</x:f>
        <x:v>14666.666666666666</x:v>
      </x:c>
    </x:row>
    <x:row r="12" spans="1:13" ht="21.949999999999999" customHeight="1">
      <x:c r="A12" s="59" t="s">
        <x:v>51</x:v>
      </x:c>
      <x:c r="B12" s="294" t="s">
        <x:v>45</x:v>
      </x:c>
      <x:c r="C12" s="81">
        <x:v>5</x:v>
      </x:c>
      <x:c r="D12" s="284" t="s">
        <x:v>136</x:v>
      </x:c>
      <x:c r="E12" s="285"/>
      <x:c r="F12" s="288">
        <x:v>11</x:v>
      </x:c>
      <x:c r="G12" s="289"/>
      <x:c r="H12" s="54" t="s">
        <x:v>105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99</x:v>
      </x:c>
      <x:c r="B13" s="295"/>
      <x:c r="C13" s="136">
        <x:f>SUM('1:30'!$C$12)</x:f>
        <x:v>451</x:v>
      </x:c>
      <x:c r="D13" s="276"/>
      <x:c r="E13" s="277"/>
      <x:c r="F13" s="286">
        <x:f>SUM('1:30'!$F$12)</x:f>
        <x:v>266</x:v>
      </x:c>
      <x:c r="G13" s="287"/>
      <x:c r="H13" s="54" t="s">
        <x:v>129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51</x:v>
      </x:c>
      <x:c r="B14" s="294" t="s">
        <x:v>30</x:v>
      </x:c>
      <x:c r="C14" s="81">
        <x:v>34</x:v>
      </x:c>
      <x:c r="D14" s="284" t="s">
        <x:v>98</x:v>
      </x:c>
      <x:c r="E14" s="285"/>
      <x:c r="F14" s="288">
        <x:v>26</x:v>
      </x:c>
      <x:c r="G14" s="289"/>
      <x:c r="H14" s="54" t="s">
        <x:v>114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99</x:v>
      </x:c>
      <x:c r="B15" s="295"/>
      <x:c r="C15" s="136">
        <x:f>SUM('1:30'!$C$14)</x:f>
        <x:v>1310</x:v>
      </x:c>
      <x:c r="D15" s="276"/>
      <x:c r="E15" s="277"/>
      <x:c r="F15" s="286">
        <x:f>SUM('1:30'!$F$14)</x:f>
        <x:v>560</x:v>
      </x:c>
      <x:c r="G15" s="287"/>
      <x:c r="H15" s="54" t="s">
        <x:v>109</x:v>
      </x:c>
      <x:c r="I15" s="58">
        <x:f>13000+19200+9000+6200+13500+11800+3500+57600+2550+9800+28000+8900+2450</x:f>
        <x:v>185500</x:v>
      </x:c>
      <x:c r="J15" s="54" t="s">
        <x:v>77</x:v>
      </x:c>
      <x:c r="K15" s="58"/>
      <x:c r="L15" s="60"/>
      <x:c r="M15" s="11"/>
    </x:row>
    <x:row r="16" spans="1:13" ht="21.949999999999999" customHeight="1">
      <x:c r="A16" s="59" t="s">
        <x:v>51</x:v>
      </x:c>
      <x:c r="B16" s="294" t="s">
        <x:v>54</x:v>
      </x:c>
      <x:c r="C16" s="81">
        <x:v>10</x:v>
      </x:c>
      <x:c r="D16" s="284" t="s">
        <x:v>120</x:v>
      </x:c>
      <x:c r="E16" s="285"/>
      <x:c r="F16" s="282">
        <x:v>19</x:v>
      </x:c>
      <x:c r="G16" s="282"/>
      <x:c r="H16" s="54"/>
      <x:c r="I16" s="58"/>
      <x:c r="J16" s="54" t="s">
        <x:v>100</x:v>
      </x:c>
      <x:c r="K16" s="58"/>
      <x:c r="L16" s="60"/>
      <x:c r="M16" s="11"/>
    </x:row>
    <x:row r="17" spans="1:13" ht="21.949999999999999" customHeight="1">
      <x:c r="A17" s="59" t="s">
        <x:v>99</x:v>
      </x:c>
      <x:c r="B17" s="295"/>
      <x:c r="C17" s="136">
        <x:f>SUM('1:30'!$C$16)</x:f>
        <x:v>194</x:v>
      </x:c>
      <x:c r="D17" s="276"/>
      <x:c r="E17" s="277"/>
      <x:c r="F17" s="283">
        <x:f>SUM('1:30'!$F$16)</x:f>
        <x:v>552</x:v>
      </x:c>
      <x:c r="G17" s="283"/>
      <x:c r="H17" s="54" t="s">
        <x:v>7</x:v>
      </x:c>
      <x:c r="I17" s="58"/>
      <x:c r="J17" s="54" t="s">
        <x:v>93</x:v>
      </x:c>
      <x:c r="K17" s="58"/>
      <x:c r="L17" s="60"/>
      <x:c r="M17" s="11"/>
    </x:row>
    <x:row r="18" spans="1:13" ht="21.949999999999999" customHeight="1">
      <x:c r="A18" s="59" t="s">
        <x:v>51</x:v>
      </x:c>
      <x:c r="B18" s="294" t="s">
        <x:v>94</x:v>
      </x:c>
      <x:c r="C18" s="81">
        <x:v>46</x:v>
      </x:c>
      <x:c r="D18" s="284" t="s">
        <x:v>133</x:v>
      </x:c>
      <x:c r="E18" s="285"/>
      <x:c r="F18" s="292">
        <x:v>14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99</x:v>
      </x:c>
      <x:c r="B19" s="295"/>
      <x:c r="C19" s="136">
        <x:f>SUM('1:30'!$C$18)</x:f>
        <x:v>1080</x:v>
      </x:c>
      <x:c r="D19" s="276"/>
      <x:c r="E19" s="277"/>
      <x:c r="F19" s="283">
        <x:f>SUM('1:30'!$F$18)</x:f>
        <x:v>403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116</x:v>
      </x:c>
      <x:c r="E20" s="257"/>
      <x:c r="F20" s="282">
        <x:v>57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117</x:v>
      </x:c>
      <x:c r="E21" s="257"/>
      <x:c r="F21" s="283">
        <x:f>SUM('1:30'!$F$20)</x:f>
        <x:v>1809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86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127</x:v>
      </x:c>
      <x:c r="B23" s="257"/>
      <x:c r="C23" s="311"/>
      <x:c r="D23" s="312"/>
      <x:c r="E23" s="312"/>
      <x:c r="F23" s="312"/>
      <x:c r="G23" s="312"/>
      <x:c r="H23" s="109" t="s">
        <x:v>97</x:v>
      </x:c>
      <x:c r="I23" s="110">
        <x:f>SUM(I4:I22)</x:f>
        <x:v>1266375</x:v>
      </x:c>
      <x:c r="J23" s="61" t="s">
        <x:v>122</x:v>
      </x:c>
      <x:c r="K23" s="62">
        <x:f>SUM(K4:K22)</x:f>
        <x:v>27666.666666666664</x:v>
      </x:c>
      <x:c r="M23" s="90" t="s">
        <x:v>96</x:v>
      </x:c>
      <x:c r="N23" s="279">
        <x:f>C5+C6</x:f>
        <x:v>495000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89</x:v>
      </x:c>
      <x:c r="D24" s="257"/>
      <x:c r="E24" s="257" t="s">
        <x:v>104</x:v>
      </x:c>
      <x:c r="F24" s="257"/>
      <x:c r="G24" s="257"/>
      <x:c r="H24" s="109" t="s">
        <x:v>8</x:v>
      </x:c>
      <x:c r="I24" s="111">
        <x:f>I23/A25</x:f>
        <x:v>0.28198062792251172</x:v>
      </x:c>
      <x:c r="J24" s="61" t="s">
        <x:v>8</x:v>
      </x:c>
      <x:c r="K24" s="63">
        <x:f>K23/A25</x:f>
        <x:v>0.0061604690863207891</x:v>
      </x:c>
    </x:row>
    <x:row r="25" spans="1:11" ht="34.149999999999999" customHeight="1">
      <x:c r="A25" s="308">
        <x:f>C2</x:f>
        <x:v>4491000</x:v>
      </x:c>
      <x:c r="B25" s="272"/>
      <x:c r="C25" s="272">
        <x:f>E25/I1</x:f>
        <x:v>4393450</x:v>
      </x:c>
      <x:c r="D25" s="272"/>
      <x:c r="E25" s="272">
        <x:f>SUM('1:30'!$A$25)</x:f>
        <x:v>131803500</x:v>
      </x:c>
      <x:c r="F25" s="272"/>
      <x:c r="G25" s="272"/>
      <x:c r="H25" s="109" t="s">
        <x:v>36</x:v>
      </x:c>
      <x:c r="I25" s="110">
        <x:f>SUM('1:30'!$I$23)</x:f>
        <x:v>47950692</x:v>
      </x:c>
      <x:c r="J25" s="61" t="s">
        <x:v>36</x:v>
      </x:c>
      <x:c r="K25" s="62">
        <x:f>SUM('1:30'!$K$23)</x:f>
        <x:v>3950767.9999999981</x:v>
      </x:c>
    </x:row>
    <x:row r="26" spans="1:11" ht="34.149999999999999" customHeight="1">
      <x:c r="A26" s="256" t="s">
        <x:v>145</x:v>
      </x:c>
      <x:c r="B26" s="257"/>
      <x:c r="C26" s="257"/>
      <x:c r="D26" s="257"/>
      <x:c r="E26" s="258"/>
      <x:c r="F26" s="258"/>
      <x:c r="G26" s="258"/>
      <x:c r="H26" s="109" t="s">
        <x:v>131</x:v>
      </x:c>
      <x:c r="I26" s="112">
        <x:f>I25/$E$25</x:f>
        <x:v>0.36380439062695602</x:v>
      </x:c>
      <x:c r="J26" s="64" t="s">
        <x:v>131</x:v>
      </x:c>
      <x:c r="K26" s="65">
        <x:f>K25/$E$25</x:f>
        <x:v>0.029974682007685671</x:v>
      </x:c>
    </x:row>
    <x:row r="27" spans="1:13" ht="30.949999999999999" customHeight="1">
      <x:c r="A27" s="313" t="s">
        <x:v>144</x:v>
      </x:c>
      <x:c r="B27" s="54" t="s">
        <x:v>47</x:v>
      </x:c>
      <x:c r="C27" s="272">
        <x:f>4000000/31</x:f>
        <x:v>129032.25806451614</x:v>
      </x:c>
      <x:c r="D27" s="272"/>
      <x:c r="E27" s="55" t="s">
        <x:v>153</x:v>
      </x:c>
      <x:c r="F27" s="258">
        <x:f>11700*4.5</x:f>
        <x:v>52650</x:v>
      </x:c>
      <x:c r="G27" s="258"/>
      <x:c r="H27" s="113" t="s">
        <x:v>121</x:v>
      </x:c>
      <x:c r="I27" s="114">
        <x:f>SUM(C27:D34,F27:G32)</x:f>
        <x:v>742391.93548387103</x:v>
      </x:c>
      <x:c r="M27" s="66"/>
    </x:row>
    <x:row r="28" spans="1:13" ht="30.949999999999999" customHeight="1">
      <x:c r="A28" s="314"/>
      <x:c r="B28" s="54" t="s">
        <x:v>23</x:v>
      </x:c>
      <x:c r="C28" s="272">
        <x:f>3800000/31</x:f>
        <x:v>122580.64516129032</x:v>
      </x:c>
      <x:c r="D28" s="272"/>
      <x:c r="E28" s="55" t="s">
        <x:v>156</x:v>
      </x:c>
      <x:c r="F28" s="272">
        <x:f>1500000/30</x:f>
        <x:v>50000</x:v>
      </x:c>
      <x:c r="G28" s="272"/>
      <x:c r="H28" s="113" t="s">
        <x:v>8</x:v>
      </x:c>
      <x:c r="I28" s="115">
        <x:f>I27/$A$25</x:f>
        <x:v>0.16530659886080407</x:v>
      </x:c>
      <x:c r="M28" s="66"/>
    </x:row>
    <x:row r="29" spans="1:13" ht="30.949999999999999" customHeight="1">
      <x:c r="A29" s="314"/>
      <x:c r="B29" s="54" t="s">
        <x:v>50</x:v>
      </x:c>
      <x:c r="C29" s="272">
        <x:f>3200000/31</x:f>
        <x:v>103225.80645161291</x:v>
      </x:c>
      <x:c r="D29" s="272"/>
      <x:c r="E29" s="55"/>
      <x:c r="F29" s="258"/>
      <x:c r="G29" s="258"/>
      <x:c r="H29" s="113" t="s">
        <x:v>36</x:v>
      </x:c>
      <x:c r="I29" s="114">
        <x:f>SUM('1:30'!$I$27)</x:f>
        <x:v>23177983.064516142</x:v>
      </x:c>
      <x:c r="M29" s="66"/>
    </x:row>
    <x:row r="30" spans="1:13" ht="30.949999999999999" customHeight="1">
      <x:c r="A30" s="314"/>
      <x:c r="B30" s="54"/>
      <x:c r="C30" s="272"/>
      <x:c r="D30" s="272"/>
      <x:c r="E30" s="55"/>
      <x:c r="F30" s="306"/>
      <x:c r="G30" s="307"/>
      <x:c r="H30" s="113" t="s">
        <x:v>131</x:v>
      </x:c>
      <x:c r="I30" s="115">
        <x:f>I29/$I$27</x:f>
        <x:v>31.220682710419474</x:v>
      </x:c>
      <x:c r="M30" s="66"/>
    </x:row>
    <x:row r="31" spans="1:7" customHeight="1">
      <x:c r="A31" s="314"/>
      <x:c r="B31" s="54" t="s">
        <x:v>44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4"/>
      <x:c r="B32" s="54" t="s">
        <x:v>32</x:v>
      </x:c>
      <x:c r="C32" s="304"/>
      <x:c r="D32" s="305"/>
      <x:c r="E32" s="55" t="s">
        <x:v>141</x:v>
      </x:c>
      <x:c r="F32" s="306"/>
      <x:c r="G32" s="307"/>
    </x:row>
    <x:row r="33" spans="1:4" customHeight="1">
      <x:c r="A33" s="314"/>
      <x:c r="B33" s="54" t="s">
        <x:v>21</x:v>
      </x:c>
      <x:c r="C33" s="304">
        <x:f>13000*4</x:f>
        <x:v>52000</x:v>
      </x:c>
      <x:c r="D33" s="305"/>
    </x:row>
    <x:row r="34" spans="1:4" customHeight="1">
      <x:c r="A34" s="315"/>
      <x:c r="B34" s="54" t="s">
        <x:v>60</x:v>
      </x:c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2:B13"/>
    <x:mergeCell ref="B18:B19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3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Chart1</vt:lpstr>
    </vt:vector>
  </ep:TitlesOfParts>
  <ep:TotalTime>221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24</cp:revision>
  <cp:lastPrinted>2020-08-02T09:11:11.000</cp:lastPrinted>
  <dcterms:created xsi:type="dcterms:W3CDTF">2017-10-12T05:43:00.000</dcterms:created>
  <dcterms:modified xsi:type="dcterms:W3CDTF">2026-04-27T17:04:03.283</dcterms:modified>
  <cp:version>1000.0100.01</cp:version>
</cp:coreProperties>
</file>