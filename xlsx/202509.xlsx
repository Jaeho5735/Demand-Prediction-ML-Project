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8.xml" ContentType="application/vnd.openxmlformats-officedocument.drawingml.chart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69"/>
  <x:workbookPr date1904="0" showBorderUnselectedTables="1" filterPrivacy="0" promptedSolutions="0" showInkAnnotation="1" backupFile="0" saveExternalLinkValues="1" codeName="현재_통합_문서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Demand_prediction_MLproject\xlxs\"/>
    </mc:Choice>
  </mc:AlternateContent>
  <x:bookViews>
    <x:workbookView xWindow="0" yWindow="0" windowWidth="13965" windowHeight="11715" firstSheet="26" activeTab="2"/>
  </x:bookViews>
  <x:sheets>
    <x:sheet name="월합산" sheetId="1" state="hidden" r:id="rId4"/>
    <x:sheet name="결산" sheetId="2" r:id="rId5"/>
    <x:sheet name="1" sheetId="3" r:id="rId6"/>
    <x:sheet name="2" sheetId="4" r:id="rId7"/>
    <x:sheet name="3" sheetId="5" r:id="rId8"/>
    <x:sheet name="4" sheetId="6" r:id="rId9"/>
    <x:sheet name="5" sheetId="7" r:id="rId10"/>
    <x:sheet name="6" sheetId="8" r:id="rId11"/>
    <x:sheet name="7" sheetId="9" r:id="rId12"/>
    <x:sheet name="8" sheetId="10" r:id="rId13"/>
    <x:sheet name="9" sheetId="11" r:id="rId14"/>
    <x:sheet name="10" sheetId="12" r:id="rId15"/>
    <x:sheet name="11" sheetId="13" r:id="rId16"/>
    <x:sheet name="12" sheetId="14" r:id="rId17"/>
    <x:sheet name="13" sheetId="15" r:id="rId18"/>
    <x:sheet name="14" sheetId="16" r:id="rId19"/>
    <x:sheet name="15" sheetId="17" r:id="rId20"/>
    <x:sheet name="16" sheetId="18" r:id="rId21"/>
    <x:sheet name="17" sheetId="19" r:id="rId22"/>
    <x:sheet name="18" sheetId="20" r:id="rId23"/>
    <x:sheet name="19" sheetId="21" r:id="rId24"/>
    <x:sheet name="20" sheetId="22" r:id="rId25"/>
    <x:sheet name="21" sheetId="23" r:id="rId26"/>
    <x:sheet name="22" sheetId="24" r:id="rId27"/>
    <x:sheet name="23" sheetId="25" r:id="rId28"/>
    <x:sheet name="24" sheetId="26" r:id="rId29"/>
    <x:sheet name="25" sheetId="27" r:id="rId30"/>
    <x:sheet name="26" sheetId="28" r:id="rId31"/>
    <x:sheet name="27" sheetId="29" r:id="rId32"/>
    <x:sheet name="28" sheetId="30" r:id="rId33"/>
    <x:sheet name="29" sheetId="31" r:id="rId34"/>
    <x:sheet name="30" sheetId="32" r:id="rId35"/>
    <x:sheet name="Chart1" sheetId="33" state="hidden" r:id="rId36"/>
  </x:sheets>
  <x:definedNames>
    <x:definedName name="_xlnm.Print_Area" localSheetId="18">'17'!$A$1:$O$34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<x:sst xmlns:r="http://schemas.openxmlformats.org/officeDocument/2006/relationships" xmlns:c="http://schemas.openxmlformats.org/drawingml/2006/chart" xmlns:x="http://schemas.openxmlformats.org/spreadsheetml/2006/main" count="2904" uniqueCount="153">
  <x:si>
    <x:t>V</x:t>
  </x:si>
  <x:si>
    <x:t>변동비</x:t>
  </x:si>
  <x:si>
    <x:t>항목</x:t>
  </x:si>
  <x:si>
    <x:t>만</x:t>
  </x:si>
  <x:si>
    <x:t>파출</x:t>
  </x:si>
  <x:si>
    <x:t>포스</x:t>
  </x:si>
  <x:si>
    <x:t>식자재</x:t>
  </x:si>
  <x:si>
    <x:t>막걸리</x:t>
  </x:si>
  <x:si>
    <x:t>일매출</x:t>
  </x:si>
  <x:si>
    <x:t>매출</x:t>
  </x:si>
  <x:si>
    <x:t>수도</x:t>
  </x:si>
  <x:si>
    <x:t>총매출</x:t>
  </x:si>
  <x:si>
    <x:t>시제</x:t>
  </x:si>
  <x:si>
    <x:t>오백</x:t>
  </x:si>
  <x:si>
    <x:t>입금</x:t>
  </x:si>
  <x:si>
    <x:t>F</x:t>
  </x:si>
  <x:si>
    <x:t>뚝배기</x:t>
  </x:si>
  <x:si>
    <x:t>잔금</x:t>
  </x:si>
  <x:si>
    <x:t>토</x:t>
  </x:si>
  <x:si>
    <x:t>일</x:t>
  </x:si>
  <x:si>
    <x:t>고기</x:t>
  </x:si>
  <x:si>
    <x:t>알바B</x:t>
  </x:si>
  <x:si>
    <x:t>카드</x:t>
  </x:si>
  <x:si>
    <x:t>직원B</x:t>
  </x:si>
  <x:si>
    <x:t>주류</x:t>
  </x:si>
  <x:si>
    <x:t>총비용</x:t>
  </x:si>
  <x:si>
    <x:t>업체</x:t>
  </x:si>
  <x:si>
    <x:t>수</x:t>
  </x:si>
  <x:si>
    <x:t>금</x:t>
  </x:si>
  <x:si>
    <x:t>알바A</x:t>
  </x:si>
  <x:si>
    <x:t>고정비</x:t>
  </x:si>
  <x:si>
    <x:t>가스비</x:t>
  </x:si>
  <x:si>
    <x:t>배달</x:t>
  </x:si>
  <x:si>
    <x:t>누계</x:t>
  </x:si>
  <x:si>
    <x:t>S</x:t>
  </x:si>
  <x:si>
    <x:t>월세</x:t>
  </x:si>
  <x:si>
    <x:t>숯</x:t>
  </x:si>
  <x:si>
    <x:t>인터넷</x:t>
  </x:si>
  <x:si>
    <x:t>마케팅</x:t>
  </x:si>
  <x:si>
    <x:t>금액</x:t>
  </x:si>
  <x:si>
    <x:t>시재</x:t>
  </x:si>
  <x:si>
    <x:t>직원C</x:t>
  </x:si>
  <x:si>
    <x:t>목살</x:t>
  </x:si>
  <x:si>
    <x:t>백이하</x:t>
  </x:si>
  <x:si>
    <x:t>직원A</x:t>
  </x:si>
  <x:si>
    <x:t>쌀</x:t>
  </x:si>
  <x:si>
    <x:t>세무사</x:t>
  </x:si>
  <x:si>
    <x:t>직원D</x:t>
  </x:si>
  <x:si>
    <x:t>개수</x:t>
  </x:si>
  <x:si>
    <x:t>월</x:t>
  </x:si>
  <x:si>
    <x:t>목</x:t>
  </x:si>
  <x:si>
    <x:t>육회</x:t>
  </x:si>
  <x:si>
    <x:t>천</x:t>
  </x:si>
  <x:si>
    <x:t>발매트</x:t>
  </x:si>
  <x:si>
    <x:t>합계</x:t>
  </x:si>
  <x:si>
    <x:t>V/S</x:t>
  </x:si>
  <x:si>
    <x:t>급여</x:t>
  </x:si>
  <x:si>
    <x:t>알바X</x:t>
  </x:si>
  <x:si>
    <x:t>참기름</x:t>
  </x:si>
  <x:si>
    <x:t>전기세</x:t>
  </x:si>
  <x:si>
    <x:t>매출액</x:t>
  </x:si>
  <x:si>
    <x:t>현금</x:t>
  </x:si>
  <x:si>
    <x:t>화</x:t>
  </x:si>
  <x:si>
    <x:t>`</x:t>
  </x:si>
  <x:si>
    <x:t>삼겹살</x:t>
  </x:si>
  <x:si>
    <x:t>손익분기점 매출액 X</x:t>
  </x:si>
  <x:si>
    <x:t>take
out</x:t>
  </x:si>
  <x:si>
    <x:t>손익분기점 매출액</x:t>
  </x:si>
  <x:si>
    <x:t>퇴직금(10%)</x:t>
  </x:si>
  <x:si>
    <x:t>현금수수료 (1%)</x:t>
  </x:si>
  <x:si>
    <x:t>현금수수료(1%)</x:t>
  </x:si>
  <x:si>
    <x:t>월   합  산</x:t>
  </x:si>
  <x:si>
    <x:t>마  감  잔  금</x:t>
  </x:si>
  <x:si>
    <x:t>비       고</x:t>
  </x:si>
  <x:si>
    <x:t>비품 및 기타경비</x:t>
  </x:si>
  <x:si>
    <x:t>비품 및 
기타경비</x:t>
  </x:si>
  <x:si>
    <x:t>종량재봉투</x:t>
  </x:si>
  <x:si>
    <x:t>목표일매출</x:t>
  </x:si>
  <x:si>
    <x:t>4대보험료</x:t>
  </x:si>
  <x:si>
    <x:t>소     계</x:t>
  </x:si>
  <x:si>
    <x:t>변동비용</x:t>
  </x:si>
  <x:si>
    <x:t>화재보험</x:t>
  </x:si>
  <x:si>
    <x:t>불판세척</x:t>
  </x:si>
  <x:si>
    <x:t>중간출금</x:t>
  </x:si>
  <x:si>
    <x:t>페이결제</x:t>
  </x:si>
  <x:si>
    <x:t>목표월매출</x:t>
  </x:si>
  <x:si>
    <x:t>일평균매출</x:t>
  </x:si>
  <x:si>
    <x:t>카드할인</x:t>
  </x:si>
  <x:si>
    <x:t>영업일수</x:t>
  </x:si>
  <x:si>
    <x:t>세전이익</x:t>
  </x:si>
  <x:si>
    <x:t>다이소 구매</x:t>
  </x:si>
  <x:si>
    <x:t>소갈비살</x:t>
  </x:si>
  <x:si>
    <x:t>고정비용</x:t>
  </x:si>
  <x:si>
    <x:t>현금합계</x:t>
  </x:si>
  <x:si>
    <x:t>식자재합계</x:t>
  </x:si>
  <x:si>
    <x:t>돼지양념갈비</x:t>
  </x:si>
  <x:si>
    <x:t>매출누계</x:t>
  </x:si>
  <x:si>
    <x:t>인터넷 주문</x:t>
  </x:si>
  <x:si>
    <x:t>휴무일수</x:t>
  </x:si>
  <x:si>
    <x:t>종합소득세</x:t>
  </x:si>
  <x:si>
    <x:t>쿠쿠(블루문)</x:t>
  </x:si>
  <x:si>
    <x:t>누적총매출</x:t>
  </x:si>
  <x:si>
    <x:t>부탄가스</x:t>
  </x:si>
  <x:si>
    <x:t>할인내역</x:t>
  </x:si>
  <x:si>
    <x:t>할인금액</x:t>
  </x:si>
  <x:si>
    <x:t>손익분기점</x:t>
  </x:si>
  <x:si>
    <x:t>식자재2</x:t>
  </x:si>
  <x:si>
    <x:t>세후이익</x:t>
  </x:si>
  <x:si>
    <x:t>세금부가세</x:t>
  </x:si>
  <x:si>
    <x:t>항목별 소계</x:t>
  </x:si>
  <x:si>
    <x:t>마감잔금</x:t>
  </x:si>
  <x:si>
    <x:t>깍두기,계란</x:t>
  </x:si>
  <x:si>
    <x:t>합    계</x:t>
  </x:si>
  <x:si>
    <x:t>테이블수</x:t>
  </x:si>
  <x:si>
    <x:t>누적테이블</x:t>
  </x:si>
  <x:si>
    <x:t>매출 비율</x:t>
  </x:si>
  <x:si>
    <x:t>종량제봉투</x:t>
  </x:si>
  <x:si>
    <x:t>한우업진살</x:t>
  </x:si>
  <x:si>
    <x:t>인건비합계</x:t>
  </x:si>
  <x:si>
    <x:t>기타경비합계</x:t>
  </x:si>
  <x:si>
    <x:t>금고잔액</x:t>
  </x:si>
  <x:si>
    <x:t>코카콜라</x:t>
  </x:si>
  <x:si>
    <x:t>카드매출</x:t>
  </x:si>
  <x:si>
    <x:t>실영업일수</x:t>
  </x:si>
  <x:si>
    <x:t>출금내역</x:t>
  </x:si>
  <x:si>
    <x:t>2025년</x:t>
  </x:si>
  <x:si>
    <x:t>코카콜라음료</x:t>
  </x:si>
  <x:si>
    <x:t>음식물스티커</x:t>
  </x:si>
  <x:si>
    <x:t>누적매출</x:t>
  </x:si>
  <x:si>
    <x:t>현금매출</x:t>
  </x:si>
  <x:si>
    <x:t>LA양념갈비</x:t>
  </x:si>
  <x:si>
    <x:t>통장입금</x:t>
  </x:si>
  <x:si>
    <x:t>중간입금</x:t>
  </x:si>
  <x:si>
    <x:t>LA갈비</x:t>
  </x:si>
  <x:si>
    <x:t>금고 실잔액</x:t>
  </x:si>
  <x:si>
    <x:t>페이매출</x:t>
  </x:si>
  <x:si>
    <x:t>항목 비율</x:t>
  </x:si>
  <x:si>
    <x:t>입금내역</x:t>
  </x:si>
  <x:si>
    <x:t>홀 파출</x:t>
  </x:si>
  <x:si>
    <x:t>배달료누계</x:t>
  </x:si>
  <x:si>
    <x:t>변동비율</x:t>
  </x:si>
  <x:si>
    <x:t>인
건
비</x:t>
  </x:si>
  <x:si>
    <x:t>전   월</x:t>
  </x:si>
  <x:si>
    <x:t>현금할인</x:t>
  </x:si>
  <x:si>
    <x:t>매출대비 비율</x:t>
  </x:si>
  <x:si>
    <x:t>X=F/(1-(V/S))</x:t>
  </x:si>
  <x:si>
    <x:t>카드수수료(2.75%)</x:t>
  </x:si>
  <x:si>
    <x:t>알바C</x:t>
  </x:si>
  <x:si>
    <x:t>ㄴ</x:t>
  </x:si>
  <x:si>
    <x:t>직원F</x:t>
  </x:si>
  <x:si>
    <x:t>9월 테이블수</x:t>
  </x:si>
  <x:si>
    <x:t>오겹살</x:t>
  </x:si>
  <x:si>
    <x:t>9월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</x:si>
</x:sst>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5">
    <x:numFmt numFmtId="164" formatCode="0.0%"/>
    <x:numFmt numFmtId="165" formatCode="#,##0_ "/>
    <x:numFmt numFmtId="166" formatCode="#,##0.00_ "/>
    <x:numFmt numFmtId="167" formatCode="_-* #,##0_-;\-* #,##0_-;_-* &quot;-&quot;???_-;_-@_-"/>
    <x:numFmt numFmtId="168" formatCode="&quot;₩&quot;#,##0_);[Red]\(&quot;₩&quot;#,##0\)"/>
  </x:numFmts>
  <x:fonts count="2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배달의민족 도현"/>
      <x:sz val="10"/>
      <x:color rgb="ff000000"/>
    </x:font>
    <x:font>
      <x:name val="맑은 고딕"/>
      <x:sz val="11"/>
      <x:color rgb="ff000000"/>
      <x:b val="1"/>
    </x:font>
    <x:font>
      <x:name val="맑은 고딕"/>
      <x:sz val="14"/>
      <x:color rgb="ff000000"/>
      <x:b val="1"/>
    </x:font>
    <x:font>
      <x:name val="맑은 고딕"/>
      <x:sz val="14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c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c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d0d0d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d0d0d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배달의민족 도현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배달의민족 도현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배달의민족 도현"/>
          <x:sz val="24"/>
          <x:color rgb="ff000000"/>
          <hs:size val="100"/>
          <hs:ratio val="100"/>
          <hs:spacing val="0"/>
          <hs:offset val="0"/>
        </x:font>
      </mc:Choice>
      <mc:Fallback>
        <x:font>
          <x:name val="배달의민족 도현"/>
          <x:sz val="24"/>
          <x:color rgb="ff000000"/>
        </x:font>
      </mc:Fallback>
    </mc:AlternateContent>
  </x:fonts>
  <x:fills count="11">
    <x:fill>
      <x:patternFill patternType="none"/>
    </x:fill>
    <x:fill>
      <x:patternFill patternType="gray125"/>
    </x:fill>
    <x:fill>
      <x:patternFill patternType="solid">
        <x:fgColor rgb="ffe6b8b7"/>
        <x:bgColor indexed="64"/>
      </x:patternFill>
    </x:fill>
    <x:fill>
      <x:patternFill patternType="solid">
        <x:fgColor rgb="ff8cb3e4"/>
        <x:bgColor indexed="64"/>
      </x:patternFill>
    </x:fill>
    <x:fill>
      <x:patternFill patternType="solid">
        <x:fgColor rgb="fffadb8e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fb689"/>
        <x:bgColor indexed="64"/>
      </x:patternFill>
    </x:fill>
    <x:fill>
      <x:patternFill patternType="solid">
        <x:fgColor rgb="ffb7dee8"/>
        <x:bgColor indexed="64"/>
      </x:patternFill>
    </x:fill>
    <x:fill>
      <x:patternFill patternType="solid">
        <x:fgColor rgb="ff92cddd"/>
        <x:bgColor indexed="64"/>
      </x:patternFill>
    </x:fill>
    <x:fill>
      <x:patternFill patternType="solid">
        <x:fgColor rgb="fff2f2f2"/>
        <x:bgColor indexed="64"/>
      </x:patternFill>
    </x:fill>
  </x:fills>
  <x:borders count="75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medium">
        <x:color auto="1"/>
      </x:right>
      <x:top style="hair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hair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>
        <x:color auto="1"/>
      </x:right>
      <x:top style="hair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</x:borders>
  <x:cellStyleXfs count="4">
    <x:xf numFmtId="0" fontId="0" fillId="0" borderId="0">
      <x:alignment horizontal="general" vertical="center"/>
    </x:xf>
    <x:xf numFmtId="9" fontId="0" fillId="0" borderId="0" applyFont="1" applyFill="1" applyBorder="1" applyAlignment="1" applyProtection="1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41" fontId="0" fillId="0" borderId="0">
      <x:alignment horizontal="general" vertical="center"/>
    </x:xf>
  </x:cellStyleXfs>
  <x:cellXfs count="365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6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" xfId="2" applyNumberFormat="1" applyFont="1" applyBorder="1" applyAlignment="1">
          <x:alignment horizontal="center" vertical="center"/>
        </x:xf>
      </mc:Fallback>
    </mc:AlternateContent>
    <x:xf numFmtId="0" fontId="7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x:xf numFmtId="41" fontId="0" fillId="0" borderId="1" xfId="2" applyNumberFormat="1" applyBorder="1">
      <x:alignment horizontal="general" vertical="center"/>
    </x:xf>
    <x:xf numFmtId="164" fontId="0" fillId="0" borderId="8" xfId="1" applyNumberFormat="1" applyBorder="1">
      <x:alignment horizontal="general" vertical="center"/>
    </x:xf>
    <x:xf numFmtId="0" fontId="0" fillId="0" borderId="1" xfId="0" applyNumberFormat="1" applyBorder="1">
      <x:alignment horizontal="general" vertical="center"/>
    </x:xf>
    <x:xf numFmtId="165" fontId="0" fillId="0" borderId="1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0" fillId="0" borderId="9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9" xfId="1" applyNumberFormat="1" applyBorder="1" applyAlignment="1">
          <x:alignment horizontal="center" vertical="center"/>
        </x:xf>
      </mc:Fallback>
    </mc:AlternateContent>
    <x:xf numFmtId="164" fontId="8" fillId="0" borderId="9" xfId="1" applyNumberFormat="1" applyFont="1" applyBorder="1">
      <x:alignment horizontal="general" vertical="center"/>
    </x:xf>
    <x:xf numFmtId="164" fontId="9" fillId="0" borderId="10" xfId="1" applyNumberFormat="1" applyFont="1" applyBorder="1">
      <x:alignment horizontal="general" vertical="center"/>
    </x:xf>
    <x:xf numFmtId="0" fontId="1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3" xfId="0" applyNumberFormat="1" applyFont="1" applyBorder="1" applyAlignment="1">
          <x:alignment horizontal="center" vertical="center"/>
        </x:xf>
      </mc:Fallback>
    </mc:AlternateContent>
    <x:xf numFmtId="41" fontId="12" fillId="0" borderId="14" xfId="2" applyNumberFormat="1" applyFont="1" applyBorder="1">
      <x:alignment horizontal="general" vertical="center"/>
    </x:xf>
    <x:xf numFmtId="41" fontId="12" fillId="0" borderId="15" xfId="2" applyNumberFormat="1" applyFont="1" applyBorder="1">
      <x:alignment horizontal="general" vertical="center"/>
    </x:xf>
    <x:xf numFmtId="41" fontId="10" fillId="0" borderId="16" xfId="2" applyNumberFormat="1" applyFont="1" applyBorder="1">
      <x:alignment horizontal="general" vertical="center"/>
    </x:xf>
    <x:xf numFmtId="165" fontId="13" fillId="0" borderId="17" xfId="0" applyNumberFormat="1" applyFont="1" applyBorder="1">
      <x:alignment horizontal="general" vertical="center"/>
    </x:xf>
    <x:xf numFmtId="164" fontId="13" fillId="0" borderId="18" xfId="1" applyNumberFormat="1" applyFont="1" applyBorder="1">
      <x:alignment horizontal="general" vertical="center"/>
    </x:xf>
    <x:xf numFmtId="164" fontId="13" fillId="0" borderId="19" xfId="1" applyNumberFormat="1" applyFont="1" applyBorder="1">
      <x:alignment horizontal="general" vertical="center"/>
    </x:xf>
    <x:xf numFmtId="41" fontId="12" fillId="0" borderId="7" xfId="2" applyNumberFormat="1" applyFont="1" applyBorder="1">
      <x:alignment horizontal="general" vertical="center"/>
    </x:xf>
    <x:xf numFmtId="41" fontId="12" fillId="0" borderId="1" xfId="2" applyNumberFormat="1" applyFont="1" applyBorder="1">
      <x:alignment horizontal="general" vertical="center"/>
    </x:xf>
    <x:xf numFmtId="165" fontId="13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2" fillId="0" borderId="8" xfId="2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8" xfId="2" applyNumberFormat="1" applyFont="1" applyBorder="1" applyAlignment="1">
          <x:alignment horizontal="right" vertical="center"/>
        </x:xf>
      </mc:Fallback>
    </mc:AlternateContent>
    <x:xf numFmtId="165" fontId="13" fillId="0" borderId="2" xfId="0" applyNumberFormat="1" applyFont="1" applyBorder="1">
      <x:alignment horizontal="general" vertical="center"/>
    </x:xf>
    <x:xf numFmtId="164" fontId="13" fillId="0" borderId="20" xfId="1" applyNumberFormat="1" applyFont="1" applyBorder="1">
      <x:alignment horizontal="general" vertical="center"/>
    </x:xf>
    <x:xf numFmtId="41" fontId="12" fillId="0" borderId="8" xfId="2" applyNumberFormat="1" applyFont="1" applyBorder="1">
      <x:alignment horizontal="general" vertical="center"/>
    </x:xf>
    <x:xf numFmtId="164" fontId="13" fillId="0" borderId="21" xfId="1" applyNumberFormat="1" applyFont="1" applyBorder="1">
      <x:alignment horizontal="general" vertical="center"/>
    </x:xf>
    <x:xf numFmtId="164" fontId="13" fillId="0" borderId="8" xfId="1" applyNumberFormat="1" applyFont="1" applyBorder="1">
      <x:alignment horizontal="general" vertical="center"/>
    </x:xf>
    <x:xf numFmtId="10" fontId="12" fillId="0" borderId="8" xfId="2" applyNumberFormat="1" applyFont="1" applyBorder="1">
      <x:alignment horizontal="general" vertical="center"/>
    </x:xf>
    <x:xf numFmtId="41" fontId="14" fillId="0" borderId="22" xfId="2" applyNumberFormat="1" applyFont="1" applyBorder="1">
      <x:alignment horizontal="general" vertical="center"/>
    </x:xf>
    <x:xf numFmtId="41" fontId="14" fillId="0" borderId="2" xfId="2" applyNumberFormat="1" applyFont="1" applyBorder="1">
      <x:alignment horizontal="general" vertical="center"/>
    </x:xf>
    <x:xf numFmtId="41" fontId="14" fillId="0" borderId="20" xfId="2" applyNumberFormat="1" applyFont="1" applyBorder="1">
      <x:alignment horizontal="general" vertical="center"/>
    </x:xf>
    <x:xf numFmtId="165" fontId="13" fillId="0" borderId="23" xfId="0" applyNumberFormat="1" applyFont="1" applyBorder="1">
      <x:alignment horizontal="general" vertical="center"/>
    </x:xf>
    <x:xf numFmtId="164" fontId="13" fillId="0" borderId="24" xfId="1" applyNumberFormat="1" applyFont="1" applyBorder="1">
      <x:alignment horizontal="general" vertical="center"/>
    </x:xf>
    <x:xf numFmtId="165" fontId="13" fillId="0" borderId="25" xfId="0" applyNumberFormat="1" applyFont="1" applyBorder="1">
      <x:alignment horizontal="general" vertical="center"/>
    </x:xf>
    <x:xf numFmtId="164" fontId="13" fillId="0" borderId="25" xfId="1" applyNumberFormat="1" applyFont="1" applyBorder="1">
      <x:alignment horizontal="general" vertical="center"/>
    </x:xf>
    <x:xf numFmtId="164" fontId="13" fillId="0" borderId="2" xfId="1" applyNumberFormat="1" applyFont="1" applyBorder="1">
      <x:alignment horizontal="general" vertical="center"/>
    </x:xf>
    <x:xf numFmtId="0" fontId="15" fillId="0" borderId="26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NumberFormat="1" applyFont="1" applyAlignment="1">
          <x:alignment horizontal="center" vertical="center"/>
        </x:xf>
      </mc:Fallback>
    </mc:AlternateContent>
    <x:xf numFmtId="0" fontId="15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" xfId="0" applyNumberFormat="1" applyFont="1" applyBorder="1" applyAlignment="1">
          <x:alignment horizontal="center" vertical="center"/>
        </x:xf>
      </mc:Fallback>
    </mc:AlternateContent>
    <x:xf numFmtId="41" fontId="15" fillId="0" borderId="8" xfId="2" applyNumberFormat="1" applyFont="1" applyBorder="1">
      <x:alignment horizontal="general" vertical="center"/>
    </x:xf>
    <x:xf numFmtId="0" fontId="15" fillId="0" borderId="1" xfId="0" applyNumberFormat="1" applyFont="1" applyBorder="1" applyAlignment="1">
      <x:alignment horizontal="left" vertical="center"/>
    </x:xf>
    <x:xf numFmtId="41" fontId="7" fillId="0" borderId="0" xfId="3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" xfId="0" applyNumberFormat="1" applyFont="1" applyFill="1" applyBorder="1" applyAlignment="1">
          <x:alignment horizontal="center" vertical="center"/>
        </x:xf>
      </mc:Fallback>
    </mc:AlternateContent>
    <x:xf numFmtId="41" fontId="15" fillId="2" borderId="8" xfId="2" applyNumberFormat="1" applyFont="1" applyFill="1" applyBorder="1">
      <x:alignment horizontal="general" vertical="center"/>
    </x:xf>
    <x:xf numFmtId="9" fontId="15" fillId="2" borderId="8" xfId="2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15" fillId="2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5" fillId="2" borderId="20" xfId="0" applyNumberFormat="1" applyFont="1" applyFill="1" applyBorder="1" applyAlignment="1">
          <x:alignment horizontal="right" vertical="center"/>
        </x:xf>
      </mc:Fallback>
    </mc:AlternateContent>
    <x:xf numFmtId="41" fontId="15" fillId="0" borderId="0" xfId="2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6" xfId="0" applyNumberFormat="1" applyFont="1" applyBorder="1" applyAlignment="1">
          <x:alignment horizontal="center" vertical="center"/>
        </x:xf>
      </mc:Fallback>
    </mc:AlternateContent>
    <x:xf numFmtId="0" fontId="0" fillId="0" borderId="0" xfId="0" applyNumberFormat="1" applyAlignment="1">
      <x:alignment horizontal="general" vertical="top" wrapText="1"/>
    </x:xf>
    <x:xf numFmtId="164" fontId="0" fillId="0" borderId="27" xfId="1" applyNumberFormat="1" applyBorder="1">
      <x:alignment horizontal="general" vertical="center"/>
    </x:xf>
    <x:xf numFmtId="164" fontId="0" fillId="0" borderId="23" xfId="1" applyNumberFormat="1" applyBorder="1">
      <x:alignment horizontal="general" vertical="center"/>
    </x:xf>
    <x:xf numFmtId="164" fontId="0" fillId="0" borderId="2" xfId="1" applyNumberFormat="1" applyBorder="1">
      <x:alignment horizontal="general" vertical="center"/>
    </x:xf>
    <x:xf numFmtId="164" fontId="13" fillId="0" borderId="28" xfId="1" applyNumberFormat="1" applyFont="1" applyBorder="1">
      <x:alignment horizontal="general" vertical="center"/>
    </x:xf>
    <x:xf numFmtId="0" fontId="10" fillId="0" borderId="8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top" wrapText="1"/>
        </x:xf>
      </mc:Fallback>
    </mc:AlternateContent>
    <x:xf numFmtId="164" fontId="13" fillId="0" borderId="23" xfId="1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0" applyNumberFormat="1" applyFont="1" applyBorder="1" applyAlignment="1">
          <x:alignment horizontal="center" vertical="center"/>
        </x:xf>
      </mc:Fallback>
    </mc:AlternateContent>
    <x:xf numFmtId="41" fontId="0" fillId="0" borderId="0" xfId="0" applyNumberFormat="1" applyAlignment="1">
      <x:alignment horizontal="general" vertical="top" wrapText="1"/>
    </x:xf>
    <x:xf numFmtId="165" fontId="0" fillId="0" borderId="27" xfId="0" applyNumberFormat="1" applyBorder="1">
      <x:alignment horizontal="general" vertical="center"/>
    </x:xf>
    <x:xf numFmtId="165" fontId="0" fillId="0" borderId="25" xfId="0" applyNumberFormat="1" applyBorder="1">
      <x:alignment horizontal="general" vertical="center"/>
    </x:xf>
    <x:xf numFmtId="164" fontId="0" fillId="0" borderId="21" xfId="1" applyNumberFormat="1" applyBorder="1">
      <x:alignment horizontal="general" vertical="center"/>
    </x:xf>
    <x:xf numFmtId="165" fontId="0" fillId="0" borderId="2" xfId="0" applyNumberFormat="1" applyBorder="1">
      <x:alignment horizontal="general" vertical="center"/>
    </x:xf>
    <x:xf numFmtId="164" fontId="0" fillId="0" borderId="20" xfId="1" applyNumberFormat="1" applyBorder="1">
      <x:alignment horizontal="general" vertical="center"/>
    </x:xf>
    <x:xf numFmtId="0" fontId="15" fillId="0" borderId="30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0" applyNumberFormat="1" applyFont="1" applyBorder="1" applyAlignment="1">
          <x:alignment horizontal="center" vertical="center"/>
        </x:xf>
      </mc:Fallback>
    </mc:AlternateContent>
    <x:xf numFmtId="164" fontId="0" fillId="0" borderId="9" xfId="1" applyNumberFormat="1" applyBorder="1">
      <x:alignment horizontal="general" vertical="center"/>
    </x:xf>
    <x:xf numFmtId="41" fontId="0" fillId="0" borderId="2" xfId="2" applyNumberFormat="1" applyBorder="1">
      <x:alignment horizontal="general" vertical="center"/>
    </x:xf>
    <x:xf numFmtId="41" fontId="0" fillId="0" borderId="0" xfId="2" applyNumberFormat="1">
      <x:alignment horizontal="general" vertical="center"/>
    </x:xf>
    <x:xf numFmtId="165" fontId="0" fillId="0" borderId="0" xfId="0" applyNumberFormat="1">
      <x:alignment horizontal="general" vertical="center"/>
    </x:xf>
    <x:xf numFmtId="165" fontId="10" fillId="0" borderId="0" xfId="0" applyNumberFormat="1" applyFont="1">
      <x:alignment horizontal="general" vertical="center"/>
    </x:xf>
    <x:xf numFmtId="0" fontId="15" fillId="0" borderId="0" xfId="0" applyNumberFormat="1" applyFont="1" applyAlignment="1">
      <x:alignment horizontal="left" vertical="center"/>
    </x:xf>
    <x:xf numFmtId="0" fontId="0" fillId="0" borderId="17" xfId="0" applyNumberFormat="1" applyBorder="1">
      <x:alignment horizontal="general" vertical="center"/>
    </x:xf>
    <x:xf numFmtId="0" fontId="15" fillId="0" borderId="3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9" xfId="0" applyNumberFormat="1" applyFont="1" applyBorder="1" applyAlignment="1">
          <x:alignment horizontal="center" vertical="center"/>
        </x:xf>
      </mc:Fallback>
    </mc:AlternateContent>
    <x:xf numFmtId="166" fontId="9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6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Alignment="1">
          <x:alignment horizontal="center" vertical="center"/>
        </x:xf>
      </mc:Fallback>
    </mc:AlternateContent>
    <x:xf numFmtId="0" fontId="18" fillId="0" borderId="27" xfId="0" applyNumberFormat="1" applyFont="1" applyBorder="1">
      <x:alignment horizontal="general" vertical="center"/>
    </x:xf>
    <x:xf numFmtId="41" fontId="0" fillId="0" borderId="0" xfId="0" applyNumberFormat="1">
      <x:alignment horizontal="general" vertical="center"/>
    </x:xf>
    <x:xf numFmtId="167" fontId="0" fillId="0" borderId="0" xfId="0" applyNumberFormat="1">
      <x:alignment horizontal="general" vertical="center"/>
    </x:xf>
    <x:xf numFmtId="41" fontId="0" fillId="0" borderId="17" xfId="2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1" xfId="0" applyNumberFormat="1" applyFont="1" applyFill="1" applyBorder="1" applyAlignment="1">
          <x:alignment horizontal="center" vertical="center"/>
        </x:xf>
      </mc:Fallback>
    </mc:AlternateContent>
    <x:xf numFmtId="41" fontId="15" fillId="3" borderId="8" xfId="2" applyNumberFormat="1" applyFont="1" applyFill="1" applyBorder="1">
      <x:alignment horizontal="general" vertical="center"/>
    </x:xf>
    <x:xf numFmtId="9" fontId="15" fillId="3" borderId="8" xfId="2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9" fontId="15" fillId="3" borderId="8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5" fillId="3" borderId="8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29" xfId="0" applyNumberFormat="1" applyFont="1" applyFill="1" applyBorder="1" applyAlignment="1">
          <x:alignment horizontal="center" vertical="center"/>
        </x:xf>
      </mc:Fallback>
    </mc:AlternateContent>
    <x:xf numFmtId="41" fontId="15" fillId="4" borderId="8" xfId="0" applyNumberFormat="1" applyFont="1" applyFill="1" applyBorder="1">
      <x:alignment horizontal="general" vertical="center"/>
    </x:xf>
    <x:xf numFmtId="9" fontId="15" fillId="4" borderId="8" xfId="0" applyNumberFormat="1" applyFont="1" applyFill="1" applyBorder="1">
      <x:alignment horizontal="general" vertical="center"/>
    </x:xf>
    <x:xf numFmtId="168" fontId="15" fillId="4" borderId="8" xfId="0" applyNumberFormat="1" applyFont="1" applyFill="1" applyBorder="1">
      <x:alignment horizontal="general" vertical="center"/>
    </x:xf>
    <x:xf numFmtId="165" fontId="13" fillId="0" borderId="27" xfId="0" applyNumberFormat="1" applyFont="1" applyBorder="1">
      <x:alignment horizontal="general" vertical="center"/>
    </x:xf>
    <x:xf numFmtId="164" fontId="13" fillId="0" borderId="32" xfId="1" applyNumberFormat="1" applyFont="1" applyBorder="1">
      <x:alignment horizontal="general" vertical="center"/>
    </x:xf>
    <x:xf numFmtId="164" fontId="13" fillId="0" borderId="33" xfId="1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9" fillId="0" borderId="3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9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9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0" xfId="2" applyNumberFormat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0" xfId="2" applyNumberFormat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1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1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8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8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0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0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1" xfId="2" applyNumberFormat="1" applyFont="1" applyFill="1" applyBorder="1" applyAlignment="1">
          <x:alignment horizontal="center" vertical="center"/>
        </x:xf>
      </mc:Fallback>
    </mc:AlternateContent>
    <x:xf numFmtId="41" fontId="15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15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5" fillId="0" borderId="8" xfId="0" applyNumberFormat="1" applyFont="1" applyBorder="1" applyAlignment="1">
          <x:alignment horizontal="center" vertical="center"/>
        </x:xf>
      </mc:Fallback>
    </mc:AlternateContent>
    <x:xf numFmtId="0" fontId="0" fillId="0" borderId="1" xfId="0" applyNumberFormat="1" applyFont="1" applyBorder="1">
      <x:alignment horizontal="general" vertical="center"/>
    </x:xf>
    <x:xf numFmtId="0" fontId="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2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2" xfId="0" applyNumberFormat="1" applyFont="1" applyBorder="1" applyAlignment="1">
          <x:alignment horizontal="center" vertical="top" wrapText="1"/>
        </x:xf>
      </mc:Fallback>
    </mc:AlternateContent>
    <x:xf numFmtId="165" fontId="0" fillId="6" borderId="2" xfId="0" applyNumberFormat="1" applyFill="1" applyBorder="1">
      <x:alignment horizontal="general" vertical="center"/>
    </x:xf>
    <x:xf numFmtId="41" fontId="0" fillId="6" borderId="2" xfId="2" applyNumberForma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Fon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6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6" xfId="0" applyNumberFormat="1" applyFont="1" applyBorder="1" applyAlignment="1">
          <x:alignment horizontal="center" vertical="top" wrapText="1"/>
        </x:xf>
      </mc:Fallback>
    </mc:AlternateContent>
    <x:xf numFmtId="0" fontId="0" fillId="0" borderId="1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0" borderId="2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" xfId="0" applyNumberFormat="1" applyFont="1" applyBorder="1" applyAlignment="1">
          <x:alignment horizontal="center" vertical="center"/>
        </x:xf>
      </mc:Fallback>
    </mc:AlternateContent>
    <x:xf numFmtId="9" fontId="0" fillId="0" borderId="8" xfId="1" applyNumberFormat="1" applyBorder="1">
      <x:alignment horizontal="general" vertical="center"/>
    </x:xf>
    <x:xf numFmtId="9" fontId="0" fillId="0" borderId="27" xfId="1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7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1" xfId="0" applyNumberFormat="1" applyFont="1" applyFill="1" applyBorder="1" applyAlignment="1">
          <x:alignment horizontal="center" vertical="center"/>
        </x:xf>
      </mc:Fallback>
    </mc:AlternateContent>
    <x:xf numFmtId="41" fontId="15" fillId="6" borderId="8" xfId="2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8" fillId="0" borderId="1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1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3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3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3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3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4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9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42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42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9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9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8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8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45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45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46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46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48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48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33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33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28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28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4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4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9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13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3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39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39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" xfId="2" applyNumberFormat="1" applyFont="1" applyBorder="1" applyAlignment="1">
          <x:alignment horizontal="center" vertical="center"/>
        </x:xf>
      </mc:Fallback>
    </mc:AlternateContent>
    <x:xf numFmtId="0" fontId="6" fillId="0" borderId="32" xfId="0" applyNumberFormat="1" applyFont="1" applyBorder="1" applyAlignment="1">
      <x:alignment horizontal="left" vertical="top"/>
    </x:xf>
    <x:xf numFmtId="0" fontId="6" fillId="0" borderId="57" xfId="0" applyNumberFormat="1" applyFont="1" applyBorder="1" applyAlignment="1">
      <x:alignment horizontal="left" vertical="top"/>
    </x:xf>
    <x:xf numFmtId="0" fontId="6" fillId="0" borderId="58" xfId="0" applyNumberFormat="1" applyFont="1" applyBorder="1" applyAlignment="1">
      <x:alignment horizontal="left" vertical="top"/>
    </x:xf>
    <x:xf numFmtId="0" fontId="6" fillId="0" borderId="24" xfId="0" applyNumberFormat="1" applyFont="1" applyBorder="1" applyAlignment="1">
      <x:alignment horizontal="left" vertical="top"/>
    </x:xf>
    <x:xf numFmtId="0" fontId="6" fillId="0" borderId="0" xfId="0" applyNumberFormat="1" applyFont="1" applyAlignment="1">
      <x:alignment horizontal="left" vertical="top"/>
    </x:xf>
    <x:xf numFmtId="0" fontId="6" fillId="0" borderId="59" xfId="0" applyNumberFormat="1" applyFont="1" applyBorder="1" applyAlignment="1">
      <x:alignment horizontal="left" vertical="top"/>
    </x:xf>
    <x:xf numFmtId="0" fontId="6" fillId="0" borderId="18" xfId="0" applyNumberFormat="1" applyFont="1" applyBorder="1" applyAlignment="1">
      <x:alignment horizontal="left" vertical="top"/>
    </x:xf>
    <x:xf numFmtId="0" fontId="6" fillId="0" borderId="60" xfId="0" applyNumberFormat="1" applyFont="1" applyBorder="1" applyAlignment="1">
      <x:alignment horizontal="left" vertical="top"/>
    </x:xf>
    <x:xf numFmtId="0" fontId="6" fillId="0" borderId="61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6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3" xfId="2" applyNumberFormat="1" applyFont="1" applyBorder="1" applyAlignment="1">
          <x:alignment horizontal="center" vertical="center"/>
        </x:xf>
      </mc:Fallback>
    </mc:AlternateContent>
    <x:xf numFmtId="0" fontId="6" fillId="0" borderId="1" xfId="0" applyNumberFormat="1" applyFont="1" applyBorder="1" applyAlignment="1">
      <x:alignment horizontal="left" vertical="top"/>
    </x:xf>
    <x:xf numFmtId="0" fontId="6" fillId="0" borderId="64" xfId="0" applyNumberFormat="1" applyFont="1" applyBorder="1" applyAlignment="1">
      <x:alignment horizontal="left" vertical="center"/>
    </x:xf>
    <x:xf numFmtId="0" fontId="6" fillId="0" borderId="65" xfId="0" applyNumberFormat="1" applyFont="1" applyBorder="1" applyAlignment="1">
      <x:alignment horizontal="left" vertical="center"/>
    </x:xf>
    <x:xf numFmtId="0" fontId="20" fillId="0" borderId="66" xfId="0" applyNumberFormat="1" applyFont="1" applyBorder="1" applyAlignment="1">
      <x:alignment horizontal="left" vertical="center"/>
    </x:xf>
    <x:xf numFmtId="0" fontId="20" fillId="0" borderId="67" xfId="0" applyNumberFormat="1" applyFont="1" applyBorder="1" applyAlignment="1">
      <x:alignment horizontal="left" vertical="center"/>
    </x:xf>
    <x:xf numFmtId="41" fontId="6" fillId="0" borderId="62" xfId="2" applyNumberFormat="1" applyFont="1" applyBorder="1" applyAlignment="1">
      <x:alignment horizontal="left" vertical="top"/>
    </x:xf>
    <x:xf numFmtId="41" fontId="6" fillId="0" borderId="68" xfId="2" applyNumberFormat="1" applyFont="1" applyBorder="1" applyAlignment="1">
      <x:alignment horizontal="left" vertical="top"/>
    </x:xf>
    <x:xf numFmtId="41" fontId="6" fillId="0" borderId="29" xfId="2" applyNumberFormat="1" applyFont="1" applyBorder="1" applyAlignment="1">
      <x:alignment horizontal="left" vertical="top"/>
    </x:xf>
    <x:xf numFmtId="41" fontId="6" fillId="0" borderId="69" xfId="2" applyNumberFormat="1" applyFont="1" applyBorder="1" applyAlignment="1">
      <x:alignment horizontal="left" vertical="top"/>
    </x:xf>
    <x:xf numFmtId="0" fontId="6" fillId="0" borderId="62" xfId="0" applyNumberFormat="1" applyFont="1" applyBorder="1" applyAlignment="1">
      <x:alignment horizontal="left" vertical="top"/>
    </x:xf>
    <x:xf numFmtId="0" fontId="6" fillId="0" borderId="68" xfId="0" applyNumberFormat="1" applyFont="1" applyBorder="1" applyAlignment="1">
      <x:alignment horizontal="left" vertical="top"/>
    </x:xf>
    <x:xf numFmtId="0" fontId="6" fillId="0" borderId="29" xfId="0" applyNumberFormat="1" applyFont="1" applyBorder="1" applyAlignment="1">
      <x:alignment horizontal="left" vertical="top"/>
    </x:xf>
    <x:xf numFmtId="0" fontId="6" fillId="0" borderId="69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6" fillId="0" borderId="6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7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7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7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7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7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6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6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7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3" xfId="0" applyNumberFormat="1" applyFont="1" applyFill="1" applyBorder="1" applyAlignment="1">
          <x:alignment horizontal="center" vertical="center"/>
        </x:xf>
      </mc:Fallback>
    </mc:AlternateContent>
    <x:xf numFmtId="0" fontId="7" fillId="2" borderId="74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3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25" xfId="0" applyNumberFormat="1" applyFont="1" applyFill="1" applyBorder="1" applyAlignment="1">
          <x:alignment horizontal="center" vertical="center"/>
        </x:xf>
      </mc:Fallback>
    </mc:AlternateContent>
    <x:xf numFmtId="0" fontId="7" fillId="3" borderId="21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5" fillId="0" borderId="4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4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9" borderId="3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9" borderId="3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9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9" borderId="2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9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9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9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9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2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2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5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5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2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2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3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3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0" xfId="0" applyNumberFormat="1" applyFont="1" applyBorder="1" applyAlignment="1">
          <x:alignment horizontal="center" vertical="center"/>
        </x:xf>
      </mc:Fallback>
    </mc:AlternateContent>
    <x:xf numFmtId="41" fontId="15" fillId="0" borderId="1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62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62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2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2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2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2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7" xfId="0" applyNumberFormat="1" applyFont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1" fontId="15" fillId="0" borderId="3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3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6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6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4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4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62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62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2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2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6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6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62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62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2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2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10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10" borderId="1" xfId="2" applyNumberFormat="1" applyFont="1" applyFill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 applyAlignment="1">
      <x:alignment horizontal="left" vertical="top" wrapText="1"/>
    </x:xf>
    <x:xf numFmtId="0" fontId="15" fillId="0" borderId="1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15" fillId="4" borderId="7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6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6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8" xfId="0" applyNumberFormat="1" applyFont="1" applyBorder="1" applyAlignment="1">
          <x:alignment horizontal="center" vertical="center"/>
        </x:xf>
      </mc:Fallback>
    </mc:AlternateContent>
    <x:xf numFmtId="0" fontId="15" fillId="0" borderId="62" xfId="0" applyNumberFormat="1" applyFont="1" applyBorder="1" applyAlignment="1">
      <x:alignment horizontal="left" vertical="top" wrapText="1"/>
    </x:xf>
    <x:xf numFmtId="0" fontId="15" fillId="0" borderId="68" xfId="0" applyNumberFormat="1" applyFont="1" applyBorder="1" applyAlignment="1">
      <x:alignment horizontal="left" vertical="top" wrapText="1"/>
    </x:xf>
    <x:xf numFmtId="0" fontId="15" fillId="0" borderId="29" xfId="0" applyNumberFormat="1" applyFont="1" applyBorder="1" applyAlignment="1">
      <x:alignment horizontal="left" vertical="top" wrapText="1"/>
    </x:xf>
    <mc:AlternateContent xmlns:mc="http://schemas.openxmlformats.org/markup-compatibility/2006">
      <mc:Choice xmlns:hs="http://schemas.haansoft.com/office/spreadsheet/8.0" Requires="hs">
        <x:xf numFmtId="0" fontId="15" fillId="2" borderId="7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9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9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9" borderId="5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9" borderId="5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9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9" borderId="4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9" borderId="4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9" borderId="4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5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5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53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53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44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44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3" borderId="5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5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3" borderId="7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7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0" applyNumberFormat="1" applyFont="1" applyBorder="1" applyAlignment="1">
          <x:alignment horizontal="center" vertical="center" shrinkToFit="1"/>
        </x:xf>
      </mc:Fallback>
    </mc:AlternateContent>
    <x:xf numFmtId="0" fontId="15" fillId="0" borderId="62" xfId="0" applyNumberFormat="1" applyFont="1" applyBorder="1" applyAlignment="1">
      <x:alignment horizontal="left" vertical="center" wrapText="1"/>
    </x:xf>
    <x:xf numFmtId="0" fontId="15" fillId="0" borderId="68" xfId="0" applyNumberFormat="1" applyFont="1" applyBorder="1" applyAlignment="1">
      <x:alignment horizontal="left" vertical="center" wrapText="1"/>
    </x:xf>
    <x:xf numFmtId="0" fontId="15" fillId="0" borderId="29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0" borderId="7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3" xfId="0" applyNumberFormat="1" applyFont="1" applyBorder="1" applyAlignment="1">
          <x:alignment horizontal="center" vertical="center"/>
        </x:xf>
      </mc:Fallback>
    </mc:AlternateContent>
    <x:xf numFmtId="41" fontId="16" fillId="0" borderId="62" xfId="2" applyNumberFormat="1" applyFont="1" applyBorder="1" applyAlignment="1">
      <x:alignment horizontal="left" vertical="center"/>
    </x:xf>
    <x:xf numFmtId="41" fontId="16" fillId="0" borderId="68" xfId="2" applyNumberFormat="1" applyFont="1" applyBorder="1" applyAlignment="1">
      <x:alignment horizontal="left" vertical="center"/>
    </x:xf>
    <x:xf numFmtId="41" fontId="16" fillId="0" borderId="29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15" fillId="0" borderId="6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6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4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4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10" borderId="62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10" borderId="62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10" borderId="2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10" borderId="2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right" vertical="center"/>
        </x:xf>
      </mc:Fallback>
    </mc:AlternateContent>
    <x:xf numFmtId="3" fontId="15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right" vertical="center"/>
        </x:xf>
      </mc:Fallback>
    </mc:AlternateContent>
    <x:xf numFmtId="41" fontId="15" fillId="0" borderId="62" xfId="2" applyNumberFormat="1" applyFont="1" applyBorder="1" applyAlignment="1">
      <x:alignment horizontal="left" vertical="center"/>
    </x:xf>
    <x:xf numFmtId="41" fontId="15" fillId="0" borderId="68" xfId="2" applyNumberFormat="1" applyFont="1" applyBorder="1" applyAlignment="1">
      <x:alignment horizontal="left" vertical="center"/>
    </x:xf>
    <x:xf numFmtId="41" fontId="15" fillId="0" borderId="29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15" fillId="4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4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3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3" fontId="15" fillId="5" borderId="1" xfId="2" applyNumberFormat="1" applyFont="1" applyFill="1" applyBorder="1" applyAlignment="1">
          <x:alignment horizontal="center" vertical="center"/>
        </x:xf>
      </mc:Fallback>
    </mc:AlternateContent>
  </x:cellXfs>
  <x:cellStyles count="4">
    <x:cellStyle name="표준" xfId="0" builtinId="0"/>
    <x:cellStyle name="백분율" xfId="1" builtinId="5"/>
    <x:cellStyle name="쉼표 [0]" xfId="2" builtinId="6"/>
    <x:cellStyle name="쉼표 [0] 3" xfId="3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16" Type="http://schemas.openxmlformats.org/officeDocument/2006/relationships/worksheet" Target="worksheets/sheet13.xml"  /><Relationship Id="rId17" Type="http://schemas.openxmlformats.org/officeDocument/2006/relationships/worksheet" Target="worksheets/sheet14.xml"  /><Relationship Id="rId18" Type="http://schemas.openxmlformats.org/officeDocument/2006/relationships/worksheet" Target="worksheets/sheet15.xml"  /><Relationship Id="rId19" Type="http://schemas.openxmlformats.org/officeDocument/2006/relationships/worksheet" Target="worksheets/sheet16.xml"  /><Relationship Id="rId2" Type="http://schemas.openxmlformats.org/officeDocument/2006/relationships/styles" Target="styles.xml"  /><Relationship Id="rId20" Type="http://schemas.openxmlformats.org/officeDocument/2006/relationships/worksheet" Target="worksheets/sheet17.xml"  /><Relationship Id="rId21" Type="http://schemas.openxmlformats.org/officeDocument/2006/relationships/worksheet" Target="worksheets/sheet18.xml"  /><Relationship Id="rId22" Type="http://schemas.openxmlformats.org/officeDocument/2006/relationships/worksheet" Target="worksheets/sheet19.xml"  /><Relationship Id="rId23" Type="http://schemas.openxmlformats.org/officeDocument/2006/relationships/worksheet" Target="worksheets/sheet20.xml"  /><Relationship Id="rId24" Type="http://schemas.openxmlformats.org/officeDocument/2006/relationships/worksheet" Target="worksheets/sheet21.xml"  /><Relationship Id="rId25" Type="http://schemas.openxmlformats.org/officeDocument/2006/relationships/worksheet" Target="worksheets/sheet22.xml"  /><Relationship Id="rId26" Type="http://schemas.openxmlformats.org/officeDocument/2006/relationships/worksheet" Target="worksheets/sheet23.xml"  /><Relationship Id="rId27" Type="http://schemas.openxmlformats.org/officeDocument/2006/relationships/worksheet" Target="worksheets/sheet24.xml"  /><Relationship Id="rId28" Type="http://schemas.openxmlformats.org/officeDocument/2006/relationships/worksheet" Target="worksheets/sheet25.xml"  /><Relationship Id="rId29" Type="http://schemas.openxmlformats.org/officeDocument/2006/relationships/worksheet" Target="worksheets/sheet26.xml"  /><Relationship Id="rId3" Type="http://schemas.openxmlformats.org/officeDocument/2006/relationships/sharedStrings" Target="sharedStrings.xml"  /><Relationship Id="rId30" Type="http://schemas.openxmlformats.org/officeDocument/2006/relationships/worksheet" Target="worksheets/sheet27.xml"  /><Relationship Id="rId31" Type="http://schemas.openxmlformats.org/officeDocument/2006/relationships/worksheet" Target="worksheets/sheet28.xml"  /><Relationship Id="rId32" Type="http://schemas.openxmlformats.org/officeDocument/2006/relationships/worksheet" Target="worksheets/sheet29.xml"  /><Relationship Id="rId33" Type="http://schemas.openxmlformats.org/officeDocument/2006/relationships/worksheet" Target="worksheets/sheet30.xml"  /><Relationship Id="rId34" Type="http://schemas.openxmlformats.org/officeDocument/2006/relationships/worksheet" Target="worksheets/sheet31.xml"  /><Relationship Id="rId35" Type="http://schemas.openxmlformats.org/officeDocument/2006/relationships/worksheet" Target="worksheets/sheet32.xml"  /><Relationship Id="rId36" Type="http://schemas.openxmlformats.org/officeDocument/2006/relationships/worksheet" Target="worksheets/sheet33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charts/chart8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roundedCorners val="0"/>
  <c:chart>
    <c:title>
      <c:layout/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'10'!$C$1:$C$11</c:f>
              <c:strCache>
                <c:ptCount val="1"/>
                <c:pt idx="0">
                  <c:v>2025년4,417,0003,757,500659,50099,40056,000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8">
                    <c:v>오겹살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4417000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'10'!$C$12:$C$34</c:f>
              <c:numCache>
                <c:formatCode>General</c:formatCode>
                <c:ptCount val="23"/>
                <c:pt idx="0">
                  <c:v>8</c:v>
                </c:pt>
                <c:pt idx="1">
                  <c:v>77</c:v>
                </c:pt>
                <c:pt idx="2">
                  <c:v>22</c:v>
                </c:pt>
                <c:pt idx="3">
                  <c:v>220</c:v>
                </c:pt>
                <c:pt idx="4">
                  <c:v>3</c:v>
                </c:pt>
                <c:pt idx="5">
                  <c:v>37</c:v>
                </c:pt>
                <c:pt idx="6">
                  <c:v>9</c:v>
                </c:pt>
                <c:pt idx="7">
                  <c:v>87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>0</c:v>
                </c:pt>
                <c:pt idx="13">
                  <c:v>4083000</c:v>
                </c:pt>
                <c:pt idx="14">
                  <c:v/>
                </c:pt>
                <c:pt idx="15">
                  <c:v>133333.333333333</c:v>
                </c:pt>
                <c:pt idx="16">
                  <c:v>126666.666666667</c:v>
                </c:pt>
                <c:pt idx="17">
                  <c:v>106666.666666667</c:v>
                </c:pt>
                <c:pt idx="18">
                  <c:v/>
                </c:pt>
                <c:pt idx="19">
                  <c:v>116666.666666667</c:v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1"/>
          <c:order val="1"/>
          <c:tx>
            <c:strRef>
              <c:f>'10'!$D$1:$D$11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8">
                    <c:v>오겹살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4417000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'10'!$D$12:$D$34</c:f>
              <c:numCache>
                <c:formatCode>General</c:formatCode>
                <c:ptCount val="23"/>
                <c:pt idx="0">
                  <c:v>0</c:v>
                </c:pt>
                <c:pt idx="1">
                  <c:v/>
                </c:pt>
                <c:pt idx="2">
                  <c:v>0</c:v>
                </c:pt>
                <c:pt idx="3">
                  <c:v/>
                </c:pt>
                <c:pt idx="4">
                  <c:v>0</c:v>
                </c:pt>
                <c:pt idx="5">
                  <c:v/>
                </c:pt>
                <c:pt idx="6">
                  <c:v>0</c:v>
                </c:pt>
                <c:pt idx="7">
                  <c:v/>
                </c:pt>
                <c:pt idx="8">
                  <c:v>0</c:v>
                </c:pt>
                <c:pt idx="9">
                  <c:v>0</c:v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2"/>
          <c:order val="2"/>
          <c:tx>
            <c:strRef>
              <c:f>'10'!$E$1:$E$11</c:f>
              <c:strCache>
                <c:ptCount val="1"/>
                <c:pt idx="0">
                  <c:v>9월시재카드수수료(2.75%)현금수수료(1%)통장입금마감잔금카드할인</c:v>
                </c:pt>
              </c:strCache>
            </c:strRef>
          </c:tx>
          <c:spPr>
            <a:solidFill>
              <a:schemeClr val="accent3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8">
                    <c:v>오겹살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4417000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'10'!$E$12:$E$34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>0</c:v>
                </c:pt>
                <c:pt idx="13">
                  <c:v>40830000</c:v>
                </c:pt>
                <c:pt idx="14">
                  <c:v/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/>
                </c:pt>
                <c:pt idx="19">
                  <c:v>0</c:v>
                </c:pt>
                <c:pt idx="20">
                  <c:v>0</c:v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3"/>
          <c:order val="3"/>
          <c:tx>
            <c:strRef>
              <c:f>'10'!$F$1:$F$11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8">
                    <c:v>오겹살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4417000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'10'!$F$12:$F$34</c:f>
              <c:numCache>
                <c:formatCode>General</c:formatCode>
                <c:ptCount val="23"/>
                <c:pt idx="0">
                  <c:v>7</c:v>
                </c:pt>
                <c:pt idx="1">
                  <c:v>50</c:v>
                </c:pt>
                <c:pt idx="2">
                  <c:v>8</c:v>
                </c:pt>
                <c:pt idx="3">
                  <c:v>92</c:v>
                </c:pt>
                <c:pt idx="4">
                  <c:v>3</c:v>
                </c:pt>
                <c:pt idx="5">
                  <c:v>38</c:v>
                </c:pt>
                <c:pt idx="6">
                  <c:v>1</c:v>
                </c:pt>
                <c:pt idx="7">
                  <c:v>38</c:v>
                </c:pt>
                <c:pt idx="8">
                  <c:v>58</c:v>
                </c:pt>
                <c:pt idx="9">
                  <c:v>584</c:v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>65000</c:v>
                </c:pt>
                <c:pt idx="16">
                  <c:v>50000</c:v>
                </c:pt>
                <c:pt idx="17">
                  <c:v>46800</c:v>
                </c:pt>
                <c:pt idx="18">
                  <c:v/>
                </c:pt>
                <c:pt idx="19">
                  <c:v>120000</c:v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4"/>
          <c:order val="4"/>
          <c:tx>
            <c:strRef>
              <c:f>'10'!$G$1:$G$11</c:f>
              <c:strCache>
                <c:ptCount val="1"/>
                <c:pt idx="0">
                  <c:v>수89,900103,3316,595650,00099,400</c:v>
                </c:pt>
              </c:strCache>
            </c:strRef>
          </c:tx>
          <c:spPr>
            <a:solidFill>
              <a:schemeClr val="accent5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8">
                    <c:v>오겹살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4417000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'10'!$G$12:$G$34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5"/>
          <c:order val="5"/>
          <c:tx>
            <c:strRef>
              <c:f>'10'!$H$1:$H$11</c:f>
              <c:strCache>
                <c:ptCount val="1"/>
                <c:pt idx="0">
                  <c:v>실영업일수식자재업체고기식자재주류쌀참기름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8">
                    <c:v>오겹살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4417000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'10'!$H$12:$H$34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/>
                </c:pt>
                <c:pt idx="5">
                  <c:v>0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6"/>
          <c:order val="6"/>
          <c:tx>
            <c:strRef>
              <c:f>'10'!$I$1:$I$11</c:f>
              <c:strCache>
                <c:ptCount val="1"/>
                <c:pt idx="0">
                  <c:v>10금액649,150138,660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8">
                    <c:v>오겹살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4417000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'10'!$I$13:$I$34</c:f>
              <c:numCache>
                <c:formatCode>General</c:formatCode>
                <c:ptCount val="22"/>
                <c:pt idx="0">
                  <c:v/>
                </c:pt>
                <c:pt idx="1">
                  <c:v/>
                </c:pt>
                <c:pt idx="2">
                  <c:v>145800</c:v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>933610</c:v>
                </c:pt>
                <c:pt idx="11">
                  <c:v>0.211367443966493</c:v>
                </c:pt>
                <c:pt idx="12">
                  <c:v>2230104</c:v>
                </c:pt>
                <c:pt idx="13">
                  <c:v>0.0546192505510654</c:v>
                </c:pt>
                <c:pt idx="14">
                  <c:v>765133.333333333</c:v>
                </c:pt>
                <c:pt idx="15">
                  <c:v>0.173224662289639</c:v>
                </c:pt>
                <c:pt idx="16">
                  <c:v>22301040</c:v>
                </c:pt>
                <c:pt idx="17">
                  <c:v>29.1466062559902</c:v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</c:numCache>
            </c:numRef>
          </c:val>
        </c:ser>
        <c:ser>
          <c:idx val="7"/>
          <c:order val="7"/>
          <c:tx>
            <c:strRef>
              <c:f>'10'!$J$1:$J$11</c:f>
              <c:strCache>
                <c:ptCount val="1"/>
                <c:pt idx="0">
                  <c:v>휴무일수비품 및 기타경비업체숯음식물스티커종량제봉투뚝배기발매트불판세척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8">
                    <c:v>오겹살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4417000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'10'!$J$12:$J$34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8"/>
          <c:order val="8"/>
          <c:tx>
            <c:strRef>
              <c:f>'10'!$K$1:$K$11</c:f>
              <c:strCache>
                <c:ptCount val="1"/>
                <c:pt idx="0">
                  <c:v>금액347,00012,500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8">
                    <c:v>오겹살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4417000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'10'!$K$12:$K$34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>13000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372500</c:v>
                </c:pt>
                <c:pt idx="12">
                  <c:v>0.0843332578673308</c:v>
                </c:pt>
                <c:pt idx="13">
                  <c:v>0</c:v>
                </c:pt>
                <c:pt idx="14">
                  <c:v>0</c:v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dLbls>
          <c:delete val="0"/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219"/>
        <c:overlap val="-27"/>
        <c:axId val="367527704"/>
        <c:axId val="367533104"/>
      </c:barChart>
      <c:catAx>
        <c:axId val="367527704"/>
        <c:scaling>
          <c:orientation val="minMax"/>
        </c:scaling>
        <c:axPos val="b"/>
        <c:crossAx val="367533104"/>
        <c:delete val="0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/>
          </a:p>
        </c:txPr>
        <c:crosses val="autoZero"/>
        <c:auto val="1"/>
        <c:lblAlgn val="ctr"/>
        <c:lblOffset val="100"/>
        <c:tickMarkSkip val="1"/>
        <c:noMultiLvlLbl val="0"/>
      </c:catAx>
      <c:valAx>
        <c:axId val="367533104"/>
        <c:scaling>
          <c:orientation val="minMax"/>
        </c:scaling>
        <c:axPos val="l"/>
        <c:crossAx val="367527704"/>
        <c:delete val="0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/>
          </a:p>
        </c:txPr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/>
        </a:p>
      </c:txPr>
    </c:legend>
    <c:plotVisOnly val="0"/>
    <c:dispBlanksAs val="gap"/>
  </c:chart>
  <c:txPr>
    <a:bodyPr rot="0" vert="horz" wrap="none" lIns="0" tIns="0" rIns="0" bIns="0" anchor="ctr" anchorCtr="1"/>
    <a:p>
      <a:pPr algn="l">
        <a:defRPr b="0" i="0" u="none"/>
      </a:pPr>
      <a:endParaRPr/>
    </a:p>
  </c:txPr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8.xml.rels><?xml version="1.0" encoding="UTF-8" standalone="yes" ?><Relationships xmlns="http://schemas.openxmlformats.org/package/2006/relationships"><Relationship Id="rId1" Type="http://schemas.openxmlformats.org/officeDocument/2006/relationships/chart" Target="../charts/chart8.xml"  /></Relationships>
</file>

<file path=xl/drawings/drawing8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absolute">
    <xdr:from>
      <xdr:col>0</xdr:col>
      <xdr:colOff>0</xdr:colOff>
      <xdr:row>0</xdr:row>
      <xdr:rowOff>0</xdr:rowOff>
    </xdr:from>
    <xdr:to>
      <xdr:col>12</xdr:col>
      <xdr:colOff>447675</xdr:colOff>
      <xdr:row>30</xdr:row>
      <xdr:rowOff>19050</xdr:rowOff>
    </xdr:to>
    <xdr:graphicFrame fPublished="0">
      <xdr:nvGraphicFramePr>
        <xdr:cNvPr id="2" name="차트 1"/>
        <xdr:cNvGraphicFramePr/>
      </xdr:nvGraphicFramePr>
      <xdr:xfrm>
        <a:off x="0" y="0"/>
        <a:ext cx="8760113" cy="6508750"/>
      </xdr:xfrm>
      <a:graphic>
        <a:graphicData uri="http://schemas.openxmlformats.org/drawingml/2006/chart">
          <c:chart r:id="rId1"/>
        </a:graphicData>
      </a:graphic>
    </xdr:graphicFrame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3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8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21"/>
  <x:sheetViews>
    <x:sheetView topLeftCell="A1" zoomScaleNormal="100" zoomScaleSheetLayoutView="75" workbookViewId="0">
      <x:selection activeCell="N10" activeCellId="0" sqref="N10:N10"/>
    </x:sheetView>
  </x:sheetViews>
  <x:sheetFormatPr defaultColWidth="8.625" defaultRowHeight="30" customHeight="1"/>
  <x:cols>
    <x:col min="1" max="1" width="8.625" style="2" customWidth="1"/>
    <x:col min="2" max="2" width="4.625" style="2" customWidth="1"/>
    <x:col min="3" max="3" width="10.625" style="2" customWidth="1"/>
    <x:col min="4" max="4" width="3.625" style="2" customWidth="1"/>
    <x:col min="5" max="5" width="8.625" style="2" customWidth="1"/>
    <x:col min="6" max="6" width="4.625" style="2" customWidth="1"/>
    <x:col min="7" max="7" width="12.625" style="2" customWidth="1"/>
    <x:col min="8" max="8" width="8.625" style="2" customWidth="1"/>
    <x:col min="9" max="10" width="4.625" style="2" customWidth="1"/>
    <x:col min="11" max="11" width="12.625" style="2" customWidth="1"/>
    <x:col min="12" max="16384" width="8.625" style="2"/>
  </x:cols>
  <x:sheetData>
    <x:row r="1" spans="1:11" customHeight="1">
      <x:c r="A1" s="247" t="s">
        <x:v>71</x:v>
      </x:c>
      <x:c r="B1" s="247"/>
      <x:c r="C1" s="247"/>
      <x:c r="D1" s="247"/>
      <x:c r="E1" s="247"/>
      <x:c r="F1" s="247"/>
      <x:c r="G1" s="247"/>
      <x:c r="H1" s="247"/>
      <x:c r="I1" s="247"/>
      <x:c r="J1" s="247"/>
      <x:c r="K1" s="247"/>
    </x:row>
    <x:row r="2" spans="1:11" ht="30.949999999999999" customHeight="1">
      <x:c r="A2" s="201" t="s">
        <x:v>9</x:v>
      </x:c>
      <x:c r="B2" s="202"/>
      <x:c r="C2" s="203">
        <x:f>C3+G3+C5</x:f>
        <x:v>0</x:v>
      </x:c>
      <x:c r="D2" s="204"/>
      <x:c r="E2" s="205" t="s">
        <x:v>12</x:v>
      </x:c>
      <x:c r="F2" s="206"/>
      <x:c r="G2" s="6"/>
      <x:c r="H2" s="207" t="s">
        <x:v>73</x:v>
      </x:c>
      <x:c r="I2" s="208"/>
      <x:c r="J2" s="208"/>
      <x:c r="K2" s="209"/>
    </x:row>
    <x:row r="3" spans="1:11" ht="30.949999999999999" customHeight="1">
      <x:c r="A3" s="210" t="s">
        <x:v>122</x:v>
      </x:c>
      <x:c r="B3" s="211"/>
      <x:c r="C3" s="212">
        <x:f>SUM('1'!C3)</x:f>
        <x:v>0</x:v>
      </x:c>
      <x:c r="D3" s="212"/>
      <x:c r="E3" s="211" t="s">
        <x:v>129</x:v>
      </x:c>
      <x:c r="F3" s="211"/>
      <x:c r="G3" s="7">
        <x:f>SUM('1'!G3)</x:f>
        <x:v>0</x:v>
      </x:c>
      <x:c r="H3" s="213"/>
      <x:c r="I3" s="214"/>
      <x:c r="J3" s="214"/>
      <x:c r="K3" s="215"/>
    </x:row>
    <x:row r="4" spans="1:11" ht="30.949999999999999" customHeight="1">
      <x:c r="A4" s="222" t="s">
        <x:v>120</x:v>
      </x:c>
      <x:c r="B4" s="223"/>
      <x:c r="C4" s="224">
        <x:f>C21</x:f>
        <x:v>0</x:v>
      </x:c>
      <x:c r="D4" s="224"/>
      <x:c r="E4" s="225" t="s">
        <x:v>14</x:v>
      </x:c>
      <x:c r="F4" s="223"/>
      <x:c r="G4" s="8">
        <x:f>C17</x:f>
        <x:v>0</x:v>
      </x:c>
      <x:c r="H4" s="216"/>
      <x:c r="I4" s="217"/>
      <x:c r="J4" s="217"/>
      <x:c r="K4" s="218"/>
    </x:row>
    <x:row r="5" spans="1:11" ht="30.949999999999999" customHeight="1">
      <x:c r="A5" s="210" t="s">
        <x:v>104</x:v>
      </x:c>
      <x:c r="B5" s="211"/>
      <x:c r="C5" s="226">
        <x:f>C6+G6</x:f>
        <x:v>0</x:v>
      </x:c>
      <x:c r="D5" s="227"/>
      <x:c r="E5" s="225" t="s">
        <x:v>17</x:v>
      </x:c>
      <x:c r="F5" s="223"/>
      <x:c r="G5" s="8">
        <x:f>C4-G4</x:f>
        <x:v>0</x:v>
      </x:c>
      <x:c r="H5" s="216"/>
      <x:c r="I5" s="217"/>
      <x:c r="J5" s="217"/>
      <x:c r="K5" s="218"/>
    </x:row>
    <x:row r="6" spans="1:11" ht="30.949999999999999" customHeight="1">
      <x:c r="A6" s="210" t="s">
        <x:v>143</x:v>
      </x:c>
      <x:c r="B6" s="211"/>
      <x:c r="C6" s="212">
        <x:f>SUM('1'!C7)</x:f>
        <x:v>0</x:v>
      </x:c>
      <x:c r="D6" s="212"/>
      <x:c r="E6" s="211" t="s">
        <x:v>87</x:v>
      </x:c>
      <x:c r="F6" s="211"/>
      <x:c r="G6" s="7">
        <x:f>SUM('1'!G7)</x:f>
        <x:v>0</x:v>
      </x:c>
      <x:c r="H6" s="216"/>
      <x:c r="I6" s="217"/>
      <x:c r="J6" s="217"/>
      <x:c r="K6" s="218"/>
    </x:row>
    <x:row r="7" spans="1:11" ht="30.949999999999999" customHeight="1">
      <x:c r="A7" s="210" t="s">
        <x:v>103</x:v>
      </x:c>
      <x:c r="B7" s="211"/>
      <x:c r="C7" s="228"/>
      <x:c r="D7" s="228"/>
      <x:c r="E7" s="228"/>
      <x:c r="F7" s="228"/>
      <x:c r="G7" s="228"/>
      <x:c r="H7" s="219"/>
      <x:c r="I7" s="220"/>
      <x:c r="J7" s="220"/>
      <x:c r="K7" s="221"/>
    </x:row>
    <x:row r="8" spans="1:11" ht="30.949999999999999" customHeight="1">
      <x:c r="A8" s="210"/>
      <x:c r="B8" s="211"/>
      <x:c r="C8" s="228"/>
      <x:c r="D8" s="228"/>
      <x:c r="E8" s="228"/>
      <x:c r="F8" s="228"/>
      <x:c r="G8" s="228"/>
      <x:c r="H8" s="5" t="s">
        <x:v>66</x:v>
      </x:c>
      <x:c r="I8" s="229" t="s">
        <x:v>96</x:v>
      </x:c>
      <x:c r="J8" s="230"/>
      <x:c r="K8" s="9">
        <x:f>SUM('1'!K9)</x:f>
        <x:v>0</x:v>
      </x:c>
    </x:row>
    <x:row r="9" spans="1:11" ht="30.949999999999999" customHeight="1">
      <x:c r="A9" s="210"/>
      <x:c r="B9" s="211"/>
      <x:c r="C9" s="228"/>
      <x:c r="D9" s="228"/>
      <x:c r="E9" s="228"/>
      <x:c r="F9" s="228"/>
      <x:c r="G9" s="228"/>
      <x:c r="H9" s="211" t="s">
        <x:v>32</x:v>
      </x:c>
      <x:c r="I9" s="229" t="s">
        <x:v>96</x:v>
      </x:c>
      <x:c r="J9" s="230"/>
      <x:c r="K9" s="9">
        <x:f>SUM('1'!K10)</x:f>
        <x:v>13000</x:v>
      </x:c>
    </x:row>
    <x:row r="10" spans="1:11" ht="30.949999999999999" customHeight="1">
      <x:c r="A10" s="210"/>
      <x:c r="B10" s="211"/>
      <x:c r="C10" s="228"/>
      <x:c r="D10" s="228"/>
      <x:c r="E10" s="228"/>
      <x:c r="F10" s="228"/>
      <x:c r="G10" s="228"/>
      <x:c r="H10" s="211"/>
      <x:c r="I10" s="231" t="s">
        <x:v>139</x:v>
      </x:c>
      <x:c r="J10" s="232"/>
      <x:c r="K10" s="10">
        <x:f>SUM('1'!K11)</x:f>
        <x:v>0</x:v>
      </x:c>
    </x:row>
    <x:row r="11" spans="1:11" ht="32.100000000000001" customHeight="1">
      <x:c r="A11" s="222" t="s">
        <x:v>83</x:v>
      </x:c>
      <x:c r="B11" s="223"/>
      <x:c r="C11" s="233"/>
      <x:c r="D11" s="234"/>
      <x:c r="E11" s="234"/>
      <x:c r="F11" s="234"/>
      <x:c r="G11" s="235"/>
      <x:c r="H11" s="3" t="s">
        <x:v>132</x:v>
      </x:c>
      <x:c r="I11" s="233"/>
      <x:c r="J11" s="234"/>
      <x:c r="K11" s="236"/>
    </x:row>
    <x:row r="12" spans="1:11" ht="69.950000000000003" customHeight="1">
      <x:c r="A12" s="222" t="s">
        <x:v>124</x:v>
      </x:c>
      <x:c r="B12" s="223"/>
      <x:c r="C12" s="237"/>
      <x:c r="D12" s="238"/>
      <x:c r="E12" s="238"/>
      <x:c r="F12" s="238"/>
      <x:c r="G12" s="239"/>
      <x:c r="H12" s="3" t="s">
        <x:v>137</x:v>
      </x:c>
      <x:c r="I12" s="237"/>
      <x:c r="J12" s="238"/>
      <x:c r="K12" s="240"/>
    </x:row>
    <x:row r="13" spans="1:11" ht="30.949999999999999" customHeight="1">
      <x:c r="A13" s="210" t="s">
        <x:v>88</x:v>
      </x:c>
      <x:c r="B13" s="211"/>
      <x:c r="C13" s="225" t="s">
        <x:v>86</x:v>
      </x:c>
      <x:c r="D13" s="223"/>
      <x:c r="E13" s="225" t="s">
        <x:v>101</x:v>
      </x:c>
      <x:c r="F13" s="241"/>
      <x:c r="G13" s="223"/>
      <x:c r="H13" s="211" t="s">
        <x:v>77</x:v>
      </x:c>
      <x:c r="I13" s="211"/>
      <x:c r="J13" s="211" t="s">
        <x:v>85</x:v>
      </x:c>
      <x:c r="K13" s="242"/>
    </x:row>
    <x:row r="14" spans="1:11" ht="30.949999999999999" customHeight="1">
      <x:c r="A14" s="243">
        <x:f>C2</x:f>
        <x:v>0</x:v>
      </x:c>
      <x:c r="B14" s="244"/>
      <x:c r="C14" s="245" t="e">
        <x:f>ROUNDDOWN((E14/A14),-4)</x:f>
        <x:v>#DIV/0!</x:v>
      </x:c>
      <x:c r="D14" s="244"/>
      <x:c r="E14" s="245">
        <x:f>C2</x:f>
        <x:v>0</x:v>
      </x:c>
      <x:c r="F14" s="246"/>
      <x:c r="G14" s="244"/>
      <x:c r="H14" s="237"/>
      <x:c r="I14" s="239"/>
      <x:c r="J14" s="237"/>
      <x:c r="K14" s="240"/>
    </x:row>
    <x:row r="15" spans="1:11" ht="30.949999999999999" customHeight="1">
      <x:c r="A15" s="210" t="s">
        <x:v>142</x:v>
      </x:c>
      <x:c r="B15" s="211"/>
      <x:c r="C15" s="225"/>
      <x:c r="D15" s="223"/>
      <x:c r="E15" s="225"/>
      <x:c r="F15" s="241"/>
      <x:c r="G15" s="223"/>
      <x:c r="H15" s="237"/>
      <x:c r="I15" s="239"/>
      <x:c r="J15" s="237"/>
      <x:c r="K15" s="240"/>
    </x:row>
    <x:row r="16" spans="1:11" ht="30.949999999999999" customHeight="1">
      <x:c r="A16" s="222" t="s">
        <x:v>72</x:v>
      </x:c>
      <x:c r="B16" s="241"/>
      <x:c r="C16" s="241"/>
      <x:c r="D16" s="241"/>
      <x:c r="E16" s="241"/>
      <x:c r="F16" s="223"/>
      <x:c r="G16" s="211" t="s">
        <x:v>72</x:v>
      </x:c>
      <x:c r="H16" s="211"/>
      <x:c r="I16" s="211"/>
      <x:c r="J16" s="211"/>
      <x:c r="K16" s="242"/>
    </x:row>
    <x:row r="17" spans="1:11" ht="30.949999999999999" customHeight="1">
      <x:c r="A17" s="210" t="s">
        <x:v>3</x:v>
      </x:c>
      <x:c r="B17" s="211"/>
      <x:c r="C17" s="212"/>
      <x:c r="D17" s="212"/>
      <x:c r="E17" s="212"/>
      <x:c r="F17" s="212"/>
      <x:c r="G17" s="3" t="s">
        <x:v>3</x:v>
      </x:c>
      <x:c r="H17" s="212"/>
      <x:c r="I17" s="212"/>
      <x:c r="J17" s="212"/>
      <x:c r="K17" s="248"/>
    </x:row>
    <x:row r="18" spans="1:11" ht="30.949999999999999" customHeight="1">
      <x:c r="A18" s="210" t="s">
        <x:v>52</x:v>
      </x:c>
      <x:c r="B18" s="211"/>
      <x:c r="C18" s="212"/>
      <x:c r="D18" s="212"/>
      <x:c r="E18" s="212"/>
      <x:c r="F18" s="212"/>
      <x:c r="G18" s="3" t="s">
        <x:v>52</x:v>
      </x:c>
      <x:c r="H18" s="212"/>
      <x:c r="I18" s="212"/>
      <x:c r="J18" s="212"/>
      <x:c r="K18" s="248"/>
    </x:row>
    <x:row r="19" spans="1:11" ht="30.949999999999999" customHeight="1">
      <x:c r="A19" s="210" t="s">
        <x:v>13</x:v>
      </x:c>
      <x:c r="B19" s="211"/>
      <x:c r="C19" s="212"/>
      <x:c r="D19" s="212"/>
      <x:c r="E19" s="212"/>
      <x:c r="F19" s="212"/>
      <x:c r="G19" s="3" t="s">
        <x:v>13</x:v>
      </x:c>
      <x:c r="H19" s="212"/>
      <x:c r="I19" s="212"/>
      <x:c r="J19" s="212"/>
      <x:c r="K19" s="248"/>
    </x:row>
    <x:row r="20" spans="1:11" ht="30.949999999999999" customHeight="1">
      <x:c r="A20" s="210" t="s">
        <x:v>43</x:v>
      </x:c>
      <x:c r="B20" s="211"/>
      <x:c r="C20" s="212"/>
      <x:c r="D20" s="212"/>
      <x:c r="E20" s="212"/>
      <x:c r="F20" s="212"/>
      <x:c r="G20" s="3" t="s">
        <x:v>43</x:v>
      </x:c>
      <x:c r="H20" s="212"/>
      <x:c r="I20" s="212"/>
      <x:c r="J20" s="212"/>
      <x:c r="K20" s="248"/>
    </x:row>
    <x:row r="21" spans="1:11" ht="30.949999999999999" customHeight="1">
      <x:c r="A21" s="249" t="s">
        <x:v>54</x:v>
      </x:c>
      <x:c r="B21" s="250"/>
      <x:c r="C21" s="251">
        <x:f>SUM(C17:E20)</x:f>
        <x:v>0</x:v>
      </x:c>
      <x:c r="D21" s="252"/>
      <x:c r="E21" s="252"/>
      <x:c r="F21" s="253"/>
      <x:c r="G21" s="4" t="s">
        <x:v>54</x:v>
      </x:c>
      <x:c r="H21" s="254">
        <x:f>SUM(H17:K20)</x:f>
        <x:v>0</x:v>
      </x:c>
      <x:c r="I21" s="254"/>
      <x:c r="J21" s="254"/>
      <x:c r="K21" s="255"/>
    </x:row>
  </x:sheetData>
  <x:mergeCells count="62">
    <x:mergeCell ref="A2:B2"/>
    <x:mergeCell ref="C2:D2"/>
    <x:mergeCell ref="E2:F2"/>
    <x:mergeCell ref="H2:K2"/>
    <x:mergeCell ref="A3:B3"/>
    <x:mergeCell ref="C3:D3"/>
    <x:mergeCell ref="E3:F3"/>
    <x:mergeCell ref="H3:K7"/>
    <x:mergeCell ref="A4:B4"/>
    <x:mergeCell ref="C4:D4"/>
    <x:mergeCell ref="E4:F4"/>
    <x:mergeCell ref="A5:B5"/>
    <x:mergeCell ref="C5:D5"/>
    <x:mergeCell ref="E5:F5"/>
    <x:mergeCell ref="A6:B6"/>
    <x:mergeCell ref="C6:D6"/>
    <x:mergeCell ref="E6:F6"/>
    <x:mergeCell ref="A7:B10"/>
    <x:mergeCell ref="C7:G10"/>
    <x:mergeCell ref="I8:J8"/>
    <x:mergeCell ref="H9:H10"/>
    <x:mergeCell ref="I9:J9"/>
    <x:mergeCell ref="I10:J10"/>
    <x:mergeCell ref="A11:B11"/>
    <x:mergeCell ref="C11:G11"/>
    <x:mergeCell ref="I11:K11"/>
    <x:mergeCell ref="A12:B12"/>
    <x:mergeCell ref="C12:G12"/>
    <x:mergeCell ref="I12:K12"/>
    <x:mergeCell ref="E13:G13"/>
    <x:mergeCell ref="H13:I13"/>
    <x:mergeCell ref="J13:K13"/>
    <x:mergeCell ref="A14:B14"/>
    <x:mergeCell ref="C14:D14"/>
    <x:mergeCell ref="E14:G14"/>
    <x:mergeCell ref="H14:I14"/>
    <x:mergeCell ref="J14:K14"/>
    <x:mergeCell ref="A1:K1"/>
    <x:mergeCell ref="A19:B19"/>
    <x:mergeCell ref="C19:F19"/>
    <x:mergeCell ref="H19:K19"/>
    <x:mergeCell ref="A20:B20"/>
    <x:mergeCell ref="C20:F20"/>
    <x:mergeCell ref="H20:K20"/>
    <x:mergeCell ref="A17:B17"/>
    <x:mergeCell ref="C17:F17"/>
    <x:mergeCell ref="H17:K17"/>
    <x:mergeCell ref="A18:B18"/>
    <x:mergeCell ref="C18:F18"/>
    <x:mergeCell ref="A16:F16"/>
    <x:mergeCell ref="G16:K16"/>
    <x:mergeCell ref="A13:B13"/>
    <x:mergeCell ref="C13:D13"/>
    <x:mergeCell ref="H18:K18"/>
    <x:mergeCell ref="J15:K15"/>
    <x:mergeCell ref="A21:B21"/>
    <x:mergeCell ref="C21:F21"/>
    <x:mergeCell ref="H21:K21"/>
    <x:mergeCell ref="A15:B15"/>
    <x:mergeCell ref="C15:D15"/>
    <x:mergeCell ref="E15:G15"/>
    <x:mergeCell ref="H15:I15"/>
  </x:mergeCells>
  <x:pageMargins left="0.52958333492279053" right="0.47972223162651062" top="0.97000002861022949" bottom="0.49000000953674316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pageSetUpPr autoPageBreaks="1" fitToPage="1"/>
  </x:sheetPr>
  <x:dimension ref="A1:U58"/>
  <x:sheetViews>
    <x:sheetView topLeftCell="F2" zoomScaleNormal="100" zoomScaleSheetLayoutView="75" workbookViewId="0">
      <x:selection activeCell="C28" activeCellId="0" sqref="C28:C28"/>
    </x:sheetView>
  </x:sheetViews>
  <x:sheetFormatPr defaultColWidth="9" defaultRowHeight="16.5" customHeight="1"/>
  <x:cols>
    <x:col min="1" max="1" width="13.75" style="1" customWidth="1"/>
    <x:col min="2" max="2" width="13.875" style="1" customWidth="1"/>
    <x:col min="3" max="3" width="13.375" style="1" customWidth="1"/>
    <x:col min="4" max="4" width="20.625" style="1" customWidth="1"/>
    <x:col min="5" max="5" width="16" style="1" customWidth="1"/>
    <x:col min="6" max="6" width="11.375" style="1" customWidth="1"/>
    <x:col min="7" max="7" width="20.625" style="1" customWidth="1"/>
    <x:col min="8" max="8" width="15.25" style="1" customWidth="1"/>
    <x:col min="9" max="9" width="14.875" style="1" customWidth="1"/>
    <x:col min="10" max="10" width="14" style="1" customWidth="1"/>
    <x:col min="11" max="11" width="14.25" style="1" customWidth="1"/>
    <x:col min="12" max="12" width="4.25" style="1" customWidth="1"/>
    <x:col min="13" max="13" width="13.125" style="1" customWidth="1"/>
    <x:col min="14" max="14" width="13" style="1" customWidth="1"/>
    <x:col min="16" max="16" width="12.125" style="1" bestFit="1" customWidth="1"/>
    <x:col min="20" max="20" width="13" style="1" bestFit="1" customWidth="1"/>
    <x:col min="21" max="21" width="10.875" style="1" bestFit="1" customWidth="1"/>
  </x:cols>
  <x:sheetData>
    <x:row r="1" spans="5:5" customHeight="1">
      <x:c r="E1" s="138" t="s">
        <x:v>152</x:v>
      </x:c>
    </x:row>
    <x:row r="2" spans="1:2" ht="16.399999999999999">
      <x:c r="A2" s="11"/>
      <x:c r="B2" s="11"/>
    </x:row>
    <x:row r="3" ht="16.399999999999999"/>
    <x:row r="4" spans="1:16" customHeight="1">
      <x:c r="A4" s="178" t="s">
        <x:v>92</x:v>
      </x:c>
      <x:c r="B4" s="179"/>
      <x:c r="C4" s="179"/>
      <x:c r="D4" s="179"/>
      <x:c r="E4" s="180"/>
      <x:c r="F4" s="178" t="s">
        <x:v>80</x:v>
      </x:c>
      <x:c r="G4" s="179"/>
      <x:c r="H4" s="179"/>
      <x:c r="I4" s="179"/>
      <x:c r="J4" s="179"/>
      <x:c r="K4" s="180"/>
      <x:c r="M4" s="69"/>
      <x:c r="N4" s="69"/>
      <x:c r="O4" s="69"/>
      <x:c r="P4" s="69"/>
    </x:row>
    <x:row r="5" spans="1:16" s="15" customFormat="1" ht="17.149999999999999">
      <x:c r="A5" s="181" t="s">
        <x:v>2</x:v>
      </x:c>
      <x:c r="B5" s="182"/>
      <x:c r="C5" s="13"/>
      <x:c r="D5" s="13" t="s">
        <x:v>109</x:v>
      </x:c>
      <x:c r="E5" s="14" t="s">
        <x:v>144</x:v>
      </x:c>
      <x:c r="F5" s="12" t="s">
        <x:v>2</x:v>
      </x:c>
      <x:c r="G5" s="13" t="s">
        <x:v>26</x:v>
      </x:c>
      <x:c r="H5" s="13" t="s">
        <x:v>39</x:v>
      </x:c>
      <x:c r="I5" s="14"/>
      <x:c r="J5" s="13" t="s">
        <x:v>109</x:v>
      </x:c>
      <x:c r="K5" s="14"/>
      <x:c r="M5" s="76" t="s">
        <x:v>131</x:v>
      </x:c>
      <x:c r="N5" s="126">
        <x:f>SUM('1:30'!G6)</x:f>
        <x:v>14593000</x:v>
      </x:c>
      <x:c r="O5" s="69"/>
      <x:c r="P5" s="69"/>
    </x:row>
    <x:row r="6" spans="1:16" ht="16.399999999999999">
      <x:c r="A6" s="157" t="s">
        <x:v>35</x:v>
      </x:c>
      <x:c r="B6" s="158"/>
      <x:c r="C6" s="16">
        <x:v>6985000</x:v>
      </x:c>
      <x:c r="D6" s="16">
        <x:f>C6</x:f>
        <x:v>6985000</x:v>
      </x:c>
      <x:c r="E6" s="148">
        <x:f>D6/$B$45</x:f>
        <x:v>0.053627392119498872</x:v>
      </x:c>
      <x:c r="F6" s="173" t="s">
        <x:v>6</x:v>
      </x:c>
      <x:c r="G6" s="67" t="s">
        <x:v>20</x:v>
      </x:c>
      <x:c r="H6" s="16">
        <x:f>SUM('1:30'!I4)</x:f>
        <x:v>32558426</x:v>
      </x:c>
      <x:c r="I6" s="70">
        <x:f>H6/$B$45</x:f>
        <x:v>0.24996757020697025</x:v>
      </x:c>
      <x:c r="J6" s="176">
        <x:f>SUM(H6:H18)</x:f>
        <x:v>48274173</x:v>
      </x:c>
      <x:c r="K6" s="183">
        <x:f>J6/$B$45</x:f>
        <x:v>0.3706253406894095</x:v>
      </x:c>
      <x:c r="M6" s="75"/>
      <x:c r="N6" s="127"/>
      <x:c r="O6" s="69"/>
      <x:c r="P6" s="69"/>
    </x:row>
    <x:row r="7" spans="1:16" ht="16.75">
      <x:c r="A7" s="157" t="s">
        <x:v>38</x:v>
      </x:c>
      <x:c r="B7" s="158"/>
      <x:c r="C7" s="16">
        <x:v>2600000</x:v>
      </x:c>
      <x:c r="D7" s="16">
        <x:f>C7</x:f>
        <x:v>2600000</x:v>
      </x:c>
      <x:c r="E7" s="17">
        <x:f t="shared" ref="E7:E17" si="0">D7/$B$45</x:f>
        <x:v>0.019961520330808457</x:v>
      </x:c>
      <x:c r="F7" s="174"/>
      <x:c r="G7" s="67" t="s">
        <x:v>6</x:v>
      </x:c>
      <x:c r="H7" s="16">
        <x:f>SUM('1:30'!I5)</x:f>
        <x:v>5627947</x:v>
      </x:c>
      <x:c r="I7" s="70">
        <x:f>H7/$B$45</x:f>
        <x:v>0.043208607100466333</x:v>
      </x:c>
      <x:c r="J7" s="163"/>
      <x:c r="K7" s="172"/>
      <x:c r="M7" s="143" t="s">
        <x:v>64</x:v>
      </x:c>
      <x:c r="N7" s="128">
        <x:f>SUM('30'!C15)</x:f>
        <x:v>575</x:v>
      </x:c>
      <x:c r="O7" s="69"/>
      <x:c r="P7" s="69"/>
    </x:row>
    <x:row r="8" spans="1:16" ht="16.399999999999999">
      <x:c r="A8" s="157" t="s">
        <x:v>5</x:v>
      </x:c>
      <x:c r="B8" s="158"/>
      <x:c r="C8" s="16">
        <x:v>154000</x:v>
      </x:c>
      <x:c r="D8" s="16">
        <x:f t="shared" ref="D8:D17" si="1">C8</x:f>
        <x:v>154000</x:v>
      </x:c>
      <x:c r="E8" s="17">
        <x:f>D8/$B$45</x:f>
        <x:v>0.0011823362042094241</x:v>
      </x:c>
      <x:c r="F8" s="174"/>
      <x:c r="G8" s="67" t="s">
        <x:v>24</x:v>
      </x:c>
      <x:c r="H8" s="16">
        <x:f>SUM('1:30'!I7)</x:f>
        <x:v>4510050</x:v>
      </x:c>
      <x:c r="I8" s="149">
        <x:f>H8/$B$45</x:f>
        <x:v>0.034625944141524111</x:v>
      </x:c>
      <x:c r="J8" s="163"/>
      <x:c r="K8" s="172"/>
      <x:c r="M8" s="77" t="s">
        <x:v>42</x:v>
      </x:c>
      <x:c r="N8" s="129">
        <x:f>SUM('30'!C13)</x:f>
        <x:v>251</x:v>
      </x:c>
      <x:c r="O8" s="69"/>
      <x:c r="P8" s="69"/>
    </x:row>
    <x:row r="9" spans="1:16" ht="16.399999999999999">
      <x:c r="A9" s="159" t="s">
        <x:v>10</x:v>
      </x:c>
      <x:c r="B9" s="158"/>
      <x:c r="C9" s="16">
        <x:v>670000</x:v>
      </x:c>
      <x:c r="D9" s="16">
        <x:f t="shared" si="1"/>
        <x:v>670000</x:v>
      </x:c>
      <x:c r="E9" s="17">
        <x:f t="shared" si="0"/>
        <x:v>0.0051439302390929482</x:v>
      </x:c>
      <x:c r="F9" s="174"/>
      <x:c r="G9" s="67" t="s">
        <x:v>45</x:v>
      </x:c>
      <x:c r="H9" s="16">
        <x:f>SUM('1:30'!I8)</x:f>
        <x:v>710000</x:v>
      </x:c>
      <x:c r="I9" s="149">
        <x:f>H9/$B$45</x:f>
        <x:v>0.0054510305518746171</x:v>
      </x:c>
      <x:c r="J9" s="163"/>
      <x:c r="K9" s="172"/>
      <x:c r="M9" s="77" t="s">
        <x:v>51</x:v>
      </x:c>
      <x:c r="N9" s="129">
        <x:f>SUM('30'!C17)</x:f>
        <x:v>130</x:v>
      </x:c>
      <x:c r="O9" s="69"/>
      <x:c r="P9" s="69"/>
    </x:row>
    <x:row r="10" spans="1:16" ht="16.399999999999999">
      <x:c r="A10" s="157" t="s">
        <x:v>81</x:v>
      </x:c>
      <x:c r="B10" s="158"/>
      <x:c r="C10" s="16">
        <x:v>66000</x:v>
      </x:c>
      <x:c r="D10" s="16">
        <x:f t="shared" si="1"/>
        <x:v>66000</x:v>
      </x:c>
      <x:c r="E10" s="17">
        <x:f t="shared" si="0"/>
        <x:v>0.0005067155160897531</x:v>
      </x:c>
      <x:c r="F10" s="174"/>
      <x:c r="G10" s="67" t="s">
        <x:v>58</x:v>
      </x:c>
      <x:c r="H10" s="16">
        <x:f>SUM('1:30'!I11)</x:f>
        <x:v>200000</x:v>
      </x:c>
      <x:c r="I10" s="70">
        <x:f>H10/$B$45</x:f>
        <x:v>0.0015355015639083429</x:v>
      </x:c>
      <x:c r="J10" s="163"/>
      <x:c r="K10" s="172"/>
      <x:c r="M10" s="77" t="s">
        <x:v>133</x:v>
      </x:c>
      <x:c r="N10" s="129">
        <x:f>SUM('30'!F13)</x:f>
        <x:v>166</x:v>
      </x:c>
      <x:c r="O10" s="69"/>
      <x:c r="P10" s="69"/>
    </x:row>
    <x:row r="11" spans="1:16" ht="16.399999999999999">
      <x:c r="A11" s="157" t="s">
        <x:v>46</x:v>
      </x:c>
      <x:c r="B11" s="158"/>
      <x:c r="C11" s="16">
        <x:v>330000</x:v>
      </x:c>
      <x:c r="D11" s="16">
        <x:f t="shared" si="1"/>
        <x:v>330000</x:v>
      </x:c>
      <x:c r="E11" s="17">
        <x:f t="shared" si="0"/>
        <x:v>0.0025335775804487658</x:v>
      </x:c>
      <x:c r="F11" s="174"/>
      <x:c r="G11" s="67" t="s">
        <x:v>102</x:v>
      </x:c>
      <x:c r="H11" s="16">
        <x:f>SUM('1:30'!I12)</x:f>
        <x:v>53400</x:v>
      </x:c>
      <x:c r="I11" s="70">
        <x:f>H11/$B$45</x:f>
        <x:v>0.00040997891756352752</x:v>
      </x:c>
      <x:c r="J11" s="163"/>
      <x:c r="K11" s="172"/>
      <x:c r="M11" s="77" t="s">
        <x:v>95</x:v>
      </x:c>
      <x:c r="N11" s="129">
        <x:f>SUM('30'!F15)</x:f>
        <x:v>248</x:v>
      </x:c>
      <x:c r="O11" s="69"/>
      <x:c r="P11" s="69"/>
    </x:row>
    <x:row r="12" spans="1:16" ht="16.399999999999999">
      <x:c r="A12" s="157" t="s">
        <x:v>37</x:v>
      </x:c>
      <x:c r="B12" s="158"/>
      <x:c r="C12" s="16">
        <x:v>48000</x:v>
      </x:c>
      <x:c r="D12" s="16">
        <x:f t="shared" si="1"/>
        <x:v>48000</x:v>
      </x:c>
      <x:c r="E12" s="17">
        <x:f t="shared" si="0"/>
        <x:v>0.00036852037533800227</x:v>
      </x:c>
      <x:c r="F12" s="174"/>
      <x:c r="G12" s="67" t="s">
        <x:v>121</x:v>
      </x:c>
      <x:c r="H12" s="16">
        <x:f>SUM('1:30'!I13)</x:f>
        <x:v>480000</x:v>
      </x:c>
      <x:c r="I12" s="70">
        <x:f>H12/$B$45</x:f>
        <x:v>0.0036852037533800226</x:v>
      </x:c>
      <x:c r="J12" s="163"/>
      <x:c r="K12" s="172"/>
      <x:c r="M12" s="77" t="s">
        <x:v>117</x:v>
      </x:c>
      <x:c r="N12" s="129">
        <x:f>SUM('30'!F17)</x:f>
        <x:v>317</x:v>
      </x:c>
      <x:c r="O12" s="69"/>
      <x:c r="P12" s="69"/>
    </x:row>
    <x:row r="13" spans="1:16" ht="16.399999999999999">
      <x:c r="A13" s="159" t="s">
        <x:v>100</x:v>
      </x:c>
      <x:c r="B13" s="158"/>
      <x:c r="C13" s="16">
        <x:v>66000</x:v>
      </x:c>
      <x:c r="D13" s="16">
        <x:f t="shared" si="1"/>
        <x:v>66000</x:v>
      </x:c>
      <x:c r="E13" s="17">
        <x:f t="shared" si="0"/>
        <x:v>0.0005067155160897531</x:v>
      </x:c>
      <x:c r="F13" s="174"/>
      <x:c r="G13" s="67" t="s">
        <x:v>111</x:v>
      </x:c>
      <x:c r="H13" s="16">
        <x:f>SUM('1:Chart1'!I14)</x:f>
        <x:v>0</x:v>
      </x:c>
      <x:c r="I13" s="70">
        <x:f>H13/$B$45</x:f>
        <x:v>0</x:v>
      </x:c>
      <x:c r="J13" s="163"/>
      <x:c r="K13" s="172"/>
      <x:c r="M13" s="142" t="s">
        <x:v>91</x:v>
      </x:c>
      <x:c r="N13" s="129">
        <x:f>SUM('30'!C19)</x:f>
        <x:v>286</x:v>
      </x:c>
      <x:c r="O13" s="69"/>
      <x:c r="P13" s="69"/>
    </x:row>
    <x:row r="14" spans="1:16" ht="16.399999999999999">
      <x:c r="A14" s="157"/>
      <x:c r="B14" s="158"/>
      <x:c r="C14" s="16"/>
      <x:c r="D14" s="16">
        <x:f t="shared" si="1"/>
        <x:v>0</x:v>
      </x:c>
      <x:c r="E14" s="17">
        <x:f t="shared" si="0"/>
        <x:v>0</x:v>
      </x:c>
      <x:c r="F14" s="174"/>
      <x:c r="G14" s="67" t="s">
        <x:v>7</x:v>
      </x:c>
      <x:c r="H14" s="16">
        <x:f>SUM('1:30'!I17)</x:f>
        <x:v>9600</x:v>
      </x:c>
      <x:c r="I14" s="70">
        <x:f>H14/$B$45</x:f>
        <x:v>7.3704075067600462E-5</x:v>
      </x:c>
      <x:c r="J14" s="163"/>
      <x:c r="K14" s="172"/>
      <x:c r="M14" s="131" t="s">
        <x:v>130</x:v>
      </x:c>
      <x:c r="N14" s="129">
        <x:f>SUM('30'!F19)</x:f>
        <x:v>110</x:v>
      </x:c>
      <x:c r="O14" s="69"/>
      <x:c r="P14" s="69"/>
    </x:row>
    <x:row r="15" spans="1:16" ht="16.75">
      <x:c r="A15" s="157"/>
      <x:c r="B15" s="158"/>
      <x:c r="C15" s="16"/>
      <x:c r="D15" s="16">
        <x:f t="shared" si="1"/>
        <x:v>0</x:v>
      </x:c>
      <x:c r="E15" s="17">
        <x:f t="shared" si="0"/>
        <x:v>0</x:v>
      </x:c>
      <x:c r="F15" s="174"/>
      <x:c r="G15" s="147" t="s">
        <x:v>106</x:v>
      </x:c>
      <x:c r="H15" s="91">
        <x:f>SUM('1:30'!I15)</x:f>
        <x:v>4124750</x:v>
      </x:c>
      <x:c r="I15" s="72">
        <x:f>H15/$B$45</x:f>
        <x:v>0.031667800378654687</x:v>
      </x:c>
      <x:c r="J15" s="163"/>
      <x:c r="K15" s="172"/>
      <x:c r="M15" s="139" t="s">
        <x:v>150</x:v>
      </x:c>
      <x:c r="N15" s="130">
        <x:f>SUM('30'!F21)</x:f>
        <x:v>1638</x:v>
      </x:c>
      <x:c r="O15" s="69"/>
      <x:c r="P15" s="69"/>
    </x:row>
    <x:row r="16" spans="1:16" ht="16.399999999999999">
      <x:c r="A16" s="160" t="s">
        <x:v>59</x:v>
      </x:c>
      <x:c r="B16" s="161"/>
      <x:c r="C16" s="16"/>
      <x:c r="D16" s="16">
        <x:f t="shared" si="1"/>
        <x:v>0</x:v>
      </x:c>
      <x:c r="E16" s="17">
        <x:f t="shared" si="0"/>
        <x:v>0</x:v>
      </x:c>
      <x:c r="F16" s="174"/>
      <x:c r="J16" s="163"/>
      <x:c r="K16" s="172"/>
      <x:c r="M16" s="75"/>
      <x:c r="N16" s="127"/>
      <x:c r="O16" s="69"/>
      <x:c r="P16" s="69"/>
    </x:row>
    <x:row r="17" spans="1:16" ht="16.399999999999999">
      <x:c r="A17" s="160" t="s">
        <x:v>31</x:v>
      </x:c>
      <x:c r="B17" s="161"/>
      <x:c r="C17" s="16">
        <x:v>1177000</x:v>
      </x:c>
      <x:c r="D17" s="16">
        <x:f t="shared" si="1"/>
        <x:v>1177000</x:v>
      </x:c>
      <x:c r="E17" s="17">
        <x:f t="shared" si="0"/>
        <x:v>0.0090364267036005981</x:v>
      </x:c>
      <x:c r="F17" s="174"/>
      <x:c r="J17" s="163"/>
      <x:c r="K17" s="172"/>
      <x:c r="M17" s="69"/>
      <x:c r="N17" s="69"/>
      <x:c r="O17" s="69"/>
      <x:c r="P17" s="69"/>
    </x:row>
    <x:row r="18" spans="1:14" ht="17.149999999999999">
      <x:c r="A18" s="189" t="s">
        <x:v>79</x:v>
      </x:c>
      <x:c r="B18" s="190"/>
      <x:c r="C18" s="191">
        <x:f>SUM(D6:D17)</x:f>
        <x:v>12096000</x:v>
      </x:c>
      <x:c r="D18" s="192"/>
      <x:c r="E18" s="90">
        <x:f>SUM(E6:E17)</x:f>
        <x:v>0.092867134585176578</x:v>
      </x:c>
      <x:c r="F18" s="175"/>
      <x:c r="J18" s="177"/>
      <x:c r="K18" s="184"/>
      <x:c r="M18" s="82"/>
      <x:c r="N18" s="69"/>
    </x:row>
    <x:row r="19" spans="1:14" ht="17.449999999999999" customHeight="1">
      <x:c r="A19" s="193" t="s">
        <x:v>56</x:v>
      </x:c>
      <x:c r="B19" s="96" t="s">
        <x:v>44</x:v>
      </x:c>
      <x:c r="C19" s="106">
        <x:v>4000000</x:v>
      </x:c>
      <x:c r="D19" s="163">
        <x:f>SUM(C19:C30)</x:f>
        <x:v>23838250</x:v>
      </x:c>
      <x:c r="E19" s="166">
        <x:f>D19/$B$45</x:f>
        <x:v>0.18301835077919026</x:v>
      </x:c>
      <x:c r="F19" s="199" t="s">
        <x:v>75</x:v>
      </x:c>
      <x:c r="G19" s="145" t="s">
        <x:v>36</x:v>
      </x:c>
      <x:c r="H19" s="16">
        <x:f>SUM('1:30'!K4)</x:f>
        <x:v>1129000</x:v>
      </x:c>
      <x:c r="I19" s="71">
        <x:f t="shared" ref="I19:I22" si="2">H19/$B$45</x:f>
        <x:v>0.0086679063282625955</x:v>
      </x:c>
      <x:c r="J19" s="162">
        <x:f>SUM(H19:H32)</x:f>
        <x:v>2776020</x:v>
      </x:c>
      <x:c r="K19" s="171">
        <x:f>J19/$B$45</x:f>
        <x:v>0.02131291525720419</x:v>
      </x:c>
      <x:c r="M19" s="69"/>
      <x:c r="N19" s="69"/>
    </x:row>
    <x:row r="20" spans="1:16" ht="16.399999999999999">
      <x:c r="A20" s="193"/>
      <x:c r="B20" s="137" t="s">
        <x:v>23</x:v>
      </x:c>
      <x:c r="C20" s="16">
        <x:v>3800000</x:v>
      </x:c>
      <x:c r="D20" s="163"/>
      <x:c r="E20" s="167"/>
      <x:c r="F20" s="200"/>
      <x:c r="G20" s="146" t="s">
        <x:v>127</x:v>
      </x:c>
      <x:c r="H20" s="16">
        <x:f>SUM('1:30'!K6)</x:f>
        <x:v>84000</x:v>
      </x:c>
      <x:c r="I20" s="70">
        <x:f t="shared" si="2"/>
        <x:v>0.00064491065684150399</x:v>
      </x:c>
      <x:c r="J20" s="163"/>
      <x:c r="K20" s="172"/>
      <x:c r="M20" s="69"/>
      <x:c r="N20" s="69"/>
      <x:c r="P20" s="92"/>
    </x:row>
    <x:row r="21" spans="1:16" ht="16.399999999999999">
      <x:c r="A21" s="193"/>
      <x:c r="B21" s="144" t="s">
        <x:v>41</x:v>
      </x:c>
      <x:c r="C21" s="16">
        <x:v>3500000</x:v>
      </x:c>
      <x:c r="D21" s="163"/>
      <x:c r="E21" s="167"/>
      <x:c r="F21" s="200"/>
      <x:c r="G21" s="146" t="s">
        <x:v>76</x:v>
      </x:c>
      <x:c r="H21" s="16">
        <x:f>SUM('1:30'!K7)</x:f>
        <x:v>25000</x:v>
      </x:c>
      <x:c r="I21" s="70">
        <x:f t="shared" si="2"/>
        <x:v>0.00019193769548854286</x:v>
      </x:c>
      <x:c r="J21" s="163"/>
      <x:c r="K21" s="172"/>
      <x:c r="M21" s="69"/>
      <x:c r="N21" s="69"/>
      <x:c r="P21" s="92"/>
    </x:row>
    <x:row r="22" spans="1:16" ht="16.399999999999999">
      <x:c r="A22" s="193"/>
      <x:c r="B22" s="137" t="s">
        <x:v>47</x:v>
      </x:c>
      <x:c r="C22" s="16">
        <x:v>3200000</x:v>
      </x:c>
      <x:c r="D22" s="163"/>
      <x:c r="E22" s="167"/>
      <x:c r="F22" s="200"/>
      <x:c r="G22" s="67" t="s">
        <x:v>16</x:v>
      </x:c>
      <x:c r="H22" s="16">
        <x:f>SUM('1:30'!K9)</x:f>
        <x:v>0</x:v>
      </x:c>
      <x:c r="I22" s="70">
        <x:f t="shared" si="2"/>
        <x:v>0</x:v>
      </x:c>
      <x:c r="J22" s="163"/>
      <x:c r="K22" s="172"/>
      <x:c r="M22" s="69"/>
      <x:c r="N22" s="69"/>
      <x:c r="P22" s="92"/>
    </x:row>
    <x:row r="23" spans="1:16" ht="16.399999999999999">
      <x:c r="A23" s="193"/>
      <x:c r="D23" s="163"/>
      <x:c r="E23" s="167"/>
      <x:c r="F23" s="200"/>
      <x:c r="G23" s="67" t="s">
        <x:v>53</x:v>
      </x:c>
      <x:c r="H23" s="16">
        <x:f>SUM('1:30'!K10)</x:f>
        <x:v>52000</x:v>
      </x:c>
      <x:c r="I23" s="70">
        <x:f>H23/$B$45</x:f>
        <x:v>0.00039923040661616916</x:v>
      </x:c>
      <x:c r="J23" s="163"/>
      <x:c r="K23" s="172"/>
      <x:c r="M23" s="69"/>
      <x:c r="N23" s="69"/>
      <x:c r="P23" s="92"/>
    </x:row>
    <x:row r="24" spans="1:16" ht="16.399999999999999">
      <x:c r="A24" s="193"/>
      <x:c r="B24" s="137" t="s">
        <x:v>149</x:v>
      </x:c>
      <x:c r="C24" s="16">
        <x:v>1500000</x:v>
      </x:c>
      <x:c r="D24" s="163"/>
      <x:c r="E24" s="167"/>
      <x:c r="F24" s="200"/>
      <x:c r="G24" s="67" t="s">
        <x:v>82</x:v>
      </x:c>
      <x:c r="H24" s="16">
        <x:f>SUM('1:Chart1'!K11)</x:f>
        <x:v>0</x:v>
      </x:c>
      <x:c r="I24" s="70">
        <x:f>H24/$B$45</x:f>
        <x:v>0</x:v>
      </x:c>
      <x:c r="J24" s="163"/>
      <x:c r="K24" s="172"/>
      <x:c r="M24" s="69"/>
      <x:c r="N24" s="69"/>
      <x:c r="P24" s="15"/>
    </x:row>
    <x:row r="25" spans="1:14" ht="16.399999999999999">
      <x:c r="A25" s="193"/>
      <x:c r="B25" s="137" t="s">
        <x:v>29</x:v>
      </x:c>
      <x:c r="C25" s="16">
        <x:f>SUM('1:Chart1'!C32)</x:f>
        <x:v>0</x:v>
      </x:c>
      <x:c r="D25" s="163"/>
      <x:c r="E25" s="167"/>
      <x:c r="F25" s="200"/>
      <x:c r="G25" s="67" t="s">
        <x:v>74</x:v>
      </x:c>
      <x:c r="H25" s="16">
        <x:f>SUM('1:30'!K15)</x:f>
        <x:v>7000</x:v>
      </x:c>
      <x:c r="I25" s="70">
        <x:f>H25/$B$45</x:f>
        <x:v>5.3742554736791999E-5</x:v>
      </x:c>
      <x:c r="J25" s="163"/>
      <x:c r="K25" s="172"/>
      <x:c r="M25" s="69"/>
      <x:c r="N25" s="69"/>
    </x:row>
    <x:row r="26" spans="1:21" ht="16.399999999999999">
      <x:c r="A26" s="193"/>
      <x:c r="B26" s="137" t="s">
        <x:v>21</x:v>
      </x:c>
      <x:c r="C26" s="16">
        <x:f>SUM('1:30'!C33)</x:f>
        <x:v>1105000</x:v>
      </x:c>
      <x:c r="D26" s="163"/>
      <x:c r="E26" s="167"/>
      <x:c r="F26" s="200"/>
      <x:c r="G26" s="67" t="s">
        <x:v>97</x:v>
      </x:c>
      <x:c r="H26" s="16">
        <x:f>SUM('1:30'!K16)</x:f>
        <x:v>1371080</x:v>
      </x:c>
      <x:c r="I26" s="70">
        <x:f>H26/$B$45</x:f>
        <x:v>0.010526477421217253</x:v>
      </x:c>
      <x:c r="J26" s="163"/>
      <x:c r="K26" s="172"/>
      <x:c r="M26" s="69"/>
      <x:c r="N26" s="69"/>
      <x:c r="P26" s="92"/>
      <x:c r="T26" s="105"/>
      <x:c r="U26" s="104"/>
    </x:row>
    <x:row r="27" spans="1:21" ht="16.399999999999999">
      <x:c r="A27" s="193"/>
      <x:c r="B27" s="137" t="s">
        <x:v>147</x:v>
      </x:c>
      <x:c r="C27" s="16">
        <x:f>SUM('1:30'!F27)</x:f>
        <x:v>1254500</x:v>
      </x:c>
      <x:c r="D27" s="163"/>
      <x:c r="E27" s="167"/>
      <x:c r="F27" s="200"/>
      <x:c r="G27" s="67" t="s">
        <x:v>90</x:v>
      </x:c>
      <x:c r="H27" s="16">
        <x:f>SUM('1:30'!K17)</x:f>
        <x:v>107940</x:v>
      </x:c>
      <x:c r="I27" s="70">
        <x:f>H27/$B$45</x:f>
        <x:v>0.00082871019404133267</x:v>
      </x:c>
      <x:c r="J27" s="163"/>
      <x:c r="K27" s="172"/>
      <x:c r="M27" s="69"/>
      <x:c r="N27" s="69"/>
      <x:c r="P27" s="92"/>
      <x:c r="T27" s="105"/>
      <x:c r="U27" s="104"/>
    </x:row>
    <x:row r="28" spans="1:21" ht="16.399999999999999">
      <x:c r="A28" s="193"/>
      <x:c r="B28" s="1" t="s">
        <x:v>57</x:v>
      </x:c>
      <x:c r="C28" s="104">
        <x:f>SUM('1:30'!F29)</x:f>
        <x:v>672750</x:v>
      </x:c>
      <x:c r="D28" s="163"/>
      <x:c r="E28" s="167"/>
      <x:c r="F28" s="200"/>
      <x:c r="G28" s="67"/>
      <x:c r="H28" s="16"/>
      <x:c r="I28" s="70"/>
      <x:c r="J28" s="163"/>
      <x:c r="K28" s="172"/>
      <x:c r="P28" s="92"/>
      <x:c r="T28" s="105"/>
      <x:c r="U28" s="104"/>
    </x:row>
    <x:row r="29" spans="1:21" ht="16.399999999999999">
      <x:c r="A29" s="193"/>
      <x:c r="B29" s="137" t="s">
        <x:v>138</x:v>
      </x:c>
      <x:c r="C29" s="16">
        <x:f>SUM('1:30'!F32)</x:f>
        <x:v>1046000</x:v>
      </x:c>
      <x:c r="D29" s="163"/>
      <x:c r="E29" s="167"/>
      <x:c r="F29" s="200"/>
      <x:c r="J29" s="163"/>
      <x:c r="K29" s="172"/>
      <x:c r="P29" s="92"/>
      <x:c r="T29" s="105"/>
      <x:c r="U29" s="104"/>
    </x:row>
    <x:row r="30" spans="1:21" ht="16.399999999999999">
      <x:c r="A30" s="193"/>
      <x:c r="B30" s="137" t="s">
        <x:v>4</x:v>
      </x:c>
      <x:c r="C30" s="16">
        <x:f>SUM('1:30'!F31)</x:f>
        <x:v>3760000</x:v>
      </x:c>
      <x:c r="D30" s="163"/>
      <x:c r="E30" s="167"/>
      <x:c r="F30" s="200"/>
      <x:c r="J30" s="163"/>
      <x:c r="K30" s="172"/>
      <x:c r="P30" s="92"/>
      <x:c r="T30" s="105"/>
      <x:c r="U30" s="104"/>
    </x:row>
    <x:row r="31" spans="1:11" ht="16.399999999999999">
      <x:c r="A31" s="194"/>
      <x:c r="B31" s="137" t="s">
        <x:v>54</x:v>
      </x:c>
      <x:c r="C31" s="16">
        <x:f>SUM(C19:C30)</x:f>
        <x:v>23838250</x:v>
      </x:c>
      <x:c r="D31" s="168"/>
      <x:c r="E31" s="167"/>
      <x:c r="F31" s="200"/>
      <x:c r="J31" s="163"/>
      <x:c r="K31" s="172"/>
    </x:row>
    <x:row r="32" spans="1:11" ht="16.399999999999999">
      <x:c r="A32" s="169" t="s">
        <x:v>68</x:v>
      </x:c>
      <x:c r="B32" s="170"/>
      <x:c r="C32" s="19">
        <x:f>SUM(C19:C22)*0.1</x:f>
        <x:v>1450000</x:v>
      </x:c>
      <x:c r="D32" s="16">
        <x:f>C32</x:f>
        <x:v>1450000</x:v>
      </x:c>
      <x:c r="E32" s="172">
        <x:f>(D32:D33)/$B$45</x:f>
        <x:v>0.011132386338335486</x:v>
      </x:c>
      <x:c r="F32" s="200"/>
      <x:c r="G32" s="103"/>
      <x:c r="H32" s="83"/>
      <x:c r="I32" s="70"/>
      <x:c r="J32" s="163"/>
      <x:c r="K32" s="172"/>
    </x:row>
    <x:row r="33" spans="1:11" ht="16.75">
      <x:c r="A33" s="187" t="s">
        <x:v>78</x:v>
      </x:c>
      <x:c r="B33" s="188"/>
      <x:c r="C33" s="140"/>
      <x:c r="D33" s="141">
        <x:f>C33</x:f>
        <x:v>0</x:v>
      </x:c>
      <x:c r="E33" s="184"/>
      <x:c r="F33" s="195" t="s">
        <x:v>69</x:v>
      </x:c>
      <x:c r="G33" s="196"/>
      <x:c r="H33" s="84">
        <x:f>SUM('1:Chart1'!$G$5)</x:f>
        <x:v>145980</x:v>
      </x:c>
      <x:c r="I33" s="84"/>
      <x:c r="J33" s="84">
        <x:f>H33</x:f>
        <x:v>145980</x:v>
      </x:c>
      <x:c r="K33" s="85">
        <x:f>J33/$B$45</x:f>
        <x:v>0.0011207625914966995</x:v>
      </x:c>
    </x:row>
    <x:row r="34" spans="1:11" ht="21.399999999999999">
      <x:c r="A34" s="164" t="s">
        <x:v>79</x:v>
      </x:c>
      <x:c r="B34" s="165"/>
      <x:c r="C34" s="152">
        <x:f>SUM(C6:D17,C19:C24,C32:C33)</x:f>
        <x:v>41642000</x:v>
      </x:c>
      <x:c r="D34" s="153"/>
      <x:c r="E34" s="20">
        <x:f>SUM(E19:E33)</x:f>
        <x:v>0.19415073711752576</x:v>
      </x:c>
      <x:c r="F34" s="197" t="s">
        <x:v>146</x:v>
      </x:c>
      <x:c r="G34" s="198"/>
      <x:c r="H34" s="86">
        <x:f>SUM('1:Chart1'!$G$4)</x:f>
        <x:v>3180432.25</x:v>
      </x:c>
      <x:c r="I34" s="86"/>
      <x:c r="J34" s="86">
        <x:f>H34</x:f>
        <x:v>3180432.25</x:v>
      </x:c>
      <x:c r="K34" s="87">
        <x:f>J34/$B$45</x:f>
        <x:v>0.024417793468897647</x:v>
      </x:c>
    </x:row>
    <x:row r="35" spans="1:11" ht="21.399999999999999">
      <x:c r="A35" s="155" t="s">
        <x:v>112</x:v>
      </x:c>
      <x:c r="B35" s="156"/>
      <x:c r="E35" s="21">
        <x:f>E18+E34</x:f>
        <x:v>0.28701787170270232</x:v>
      </x:c>
      <x:c r="F35" s="155"/>
      <x:c r="G35" s="156"/>
      <x:c r="H35" s="152">
        <x:f>SUM(J6:J34)</x:f>
        <x:v>54376605.25</x:v>
      </x:c>
      <x:c r="I35" s="153"/>
      <x:c r="J35" s="154"/>
      <x:c r="K35" s="22">
        <x:f>SUM(K6:K34)</x:f>
        <x:v>0.41747681200700804</x:v>
      </x:c>
    </x:row>
    <x:row r="36" spans="6:11" ht="20.649999999999999">
      <x:c r="F36" s="102"/>
      <x:c r="G36" s="102"/>
      <x:c r="H36" s="101"/>
      <x:c r="I36" s="101"/>
      <x:c r="J36" s="101"/>
      <x:c r="K36" s="100"/>
    </x:row>
    <x:row r="37" spans="1:4" ht="17.800000000000001">
      <x:c r="A37" s="23"/>
      <x:c r="B37" s="23"/>
      <x:c r="C37" s="23"/>
      <x:c r="D37" s="23"/>
    </x:row>
    <x:row r="38" spans="1:11" ht="18.199999999999999">
      <x:c r="A38" s="24" t="s">
        <x:v>2</x:v>
      </x:c>
      <x:c r="B38" s="25" t="s">
        <x:v>39</x:v>
      </x:c>
      <x:c r="C38" s="26" t="s">
        <x:v>136</x:v>
      </x:c>
      <x:c r="D38" s="99" t="s">
        <x:v>115</x:v>
      </x:c>
      <x:c r="F38" s="27" t="s">
        <x:v>105</x:v>
      </x:c>
      <x:c r="G38" s="28"/>
      <x:c r="H38" s="28"/>
      <x:c r="I38" s="28"/>
      <x:c r="J38" s="28"/>
      <x:c r="K38" s="29"/>
    </x:row>
    <x:row r="39" spans="1:11" ht="17.800000000000001">
      <x:c r="A39" s="118" t="s">
        <x:v>92</x:v>
      </x:c>
      <x:c r="B39" s="30">
        <x:f>$C$34</x:f>
        <x:v>41642000</x:v>
      </x:c>
      <x:c r="C39" s="31">
        <x:f>B39/$B$41</x:f>
        <x:v>0.43368678280191952</x:v>
      </x:c>
      <x:c r="D39" s="32">
        <x:f>B39/$B$45</x:f>
        <x:v>0.31970678062135605</x:v>
      </x:c>
      <x:c r="F39" s="33" t="s">
        <x:v>65</x:v>
      </x:c>
      <x:c r="G39" s="34"/>
      <x:c r="H39" s="34"/>
      <x:c r="I39" s="34"/>
      <x:c r="J39" s="34"/>
      <x:c r="K39" s="74"/>
    </x:row>
    <x:row r="40" spans="1:11" ht="17.800000000000001">
      <x:c r="A40" s="119" t="s">
        <x:v>80</x:v>
      </x:c>
      <x:c r="B40" s="35">
        <x:f>$H$35</x:f>
        <x:v>54376605.25</x:v>
      </x:c>
      <x:c r="C40" s="31">
        <x:f>B40/$B$41</x:f>
        <x:v>0.56631321719808048</x:v>
      </x:c>
      <x:c r="D40" s="32">
        <x:f>B40/$B$45</x:f>
        <x:v>0.41747681200700804</x:v>
      </x:c>
      <x:c r="F40" s="185" t="s">
        <x:v>30</x:v>
      </x:c>
      <x:c r="G40" s="186"/>
      <x:c r="H40" s="34" t="s">
        <x:v>15</x:v>
      </x:c>
      <x:c r="I40" s="34"/>
      <x:c r="J40" s="34"/>
      <x:c r="K40" s="36">
        <x:f>$C$34</x:f>
        <x:v>41642000</x:v>
      </x:c>
    </x:row>
    <x:row r="41" spans="1:11" ht="17.800000000000001">
      <x:c r="A41" s="120" t="s">
        <x:v>25</x:v>
      </x:c>
      <x:c r="B41" s="115">
        <x:f>SUM(B39:B40)</x:f>
        <x:v>96018605.25</x:v>
      </x:c>
      <x:c r="C41" s="116">
        <x:f>SUM(C39:C40)</x:f>
        <x:v>1</x:v>
      </x:c>
      <x:c r="D41" s="117">
        <x:f>SUM(D39:D40)</x:f>
        <x:v>0.73718359262836408</x:v>
      </x:c>
      <x:c r="F41" s="185" t="s">
        <x:v>1</x:v>
      </x:c>
      <x:c r="G41" s="186"/>
      <x:c r="H41" s="34" t="s">
        <x:v>0</x:v>
      </x:c>
      <x:c r="I41" s="34"/>
      <x:c r="J41" s="34"/>
      <x:c r="K41" s="39">
        <x:f>$H$35</x:f>
        <x:v>54376605.25</x:v>
      </x:c>
    </x:row>
    <x:row r="42" spans="1:11" customHeight="1">
      <x:c r="A42" s="121" t="s">
        <x:v>122</x:v>
      </x:c>
      <x:c r="B42" s="48">
        <x:f>SUM('1:Chart1'!C4)</x:f>
        <x:v>115652600</x:v>
      </x:c>
      <x:c r="C42" s="49"/>
      <x:c r="D42" s="40">
        <x:f>B42/$B$45</x:f>
        <x:v>0.8879237408503301</x:v>
      </x:c>
      <x:c r="F42" s="185" t="s">
        <x:v>60</x:v>
      </x:c>
      <x:c r="G42" s="186"/>
      <x:c r="H42" s="34" t="s">
        <x:v>34</x:v>
      </x:c>
      <x:c r="I42" s="34"/>
      <x:c r="J42" s="34"/>
      <x:c r="K42" s="39">
        <x:f>$B$45</x:f>
        <x:v>130250600</x:v>
      </x:c>
    </x:row>
    <x:row r="43" spans="1:11" customHeight="1">
      <x:c r="A43" s="119" t="s">
        <x:v>129</x:v>
      </x:c>
      <x:c r="B43" s="35">
        <x:f>SUM('1:Chart1'!C5)</x:f>
        <x:v>14598000</x:v>
      </x:c>
      <x:c r="C43" s="35"/>
      <x:c r="D43" s="41">
        <x:f>B43/$B$45</x:f>
        <x:v>0.11207625914966994</x:v>
      </x:c>
      <x:c r="F43" s="185" t="s">
        <x:v>140</x:v>
      </x:c>
      <x:c r="G43" s="186"/>
      <x:c r="H43" s="34" t="s">
        <x:v>55</x:v>
      </x:c>
      <x:c r="I43" s="34"/>
      <x:c r="J43" s="34"/>
      <x:c r="K43" s="42">
        <x:f>(K41)/K42</x:f>
        <x:v>0.41747681200700804</x:v>
      </x:c>
    </x:row>
    <x:row r="44" spans="1:11" customHeight="1">
      <x:c r="A44" s="119" t="s">
        <x:v>135</x:v>
      </x:c>
      <x:c r="B44" s="35">
        <x:f>SUM('1:Chart1'!C6)</x:f>
        <x:v>0</x:v>
      </x:c>
      <x:c r="C44" s="18"/>
      <x:c r="D44" s="41">
        <x:f>B44/$B$45</x:f>
        <x:v>0</x:v>
      </x:c>
      <x:c r="F44" s="43" t="s">
        <x:v>67</x:v>
      </x:c>
      <x:c r="G44" s="44"/>
      <x:c r="H44" s="44" t="s">
        <x:v>145</x:v>
      </x:c>
      <x:c r="I44" s="44"/>
      <x:c r="J44" s="44"/>
      <x:c r="K44" s="45">
        <x:f>K40/(1-K43)</x:f>
        <x:v>71485566.340238065</x:v>
      </x:c>
    </x:row>
    <x:row r="45" spans="1:4" customHeight="1">
      <x:c r="A45" s="122" t="s">
        <x:v>11</x:v>
      </x:c>
      <x:c r="B45" s="37">
        <x:f>SUM(B42:B44)</x:f>
        <x:v>130250600</x:v>
      </x:c>
      <x:c r="C45" s="50"/>
      <x:c r="D45" s="38"/>
    </x:row>
    <x:row r="46" spans="1:4" customHeight="1">
      <x:c r="A46" s="123" t="s">
        <x:v>89</x:v>
      </x:c>
      <x:c r="B46" s="46">
        <x:f>B45-B41</x:f>
        <x:v>34231994.75</x:v>
      </x:c>
      <x:c r="C46" s="47"/>
      <x:c r="D46" s="73">
        <x:f>B46/B45</x:f>
        <x:v>0.26281640737163592</x:v>
      </x:c>
    </x:row>
    <x:row r="47" spans="1:13" ht="20.100000000000001" customHeight="1">
      <x:c r="A47" s="121" t="s">
        <x:v>108</x:v>
      </x:c>
      <x:c r="B47" s="48">
        <x:f>INT(B45*0.05)</x:f>
        <x:v>6512530</x:v>
      </x:c>
      <x:c r="C47" s="49"/>
      <x:c r="D47" s="40">
        <x:f>B47/B45</x:f>
        <x:v>0.05</x:v>
      </x:c>
      <x:c r="E47" s="23"/>
      <x:c r="F47" s="23"/>
      <x:c r="G47" s="23"/>
      <x:c r="H47" s="23"/>
      <x:c r="I47" s="23"/>
      <x:c r="J47" s="23"/>
      <x:c r="K47" s="23"/>
      <x:c r="M47" s="23"/>
    </x:row>
    <x:row r="48" spans="1:13" customHeight="1">
      <x:c r="A48" s="123" t="s">
        <x:v>99</x:v>
      </x:c>
      <x:c r="B48" s="30">
        <x:f>INT(B45*0.02)</x:f>
        <x:v>2605012</x:v>
      </x:c>
      <x:c r="C48" s="78"/>
      <x:c r="D48" s="32">
        <x:f>B48/B45</x:f>
        <x:v>0.020000000000000001</x:v>
      </x:c>
      <x:c r="E48" s="23"/>
      <x:c r="F48" s="23"/>
      <x:c r="G48" s="23"/>
      <x:c r="H48" s="23"/>
      <x:c r="I48" s="23"/>
      <x:c r="J48" s="23"/>
      <x:c r="K48" s="23"/>
      <x:c r="M48" s="23"/>
    </x:row>
    <x:row r="49" spans="1:6" s="23" customFormat="1" customHeight="1">
      <x:c r="A49" s="122" t="s">
        <x:v>107</x:v>
      </x:c>
      <x:c r="B49" s="37">
        <x:f>B46-B47-B48</x:f>
        <x:v>25114452.75</x:v>
      </x:c>
      <x:c r="C49" s="50"/>
      <x:c r="D49" s="73">
        <x:f>B49/B45</x:f>
        <x:v>0.19281640737163591</x:v>
      </x:c>
      <x:c r="E49" s="93"/>
      <x:c r="F49" s="94"/>
    </x:row>
    <x:row r="50" spans="1:5" s="23" customFormat="1" customHeight="1">
      <x:c r="A50" s="98"/>
      <x:c r="B50" s="1"/>
      <x:c r="C50" s="1"/>
      <x:c r="D50" s="1"/>
      <x:c r="E50" s="1"/>
    </x:row>
    <x:row r="51" spans="1:5" s="23" customFormat="1" customHeight="1">
      <x:c r="A51" s="98"/>
      <x:c r="B51" s="1"/>
      <x:c r="C51" s="1"/>
      <x:c r="D51" s="1"/>
      <x:c r="E51" s="93"/>
    </x:row>
    <x:row r="52" spans="1:5" s="23" customFormat="1" customHeight="1">
      <x:c r="A52" s="1"/>
      <x:c r="B52" s="1"/>
      <x:c r="C52" s="1"/>
      <x:c r="D52" s="1"/>
      <x:c r="E52" s="1"/>
    </x:row>
    <x:row r="53" spans="1:5" s="23" customFormat="1" customHeight="1">
      <x:c r="A53" s="1"/>
      <x:c r="B53" s="1"/>
      <x:c r="C53" s="1"/>
      <x:c r="D53" s="1"/>
      <x:c r="E53" s="1"/>
    </x:row>
    <x:row r="54" spans="1:5" s="23" customFormat="1" customHeight="1">
      <x:c r="A54" s="1"/>
      <x:c r="B54" s="1"/>
      <x:c r="C54" s="1"/>
      <x:c r="D54" s="1"/>
      <x:c r="E54" s="1"/>
    </x:row>
    <x:row r="55" spans="1:11" s="23" customFormat="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spans="1:11" s="23" customFormat="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spans="1:11" s="23" customFormat="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spans="1:11" s="23" customFormat="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</x:sheetData>
  <x:mergeCells count="40">
    <x:mergeCell ref="H35:J35"/>
    <x:mergeCell ref="F35:G35"/>
    <x:mergeCell ref="A12:B12"/>
    <x:mergeCell ref="A13:B13"/>
    <x:mergeCell ref="A14:B14"/>
    <x:mergeCell ref="A15:B15"/>
    <x:mergeCell ref="A16:B16"/>
    <x:mergeCell ref="A17:B17"/>
    <x:mergeCell ref="J19:J32"/>
    <x:mergeCell ref="A34:B34"/>
    <x:mergeCell ref="E19:E31"/>
    <x:mergeCell ref="D19:D31"/>
    <x:mergeCell ref="A32:B32"/>
    <x:mergeCell ref="K19:K32"/>
    <x:mergeCell ref="F6:F18"/>
    <x:mergeCell ref="J6:J18"/>
    <x:mergeCell ref="A4:E4"/>
    <x:mergeCell ref="F4:K4"/>
    <x:mergeCell ref="A6:B6"/>
    <x:mergeCell ref="A7:B7"/>
    <x:mergeCell ref="A8:B8"/>
    <x:mergeCell ref="A5:B5"/>
    <x:mergeCell ref="K6:K18"/>
    <x:mergeCell ref="A9:B9"/>
    <x:mergeCell ref="A10:B10"/>
    <x:mergeCell ref="A11:B11"/>
    <x:mergeCell ref="E32:E33"/>
    <x:mergeCell ref="F43:G43"/>
    <x:mergeCell ref="F40:G40"/>
    <x:mergeCell ref="F42:G42"/>
    <x:mergeCell ref="A33:B33"/>
    <x:mergeCell ref="A18:B18"/>
    <x:mergeCell ref="C18:D18"/>
    <x:mergeCell ref="A19:A31"/>
    <x:mergeCell ref="F41:G41"/>
    <x:mergeCell ref="F33:G33"/>
    <x:mergeCell ref="F34:G34"/>
    <x:mergeCell ref="A35:B35"/>
    <x:mergeCell ref="C34:D34"/>
    <x:mergeCell ref="F19:F32"/>
  </x:mergeCells>
  <x:pageMargins left="0.69972223043441772" right="0.69972223043441772" top="0.75" bottom="0.75" header="0.30000001192092896" footer="0.30000001192092896"/>
  <x:pageSetup paperSize="9" scale="57" firstPageNumber="1" fitToWidth="1" fitToHeight="1" orientation="landscape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O34"/>
  <x:sheetViews>
    <x:sheetView tabSelected="1" topLeftCell="A1" zoomScale="85" zoomScaleNormal="85" zoomScaleSheetLayoutView="75" workbookViewId="0">
      <x:selection activeCell="J34" activeCellId="0" sqref="J34:J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152</x:v>
      </x:c>
      <x:c r="F1" s="68">
        <x:v>1</x:v>
      </x:c>
      <x:c r="G1" s="68" t="s">
        <x:v>49</x:v>
      </x:c>
      <x:c r="H1" s="52" t="s">
        <x:v>123</x:v>
      </x:c>
      <x:c r="I1" s="52">
        <x:f>F1-K1</x:f>
        <x:v>1</x:v>
      </x:c>
      <x:c r="J1" s="52" t="s">
        <x:v>98</x:v>
      </x:c>
      <x:c r="K1" s="52"/>
    </x:row>
    <x:row r="2" spans="1:11" ht="20.100000000000001" customHeight="1">
      <x:c r="A2" s="271" t="s">
        <x:v>9</x:v>
      </x:c>
      <x:c r="B2" s="272"/>
      <x:c r="C2" s="275">
        <x:f>SUM(C4:D7)</x:f>
        <x:v>2966000</x:v>
      </x:c>
      <x:c r="D2" s="275"/>
      <x:c r="E2" s="278" t="s">
        <x:v>40</x:v>
      </x:c>
      <x:c r="F2" s="279"/>
      <x:c r="G2" s="267">
        <x:v>88900</x:v>
      </x:c>
      <x:c r="H2" s="265" t="s">
        <x:v>6</x:v>
      </x:c>
      <x:c r="I2" s="266"/>
      <x:c r="J2" s="263" t="s">
        <x:v>74</x:v>
      </x:c>
      <x:c r="K2" s="264"/>
    </x:row>
    <x:row r="3" spans="1:11" ht="20.100000000000001" customHeight="1">
      <x:c r="A3" s="273"/>
      <x:c r="B3" s="274"/>
      <x:c r="C3" s="276"/>
      <x:c r="D3" s="276"/>
      <x:c r="E3" s="280"/>
      <x:c r="F3" s="281"/>
      <x:c r="G3" s="268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2" ht="30.949999999999999" customHeight="1">
      <x:c r="A4" s="269" t="s">
        <x:v>22</x:v>
      </x:c>
      <x:c r="B4" s="270"/>
      <x:c r="C4" s="262">
        <x:v>2626500</x:v>
      </x:c>
      <x:c r="D4" s="262"/>
      <x:c r="E4" s="277" t="s">
        <x:v>146</x:v>
      </x:c>
      <x:c r="F4" s="277"/>
      <x:c r="G4" s="133">
        <x:f>INT(C4*0.0275)</x:f>
        <x:v>72228</x:v>
      </x:c>
      <x:c r="H4" s="54" t="s">
        <x:v>20</x:v>
      </x:c>
      <x:c r="I4" s="124">
        <x:v>1423918</x:v>
      </x:c>
      <x:c r="J4" s="80" t="s">
        <x:v>36</x:v>
      </x:c>
      <x:c r="K4" s="58"/>
      <x:c r="L4" s="95"/>
    </x:row>
    <x:row r="5" spans="1:11" ht="30.949999999999999" customHeight="1">
      <x:c r="A5" s="269" t="s">
        <x:v>61</x:v>
      </x:c>
      <x:c r="B5" s="270"/>
      <x:c r="C5" s="262">
        <x:v>339500</x:v>
      </x:c>
      <x:c r="D5" s="262"/>
      <x:c r="E5" s="261" t="s">
        <x:v>70</x:v>
      </x:c>
      <x:c r="F5" s="261"/>
      <x:c r="G5" s="133">
        <x:f>INT(C5*0.01)</x:f>
        <x:v>3395</x:v>
      </x:c>
      <x:c r="H5" s="54" t="s">
        <x:v>6</x:v>
      </x:c>
      <x:c r="I5" s="124">
        <x:v>298336</x:v>
      </x:c>
      <x:c r="J5" s="81"/>
      <x:c r="K5" s="58"/>
    </x:row>
    <x:row r="6" spans="1:11" ht="21.949999999999999" customHeight="1">
      <x:c r="A6" s="256" t="s">
        <x:v>84</x:v>
      </x:c>
      <x:c r="B6" s="257"/>
      <x:c r="C6" s="301"/>
      <x:c r="D6" s="302"/>
      <x:c r="E6" s="288" t="s">
        <x:v>131</x:v>
      </x:c>
      <x:c r="F6" s="289"/>
      <x:c r="G6" s="282">
        <x:v>300000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8"/>
      <x:c r="B7" s="259"/>
      <x:c r="C7" s="303"/>
      <x:c r="D7" s="304"/>
      <x:c r="E7" s="280"/>
      <x:c r="F7" s="281"/>
      <x:c r="G7" s="268"/>
      <x:c r="H7" s="54" t="s">
        <x:v>24</x:v>
      </x:c>
      <x:c r="I7" s="124">
        <x:v>141400</x:v>
      </x:c>
      <x:c r="J7" s="81" t="s">
        <x:v>116</x:v>
      </x:c>
      <x:c r="K7" s="58"/>
    </x:row>
    <x:row r="8" spans="1:11" ht="21.949999999999999" customHeight="1">
      <x:c r="A8" s="260" t="s">
        <x:v>134</x:v>
      </x:c>
      <x:c r="B8" s="261"/>
      <x:c r="C8" s="262">
        <x:v>128900</x:v>
      </x:c>
      <x:c r="D8" s="262"/>
      <x:c r="E8" s="288" t="s">
        <x:v>110</x:v>
      </x:c>
      <x:c r="F8" s="289"/>
      <x:c r="G8" s="294">
        <x:v>128400</x:v>
      </x:c>
      <x:c r="H8" s="54" t="s">
        <x:v>45</x:v>
      </x:c>
      <x:c r="I8" s="124"/>
      <x:c r="J8" s="81"/>
      <x:c r="K8" s="58"/>
    </x:row>
    <x:row r="9" spans="1:11" ht="21.949999999999999" customHeight="1">
      <x:c r="A9" s="260"/>
      <x:c r="B9" s="261"/>
      <x:c r="C9" s="262"/>
      <x:c r="D9" s="262"/>
      <x:c r="E9" s="280"/>
      <x:c r="F9" s="281"/>
      <x:c r="G9" s="295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143</x:v>
      </x:c>
      <x:c r="B10" s="261"/>
      <x:c r="C10" s="262"/>
      <x:c r="D10" s="262"/>
      <x:c r="E10" s="261" t="s">
        <x:v>87</x:v>
      </x:c>
      <x:c r="F10" s="261"/>
      <x:c r="G10" s="55"/>
      <x:c r="H10" s="54"/>
      <x:c r="I10" s="124"/>
      <x:c r="J10" s="54" t="s">
        <x:v>53</x:v>
      </x:c>
      <x:c r="K10" s="58">
        <x:v>13000</x:v>
      </x:c>
    </x:row>
    <x:row r="11" spans="1:11" ht="33" customHeight="1">
      <x:c r="A11" s="260" t="s">
        <x:v>103</x:v>
      </x:c>
      <x:c r="B11" s="261"/>
      <x:c r="C11" s="300"/>
      <x:c r="D11" s="300"/>
      <x:c r="E11" s="300"/>
      <x:c r="F11" s="300"/>
      <x:c r="G11" s="300"/>
      <x:c r="H11" s="54" t="s">
        <x:v>58</x:v>
      </x:c>
      <x:c r="I11" s="58"/>
      <x:c r="J11" s="54" t="s">
        <x:v>82</x:v>
      </x:c>
      <x:c r="K11" s="151"/>
    </x:row>
    <x:row r="12" spans="1:13" ht="21.949999999999999" customHeight="1">
      <x:c r="A12" s="59" t="s">
        <x:v>48</x:v>
      </x:c>
      <x:c r="B12" s="298" t="s">
        <x:v>42</x:v>
      </x:c>
      <x:c r="C12" s="79">
        <x:v>9</x:v>
      </x:c>
      <x:c r="D12" s="288" t="s">
        <x:v>133</x:v>
      </x:c>
      <x:c r="E12" s="289"/>
      <x:c r="F12" s="292">
        <x:v>1</x:v>
      </x:c>
      <x:c r="G12" s="293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9"/>
      <x:c r="C13" s="134">
        <x:f>SUM('1'!$C$12)</x:f>
        <x:v>9</x:v>
      </x:c>
      <x:c r="D13" s="280"/>
      <x:c r="E13" s="281"/>
      <x:c r="F13" s="290">
        <x:f>SUM('1'!$F$12)</x:f>
        <x:v>1</x:v>
      </x:c>
      <x:c r="G13" s="291"/>
      <x:c r="H13" s="54" t="s">
        <x:v>126</x:v>
      </x:c>
      <x:c r="I13" s="58">
        <x:v>240000</x:v>
      </x:c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8" t="s">
        <x:v>64</x:v>
      </x:c>
      <x:c r="C14" s="79">
        <x:v>18</x:v>
      </x:c>
      <x:c r="D14" s="288" t="s">
        <x:v>95</x:v>
      </x:c>
      <x:c r="E14" s="289"/>
      <x:c r="F14" s="292">
        <x:v>6</x:v>
      </x:c>
      <x:c r="G14" s="293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9"/>
      <x:c r="C15" s="134">
        <x:f>SUM('1'!$C$14)</x:f>
        <x:v>18</x:v>
      </x:c>
      <x:c r="D15" s="280"/>
      <x:c r="E15" s="281"/>
      <x:c r="F15" s="290">
        <x:f>SUM('1'!$F$14)</x:f>
        <x:v>6</x:v>
      </x:c>
      <x:c r="G15" s="291"/>
      <x:c r="H15" s="54" t="s">
        <x:v>106</x:v>
      </x:c>
      <x:c r="I15" s="58">
        <x:v>124850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8" t="s">
        <x:v>51</x:v>
      </x:c>
      <x:c r="C16" s="79">
        <x:v>3</x:v>
      </x:c>
      <x:c r="D16" s="288" t="s">
        <x:v>117</x:v>
      </x:c>
      <x:c r="E16" s="289"/>
      <x:c r="F16" s="286">
        <x:v>7</x:v>
      </x:c>
      <x:c r="G16" s="286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9"/>
      <x:c r="C17" s="134">
        <x:f>SUM('1'!$C$16)</x:f>
        <x:v>3</x:v>
      </x:c>
      <x:c r="D17" s="280"/>
      <x:c r="E17" s="281"/>
      <x:c r="F17" s="287">
        <x:f>SUM('1'!$F$16)</x:f>
        <x:v>7</x:v>
      </x:c>
      <x:c r="G17" s="287"/>
      <x:c r="H17" s="54" t="s">
        <x:v>7</x:v>
      </x:c>
      <x:c r="I17" s="58">
        <x:v>1600</x:v>
      </x:c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8" t="s">
        <x:v>91</x:v>
      </x:c>
      <x:c r="C18" s="79">
        <x:v>9</x:v>
      </x:c>
      <x:c r="D18" s="288" t="s">
        <x:v>130</x:v>
      </x:c>
      <x:c r="E18" s="289"/>
      <x:c r="F18" s="296">
        <x:v>1</x:v>
      </x:c>
      <x:c r="G18" s="297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9"/>
      <x:c r="C19" s="134">
        <x:f>SUM('1'!$C$18)</x:f>
        <x:v>9</x:v>
      </x:c>
      <x:c r="D19" s="280"/>
      <x:c r="E19" s="281"/>
      <x:c r="F19" s="287">
        <x:f>SUM('1'!$F$18)</x:f>
        <x:v>1</x:v>
      </x:c>
      <x:c r="G19" s="287"/>
      <x:c r="H19" s="58"/>
      <x:c r="I19" s="58"/>
      <x:c r="J19" s="54"/>
      <x:c r="K19" s="58"/>
      <x:c r="L19" s="60"/>
      <x:c r="M19" s="11"/>
    </x:row>
    <x:row r="20" spans="1:13" ht="21.949999999999999" customHeight="1">
      <x:c r="A20" s="59" t="s">
        <x:v>48</x:v>
      </x:c>
      <x:c r="B20" s="261" t="s">
        <x:v>151</x:v>
      </x:c>
      <x:c r="C20" s="54">
        <x:v>8</x:v>
      </x:c>
      <x:c r="D20" s="261" t="s">
        <x:v>113</x:v>
      </x:c>
      <x:c r="E20" s="261"/>
      <x:c r="F20" s="286">
        <x:v>56</x:v>
      </x:c>
      <x:c r="G20" s="286"/>
      <x:c r="H20" s="58"/>
      <x:c r="J20" s="54"/>
      <x:c r="K20" s="58"/>
      <x:c r="L20" s="60"/>
      <x:c r="M20" s="11"/>
    </x:row>
    <x:row r="21" spans="1:13" ht="21.949999999999999" customHeight="1">
      <x:c r="A21" s="59" t="s">
        <x:v>96</x:v>
      </x:c>
      <x:c r="B21" s="261"/>
      <x:c r="C21" s="150">
        <x:f>SUM('1'!$C$20)</x:f>
        <x:v>8</x:v>
      </x:c>
      <x:c r="D21" s="261" t="s">
        <x:v>114</x:v>
      </x:c>
      <x:c r="E21" s="261"/>
      <x:c r="F21" s="287">
        <x:f>SUM('1'!$F$20)</x:f>
        <x:v>56</x:v>
      </x:c>
      <x:c r="G21" s="287"/>
      <x:c r="H21" s="58"/>
      <x:c r="J21" s="54"/>
      <x:c r="K21" s="58"/>
      <x:c r="L21" s="60"/>
      <x:c r="M21" s="11"/>
    </x:row>
    <x:row r="22" spans="1:13" ht="32.100000000000001" customHeight="1">
      <x:c r="A22" s="260" t="s">
        <x:v>83</x:v>
      </x:c>
      <x:c r="B22" s="261"/>
      <x:c r="C22" s="285"/>
      <x:c r="D22" s="285"/>
      <x:c r="E22" s="285"/>
      <x:c r="F22" s="285"/>
      <x:c r="G22" s="285"/>
      <x:c r="H22" s="54"/>
      <x:c r="J22" s="54"/>
      <x:c r="K22" s="58"/>
      <x:c r="L22" s="60"/>
      <x:c r="M22" s="11"/>
    </x:row>
    <x:row r="23" spans="1:15" ht="34.149999999999999" customHeight="1">
      <x:c r="A23" s="260" t="s">
        <x:v>124</x:v>
      </x:c>
      <x:c r="B23" s="261"/>
      <x:c r="C23" s="285"/>
      <x:c r="D23" s="285"/>
      <x:c r="E23" s="285"/>
      <x:c r="F23" s="285"/>
      <x:c r="G23" s="285"/>
      <x:c r="H23" s="107" t="s">
        <x:v>94</x:v>
      </x:c>
      <x:c r="I23" s="108">
        <x:f>SUM(I4:I22)</x:f>
        <x:v>2230104</x:v>
      </x:c>
      <x:c r="J23" s="61" t="s">
        <x:v>119</x:v>
      </x:c>
      <x:c r="K23" s="62">
        <x:f>SUM(K4:K22)</x:f>
        <x:v>13000</x:v>
      </x:c>
      <x:c r="M23" s="89" t="s">
        <x:v>93</x:v>
      </x:c>
      <x:c r="N23" s="283">
        <x:f>C5+C6</x:f>
        <x:v>339500</x:v>
      </x:c>
      <x:c r="O23" s="284"/>
    </x:row>
    <x:row r="24" spans="1:11" ht="34.149999999999999" customHeight="1">
      <x:c r="A24" s="260" t="s">
        <x:v>8</x:v>
      </x:c>
      <x:c r="B24" s="261"/>
      <x:c r="C24" s="261" t="s">
        <x:v>86</x:v>
      </x:c>
      <x:c r="D24" s="261"/>
      <x:c r="E24" s="261" t="s">
        <x:v>101</x:v>
      </x:c>
      <x:c r="F24" s="261"/>
      <x:c r="G24" s="261"/>
      <x:c r="H24" s="107" t="s">
        <x:v>8</x:v>
      </x:c>
      <x:c r="I24" s="109">
        <x:f>I23/A25</x:f>
        <x:v>0.75188941335131487</x:v>
      </x:c>
      <x:c r="J24" s="61" t="s">
        <x:v>8</x:v>
      </x:c>
      <x:c r="K24" s="63">
        <x:f>K23/A25</x:f>
        <x:v>0.0043830074173971676</x:v>
      </x:c>
    </x:row>
    <x:row r="25" spans="1:11" ht="34.149999999999999" customHeight="1">
      <x:c r="A25" s="312">
        <x:f>C2</x:f>
        <x:v>2966000</x:v>
      </x:c>
      <x:c r="B25" s="276"/>
      <x:c r="C25" s="276">
        <x:f>E25/I1</x:f>
        <x:v>2966000</x:v>
      </x:c>
      <x:c r="D25" s="276"/>
      <x:c r="E25" s="276">
        <x:f>SUM('1'!$A$25)</x:f>
        <x:v>2966000</x:v>
      </x:c>
      <x:c r="F25" s="276"/>
      <x:c r="G25" s="276"/>
      <x:c r="H25" s="107" t="s">
        <x:v>33</x:v>
      </x:c>
      <x:c r="I25" s="108">
        <x:f>SUM('1'!$I$23)</x:f>
        <x:v>2230104</x:v>
      </x:c>
      <x:c r="J25" s="61" t="s">
        <x:v>33</x:v>
      </x:c>
      <x:c r="K25" s="62">
        <x:f>SUM('1'!$K$23)</x:f>
        <x:v>13000</x:v>
      </x:c>
    </x:row>
    <x:row r="26" spans="1:11" ht="34.149999999999999" customHeight="1">
      <x:c r="A26" s="260" t="s">
        <x:v>142</x:v>
      </x:c>
      <x:c r="B26" s="261"/>
      <x:c r="C26" s="261"/>
      <x:c r="D26" s="261"/>
      <x:c r="E26" s="262"/>
      <x:c r="F26" s="262"/>
      <x:c r="G26" s="262"/>
      <x:c r="H26" s="107" t="s">
        <x:v>128</x:v>
      </x:c>
      <x:c r="I26" s="110">
        <x:f>I25/$E$25</x:f>
        <x:v>0.75188941335131487</x:v>
      </x:c>
      <x:c r="J26" s="64" t="s">
        <x:v>128</x:v>
      </x:c>
      <x:c r="K26" s="65">
        <x:f>K25/$E$25</x:f>
        <x:v>0.0043830074173971676</x:v>
      </x:c>
    </x:row>
    <x:row r="27" spans="1:13" ht="30.949999999999999" customHeight="1">
      <x:c r="A27" s="305" t="s">
        <x:v>141</x:v>
      </x:c>
      <x:c r="B27" s="54" t="s">
        <x:v>44</x:v>
      </x:c>
      <x:c r="C27" s="276">
        <x:f>4000000/30</x:f>
        <x:v>133333.33333333334</x:v>
      </x:c>
      <x:c r="D27" s="276"/>
      <x:c r="E27" s="55" t="s">
        <x:v>147</x:v>
      </x:c>
      <x:c r="F27" s="262">
        <x:f>13000*4</x:f>
        <x:v>52000</x:v>
      </x:c>
      <x:c r="G27" s="262"/>
      <x:c r="H27" s="111" t="s">
        <x:v>118</x:v>
      </x:c>
      <x:c r="I27" s="112">
        <x:f>SUM(C27:D34,F27:G32)</x:f>
        <x:v>705333.33333333337</x:v>
      </x:c>
      <x:c r="M27" s="66"/>
    </x:row>
    <x:row r="28" spans="1:13" ht="30.949999999999999" customHeight="1">
      <x:c r="A28" s="306"/>
      <x:c r="B28" s="54" t="s">
        <x:v>23</x:v>
      </x:c>
      <x:c r="C28" s="313">
        <x:f>3800000/30</x:f>
        <x:v>126666.66666666667</x:v>
      </x:c>
      <x:c r="D28" s="314"/>
      <x:c r="E28" s="55" t="s">
        <x:v>149</x:v>
      </x:c>
      <x:c r="F28" s="276">
        <x:f>1500000/30</x:f>
        <x:v>50000</x:v>
      </x:c>
      <x:c r="G28" s="276"/>
      <x:c r="H28" s="111" t="s">
        <x:v>8</x:v>
      </x:c>
      <x:c r="I28" s="113">
        <x:f>I27/$A$25</x:f>
        <x:v>0.23780624859518995</x:v>
      </x:c>
      <x:c r="M28" s="66"/>
    </x:row>
    <x:row r="29" spans="1:13" ht="30.949999999999999" customHeight="1">
      <x:c r="A29" s="306"/>
      <x:c r="B29" s="54" t="s">
        <x:v>47</x:v>
      </x:c>
      <x:c r="C29" s="276">
        <x:f>3200000/30</x:f>
        <x:v>106666.66666666667</x:v>
      </x:c>
      <x:c r="D29" s="276"/>
      <x:c r="E29" s="54" t="s">
        <x:v>57</x:v>
      </x:c>
      <x:c r="F29" s="262"/>
      <x:c r="G29" s="262"/>
      <x:c r="H29" s="111" t="s">
        <x:v>33</x:v>
      </x:c>
      <x:c r="I29" s="112">
        <x:f>SUM('1'!$I$27)</x:f>
        <x:v>705333.33333333337</x:v>
      </x:c>
      <x:c r="M29" s="66"/>
    </x:row>
    <x:row r="30" spans="1:13" ht="30.949999999999999" customHeight="1">
      <x:c r="A30" s="306"/>
      <x:c r="B30" s="54"/>
      <x:c r="C30" s="315"/>
      <x:c r="D30" s="315"/>
      <x:c r="E30" s="55"/>
      <x:c r="F30" s="310"/>
      <x:c r="G30" s="311"/>
      <x:c r="H30" s="111" t="s">
        <x:v>128</x:v>
      </x:c>
      <x:c r="I30" s="113">
        <x:f>I29/$I$27</x:f>
        <x:v>1</x:v>
      </x:c>
      <x:c r="M30" s="66"/>
    </x:row>
    <x:row r="31" spans="1:7" customHeight="1">
      <x:c r="A31" s="306"/>
      <x:c r="B31" s="54" t="s">
        <x:v>41</x:v>
      </x:c>
      <x:c r="C31" s="313">
        <x:f>3500000/30</x:f>
        <x:v>116666.66666666667</x:v>
      </x:c>
      <x:c r="D31" s="314"/>
      <x:c r="E31" s="55" t="s">
        <x:v>4</x:v>
      </x:c>
      <x:c r="F31" s="310">
        <x:v>120000</x:v>
      </x:c>
      <x:c r="G31" s="311"/>
    </x:row>
    <x:row r="32" spans="1:7" customHeight="1">
      <x:c r="A32" s="306"/>
      <x:c r="B32" s="54"/>
      <x:c r="C32" s="308"/>
      <x:c r="D32" s="309"/>
      <x:c r="E32" s="55" t="s">
        <x:v>138</x:v>
      </x:c>
      <x:c r="F32" s="310"/>
      <x:c r="G32" s="311"/>
    </x:row>
    <x:row r="33" spans="1:4" customHeight="1">
      <x:c r="A33" s="306"/>
      <x:c r="B33" s="54" t="s">
        <x:v>21</x:v>
      </x:c>
      <x:c r="C33" s="308"/>
      <x:c r="D33" s="309"/>
    </x:row>
    <x:row r="34" spans="1:4" customHeight="1">
      <x:c r="A34" s="307"/>
      <x:c r="B34" s="54"/>
      <x:c r="C34" s="310"/>
      <x:c r="D34" s="311"/>
    </x:row>
  </x:sheetData>
  <x:mergeCells count="75">
    <x:mergeCell ref="A6:B7"/>
    <x:mergeCell ref="A10:B10"/>
    <x:mergeCell ref="C10:D10"/>
    <x:mergeCell ref="J2:K2"/>
    <x:mergeCell ref="H2:I2"/>
    <x:mergeCell ref="G2:G3"/>
    <x:mergeCell ref="A5:B5"/>
    <x:mergeCell ref="C5:D5"/>
    <x:mergeCell ref="E5:F5"/>
    <x:mergeCell ref="A2:B3"/>
    <x:mergeCell ref="C2:D3"/>
    <x:mergeCell ref="A4:B4"/>
    <x:mergeCell ref="C4:D4"/>
    <x:mergeCell ref="E4:F4"/>
    <x:mergeCell ref="E2:F3"/>
    <x:mergeCell ref="G6:G7"/>
    <x:mergeCell ref="N23:O23"/>
    <x:mergeCell ref="C23:G23"/>
    <x:mergeCell ref="A8:B9"/>
    <x:mergeCell ref="C8:D9"/>
    <x:mergeCell ref="F16:G16"/>
    <x:mergeCell ref="F17:G17"/>
    <x:mergeCell ref="F13:G13"/>
    <x:mergeCell ref="F14:G14"/>
    <x:mergeCell ref="F15:G15"/>
    <x:mergeCell ref="G8:G9"/>
    <x:mergeCell ref="A22:B22"/>
    <x:mergeCell ref="C22:G22"/>
    <x:mergeCell ref="A23:B23"/>
    <x:mergeCell ref="E10:F10"/>
    <x:mergeCell ref="F18:G18"/>
    <x:mergeCell ref="A11:B11"/>
    <x:mergeCell ref="C11:G11"/>
    <x:mergeCell ref="F12:G12"/>
    <x:mergeCell ref="C6:D7"/>
    <x:mergeCell ref="E6:F7"/>
    <x:mergeCell ref="E8:F9"/>
    <x:mergeCell ref="A27:A34"/>
    <x:mergeCell ref="C32:D32"/>
    <x:mergeCell ref="C34:D34"/>
    <x:mergeCell ref="D20:E20"/>
    <x:mergeCell ref="C27:D27"/>
    <x:mergeCell ref="A25:B25"/>
    <x:mergeCell ref="C25:D25"/>
    <x:mergeCell ref="E25:G25"/>
    <x:mergeCell ref="A24:B24"/>
    <x:mergeCell ref="C24:D24"/>
    <x:mergeCell ref="E24:G24"/>
    <x:mergeCell ref="F31:G31"/>
    <x:mergeCell ref="A26:B26"/>
    <x:mergeCell ref="F20:G20"/>
    <x:mergeCell ref="C31:D31"/>
    <x:mergeCell ref="C33:D33"/>
    <x:mergeCell ref="F30:G30"/>
    <x:mergeCell ref="F29:G29"/>
    <x:mergeCell ref="C26:D26"/>
    <x:mergeCell ref="E26:G26"/>
    <x:mergeCell ref="C30:D30"/>
    <x:mergeCell ref="F27:G27"/>
    <x:mergeCell ref="C28:D28"/>
    <x:mergeCell ref="F28:G28"/>
    <x:mergeCell ref="C29:D29"/>
    <x:mergeCell ref="F32:G32"/>
    <x:mergeCell ref="F19:G19"/>
    <x:mergeCell ref="B20:B21"/>
    <x:mergeCell ref="D21:E21"/>
    <x:mergeCell ref="F21:G21"/>
    <x:mergeCell ref="B14:B15"/>
    <x:mergeCell ref="B16:B17"/>
    <x:mergeCell ref="B12:B13"/>
    <x:mergeCell ref="B18:B19"/>
    <x:mergeCell ref="D14:E15"/>
    <x:mergeCell ref="D12:E13"/>
    <x:mergeCell ref="D18:E19"/>
    <x:mergeCell ref="D16:E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O34"/>
  <x:sheetViews>
    <x:sheetView topLeftCell="A1" zoomScale="85" zoomScaleNormal="85" zoomScaleSheetLayoutView="75" workbookViewId="0">
      <x:selection activeCell="J34" activeCellId="0" sqref="J34:J34"/>
    </x:sheetView>
  </x:sheetViews>
  <x:sheetFormatPr defaultColWidth="8.625" defaultRowHeight="30" customHeight="1"/>
  <x:cols>
    <x:col min="1" max="1" width="8.625" style="53" customWidth="1"/>
    <x:col min="2" max="3" width="12.625" style="53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152</x:v>
      </x:c>
      <x:c r="F1" s="68">
        <x:v>2</x:v>
      </x:c>
      <x:c r="G1" s="68" t="s">
        <x:v>62</x:v>
      </x:c>
      <x:c r="H1" s="52" t="s">
        <x:v>123</x:v>
      </x:c>
      <x:c r="I1" s="52">
        <x:f>F1-K1</x:f>
        <x:v>2</x:v>
      </x:c>
      <x:c r="J1" s="52" t="s">
        <x:v>98</x:v>
      </x:c>
      <x:c r="K1" s="52"/>
    </x:row>
    <x:row r="2" spans="1:11" ht="20.100000000000001" customHeight="1">
      <x:c r="A2" s="271" t="s">
        <x:v>9</x:v>
      </x:c>
      <x:c r="B2" s="272"/>
      <x:c r="C2" s="275">
        <x:f>SUM(C4:D7)</x:f>
        <x:v>4247500</x:v>
      </x:c>
      <x:c r="D2" s="275"/>
      <x:c r="E2" s="278" t="s">
        <x:v>40</x:v>
      </x:c>
      <x:c r="F2" s="279"/>
      <x:c r="G2" s="267">
        <x:v>128900</x:v>
      </x:c>
      <x:c r="H2" s="265" t="s">
        <x:v>6</x:v>
      </x:c>
      <x:c r="I2" s="266"/>
      <x:c r="J2" s="263" t="s">
        <x:v>74</x:v>
      </x:c>
      <x:c r="K2" s="264"/>
    </x:row>
    <x:row r="3" spans="1:11" ht="20.100000000000001" customHeight="1">
      <x:c r="A3" s="273"/>
      <x:c r="B3" s="274"/>
      <x:c r="C3" s="276"/>
      <x:c r="D3" s="276"/>
      <x:c r="E3" s="280"/>
      <x:c r="F3" s="281"/>
      <x:c r="G3" s="268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9" t="s">
        <x:v>22</x:v>
      </x:c>
      <x:c r="B4" s="270"/>
      <x:c r="C4" s="262">
        <x:v>3787500</x:v>
      </x:c>
      <x:c r="D4" s="262"/>
      <x:c r="E4" s="277" t="s">
        <x:v>146</x:v>
      </x:c>
      <x:c r="F4" s="277"/>
      <x:c r="G4" s="133">
        <x:f>INT(C4*0.0275)</x:f>
        <x:v>104156</x:v>
      </x:c>
      <x:c r="H4" s="54" t="s">
        <x:v>20</x:v>
      </x:c>
      <x:c r="I4" s="125">
        <x:v>1185955</x:v>
      </x:c>
      <x:c r="J4" s="80" t="s">
        <x:v>36</x:v>
      </x:c>
      <x:c r="K4" s="58"/>
    </x:row>
    <x:row r="5" spans="1:11" ht="30.949999999999999" customHeight="1">
      <x:c r="A5" s="269" t="s">
        <x:v>61</x:v>
      </x:c>
      <x:c r="B5" s="270"/>
      <x:c r="C5" s="262">
        <x:v>460000</x:v>
      </x:c>
      <x:c r="D5" s="262"/>
      <x:c r="E5" s="261" t="s">
        <x:v>70</x:v>
      </x:c>
      <x:c r="F5" s="261"/>
      <x:c r="G5" s="133">
        <x:f>INT(C5*0.01)</x:f>
        <x:v>4600</x:v>
      </x:c>
      <x:c r="H5" s="54" t="s">
        <x:v>6</x:v>
      </x:c>
      <x:c r="I5" s="136">
        <x:v>119500</x:v>
      </x:c>
      <x:c r="J5" s="81"/>
      <x:c r="K5" s="58"/>
    </x:row>
    <x:row r="6" spans="1:11" ht="21.949999999999999" customHeight="1">
      <x:c r="A6" s="256" t="s">
        <x:v>84</x:v>
      </x:c>
      <x:c r="B6" s="257"/>
      <x:c r="C6" s="301"/>
      <x:c r="D6" s="302"/>
      <x:c r="E6" s="288" t="s">
        <x:v>131</x:v>
      </x:c>
      <x:c r="F6" s="289"/>
      <x:c r="G6" s="282">
        <x:v>470000</x:v>
      </x:c>
      <x:c r="H6" s="54"/>
      <x:c r="I6" s="125"/>
      <x:c r="J6" s="81" t="s">
        <x:v>127</x:v>
      </x:c>
      <x:c r="K6" s="58"/>
    </x:row>
    <x:row r="7" spans="1:11" ht="21.949999999999999" customHeight="1">
      <x:c r="A7" s="258"/>
      <x:c r="B7" s="259"/>
      <x:c r="C7" s="303"/>
      <x:c r="D7" s="304"/>
      <x:c r="E7" s="280"/>
      <x:c r="F7" s="281"/>
      <x:c r="G7" s="268"/>
      <x:c r="H7" s="54" t="s">
        <x:v>24</x:v>
      </x:c>
      <x:c r="I7" s="125"/>
      <x:c r="J7" s="81" t="s">
        <x:v>116</x:v>
      </x:c>
      <x:c r="K7" s="58"/>
    </x:row>
    <x:row r="8" spans="1:11" ht="21.949999999999999" customHeight="1">
      <x:c r="A8" s="260" t="s">
        <x:v>134</x:v>
      </x:c>
      <x:c r="B8" s="261"/>
      <x:c r="C8" s="262">
        <x:v>118900</x:v>
      </x:c>
      <x:c r="D8" s="262"/>
      <x:c r="E8" s="288" t="s">
        <x:v>110</x:v>
      </x:c>
      <x:c r="F8" s="289"/>
      <x:c r="G8" s="294">
        <x:f>C5+G2-G6-C22</x:f>
        <x:v>118900</x:v>
      </x:c>
      <x:c r="H8" s="54" t="s">
        <x:v>45</x:v>
      </x:c>
      <x:c r="I8" s="125">
        <x:v>64000</x:v>
      </x:c>
      <x:c r="J8" s="81"/>
      <x:c r="K8" s="58"/>
    </x:row>
    <x:row r="9" spans="1:11" ht="21.949999999999999" customHeight="1">
      <x:c r="A9" s="260"/>
      <x:c r="B9" s="261"/>
      <x:c r="C9" s="262"/>
      <x:c r="D9" s="262"/>
      <x:c r="E9" s="280"/>
      <x:c r="F9" s="281"/>
      <x:c r="G9" s="295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143</x:v>
      </x:c>
      <x:c r="B10" s="261"/>
      <x:c r="C10" s="262"/>
      <x:c r="D10" s="262"/>
      <x:c r="E10" s="261" t="s">
        <x:v>87</x:v>
      </x:c>
      <x:c r="F10" s="261"/>
      <x:c r="G10" s="55"/>
      <x:c r="H10" s="54"/>
      <x:c r="I10" s="124"/>
      <x:c r="J10" s="54" t="s">
        <x:v>53</x:v>
      </x:c>
      <x:c r="K10" s="58"/>
    </x:row>
    <x:row r="11" spans="1:11" ht="33" customHeight="1">
      <x:c r="A11" s="260" t="s">
        <x:v>103</x:v>
      </x:c>
      <x:c r="B11" s="261"/>
      <x:c r="C11" s="300"/>
      <x:c r="D11" s="300"/>
      <x:c r="E11" s="300"/>
      <x:c r="F11" s="300"/>
      <x:c r="G11" s="300"/>
      <x:c r="H11" s="54" t="s">
        <x:v>58</x:v>
      </x:c>
      <x:c r="I11" s="58">
        <x:v>100000</x:v>
      </x:c>
      <x:c r="J11" s="54" t="s">
        <x:v>82</x:v>
      </x:c>
      <x:c r="K11" s="151"/>
    </x:row>
    <x:row r="12" spans="1:13" ht="21.949999999999999" customHeight="1">
      <x:c r="A12" s="59" t="s">
        <x:v>48</x:v>
      </x:c>
      <x:c r="B12" s="298" t="s">
        <x:v>42</x:v>
      </x:c>
      <x:c r="C12" s="79">
        <x:v>15</x:v>
      </x:c>
      <x:c r="D12" s="288" t="s">
        <x:v>133</x:v>
      </x:c>
      <x:c r="E12" s="289"/>
      <x:c r="F12" s="292">
        <x:v>6</x:v>
      </x:c>
      <x:c r="G12" s="293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9"/>
      <x:c r="C13" s="134">
        <x:f>SUM('1:2'!$C$12)</x:f>
        <x:v>24</x:v>
      </x:c>
      <x:c r="D13" s="280"/>
      <x:c r="E13" s="281"/>
      <x:c r="F13" s="290">
        <x:f>SUM('1:2'!$F$12)</x:f>
        <x:v>7</x:v>
      </x:c>
      <x:c r="G13" s="291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8" t="s">
        <x:v>64</x:v>
      </x:c>
      <x:c r="C14" s="79">
        <x:v>6</x:v>
      </x:c>
      <x:c r="D14" s="288" t="s">
        <x:v>95</x:v>
      </x:c>
      <x:c r="E14" s="289"/>
      <x:c r="F14" s="292">
        <x:v>5</x:v>
      </x:c>
      <x:c r="G14" s="293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9"/>
      <x:c r="C15" s="134">
        <x:f>SUM('1:2'!$C$14)</x:f>
        <x:v>24</x:v>
      </x:c>
      <x:c r="D15" s="280"/>
      <x:c r="E15" s="281"/>
      <x:c r="F15" s="290">
        <x:f>SUM('1:2'!$F$14)</x:f>
        <x:v>11</x:v>
      </x:c>
      <x:c r="G15" s="291"/>
      <x:c r="H15" s="54" t="s">
        <x:v>106</x:v>
      </x:c>
      <x:c r="I15" s="58">
        <x:v>111400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8" t="s">
        <x:v>51</x:v>
      </x:c>
      <x:c r="C16" s="79">
        <x:v>3</x:v>
      </x:c>
      <x:c r="D16" s="288" t="s">
        <x:v>117</x:v>
      </x:c>
      <x:c r="E16" s="289"/>
      <x:c r="F16" s="286">
        <x:v>8</x:v>
      </x:c>
      <x:c r="G16" s="286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9"/>
      <x:c r="C17" s="134">
        <x:f>SUM('1:2'!$C$16)</x:f>
        <x:v>6</x:v>
      </x:c>
      <x:c r="D17" s="280"/>
      <x:c r="E17" s="281"/>
      <x:c r="F17" s="287">
        <x:f>SUM('1:2'!$F$16)</x:f>
        <x:v>15</x:v>
      </x:c>
      <x:c r="G17" s="287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8" t="s">
        <x:v>91</x:v>
      </x:c>
      <x:c r="C18" s="79">
        <x:v>11</x:v>
      </x:c>
      <x:c r="D18" s="288" t="s">
        <x:v>130</x:v>
      </x:c>
      <x:c r="E18" s="289"/>
      <x:c r="F18" s="296">
        <x:v>2</x:v>
      </x:c>
      <x:c r="G18" s="297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9"/>
      <x:c r="C19" s="134">
        <x:f>SUM('1:2'!$C$18)</x:f>
        <x:v>20</x:v>
      </x:c>
      <x:c r="D19" s="280"/>
      <x:c r="E19" s="281"/>
      <x:c r="F19" s="287">
        <x:f>SUM('1:2'!$F$18)</x:f>
        <x:v>3</x:v>
      </x:c>
      <x:c r="G19" s="287"/>
      <x:c r="H19" s="58"/>
      <x:c r="I19" s="58"/>
      <x:c r="J19" s="54"/>
      <x:c r="K19" s="58"/>
      <x:c r="L19" s="60"/>
      <x:c r="M19" s="11"/>
    </x:row>
    <x:row r="20" spans="2:13" ht="21.949999999999999" customHeight="1">
      <x:c r="B20" s="52" t="s">
        <x:v>151</x:v>
      </x:c>
      <x:c r="D20" s="261" t="s">
        <x:v>113</x:v>
      </x:c>
      <x:c r="E20" s="261"/>
      <x:c r="F20" s="286">
        <x:v>65</x:v>
      </x:c>
      <x:c r="G20" s="286"/>
      <x:c r="H20" s="58"/>
      <x:c r="J20" s="54"/>
      <x:c r="K20" s="58"/>
      <x:c r="L20" s="60"/>
      <x:c r="M20" s="11"/>
    </x:row>
    <x:row r="21" spans="4:13" ht="21.949999999999999" customHeight="1">
      <x:c r="D21" s="261" t="s">
        <x:v>114</x:v>
      </x:c>
      <x:c r="E21" s="261"/>
      <x:c r="F21" s="287">
        <x:f>SUM('1:2'!$F$20)</x:f>
        <x:v>121</x:v>
      </x:c>
      <x:c r="G21" s="287"/>
      <x:c r="H21" s="58"/>
      <x:c r="J21" s="54"/>
      <x:c r="K21" s="58"/>
      <x:c r="L21" s="60"/>
      <x:c r="M21" s="11"/>
    </x:row>
    <x:row r="22" spans="1:13" ht="32.100000000000001" customHeight="1">
      <x:c r="A22" s="260" t="s">
        <x:v>83</x:v>
      </x:c>
      <x:c r="B22" s="261"/>
      <x:c r="C22" s="285"/>
      <x:c r="D22" s="285"/>
      <x:c r="E22" s="285"/>
      <x:c r="F22" s="285"/>
      <x:c r="G22" s="285"/>
      <x:c r="H22" s="54"/>
      <x:c r="J22" s="54"/>
      <x:c r="K22" s="58"/>
      <x:c r="L22" s="60"/>
      <x:c r="M22" s="11"/>
    </x:row>
    <x:row r="23" spans="1:15" ht="34.149999999999999" customHeight="1">
      <x:c r="A23" s="260" t="s">
        <x:v>124</x:v>
      </x:c>
      <x:c r="B23" s="261"/>
      <x:c r="C23" s="316"/>
      <x:c r="D23" s="317"/>
      <x:c r="E23" s="317"/>
      <x:c r="F23" s="317"/>
      <x:c r="G23" s="317"/>
      <x:c r="H23" s="107" t="s">
        <x:v>94</x:v>
      </x:c>
      <x:c r="I23" s="108">
        <x:f>SUM(I4:I22)</x:f>
        <x:v>1580855</x:v>
      </x:c>
      <x:c r="J23" s="61" t="s">
        <x:v>119</x:v>
      </x:c>
      <x:c r="K23" s="62">
        <x:f>SUM(K4:K22)</x:f>
        <x:v>0</x:v>
      </x:c>
      <x:c r="M23" s="88" t="s">
        <x:v>93</x:v>
      </x:c>
      <x:c r="N23" s="283">
        <x:f>C5+C6</x:f>
        <x:v>460000</x:v>
      </x:c>
      <x:c r="O23" s="284"/>
    </x:row>
    <x:row r="24" spans="1:11" ht="34.149999999999999" customHeight="1">
      <x:c r="A24" s="260" t="s">
        <x:v>8</x:v>
      </x:c>
      <x:c r="B24" s="261"/>
      <x:c r="C24" s="261" t="s">
        <x:v>86</x:v>
      </x:c>
      <x:c r="D24" s="261"/>
      <x:c r="E24" s="261" t="s">
        <x:v>101</x:v>
      </x:c>
      <x:c r="F24" s="261"/>
      <x:c r="G24" s="261"/>
      <x:c r="H24" s="107" t="s">
        <x:v>8</x:v>
      </x:c>
      <x:c r="I24" s="109">
        <x:f>I23/A25</x:f>
        <x:v>0.37218481459682168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12">
        <x:f>C2</x:f>
        <x:v>4247500</x:v>
      </x:c>
      <x:c r="B25" s="276"/>
      <x:c r="C25" s="276">
        <x:f>E25/I1</x:f>
        <x:v>1483000</x:v>
      </x:c>
      <x:c r="D25" s="276"/>
      <x:c r="E25" s="276">
        <x:f>SUM('1'!$A$25)</x:f>
        <x:v>2966000</x:v>
      </x:c>
      <x:c r="F25" s="276"/>
      <x:c r="G25" s="276"/>
      <x:c r="H25" s="107" t="s">
        <x:v>33</x:v>
      </x:c>
      <x:c r="I25" s="108">
        <x:f>SUM('1'!$I$23)</x:f>
        <x:v>2230104</x:v>
      </x:c>
      <x:c r="J25" s="61" t="s">
        <x:v>33</x:v>
      </x:c>
      <x:c r="K25" s="62">
        <x:f>SUM('1'!$K$23)</x:f>
        <x:v>13000</x:v>
      </x:c>
    </x:row>
    <x:row r="26" spans="1:11" ht="34.149999999999999" customHeight="1">
      <x:c r="A26" s="260" t="s">
        <x:v>142</x:v>
      </x:c>
      <x:c r="B26" s="261"/>
      <x:c r="C26" s="261"/>
      <x:c r="D26" s="261"/>
      <x:c r="E26" s="262"/>
      <x:c r="F26" s="262"/>
      <x:c r="G26" s="262"/>
      <x:c r="H26" s="107" t="s">
        <x:v>128</x:v>
      </x:c>
      <x:c r="I26" s="110">
        <x:f>I25/$E$25</x:f>
        <x:v>0.75188941335131487</x:v>
      </x:c>
      <x:c r="J26" s="64" t="s">
        <x:v>128</x:v>
      </x:c>
      <x:c r="K26" s="65">
        <x:f>K25/$E$25</x:f>
        <x:v>0.0043830074173971676</x:v>
      </x:c>
    </x:row>
    <x:row r="27" spans="1:13" ht="30.949999999999999" customHeight="1">
      <x:c r="A27" s="318" t="s">
        <x:v>141</x:v>
      </x:c>
      <x:c r="B27" s="54" t="s">
        <x:v>44</x:v>
      </x:c>
      <x:c r="C27" s="276">
        <x:f>4000000/30</x:f>
        <x:v>133333.33333333334</x:v>
      </x:c>
      <x:c r="D27" s="276"/>
      <x:c r="E27" s="55" t="s">
        <x:v>147</x:v>
      </x:c>
      <x:c r="F27" s="262">
        <x:f>13000*5</x:f>
        <x:v>65000</x:v>
      </x:c>
      <x:c r="G27" s="262"/>
      <x:c r="H27" s="111" t="s">
        <x:v>118</x:v>
      </x:c>
      <x:c r="I27" s="112">
        <x:f>SUM(C27:D34,F27:G32)</x:f>
        <x:v>822983.33333333337</x:v>
      </x:c>
      <x:c r="M27" s="66"/>
    </x:row>
    <x:row r="28" spans="1:13" ht="30.949999999999999" customHeight="1">
      <x:c r="A28" s="319"/>
      <x:c r="B28" s="54" t="s">
        <x:v>23</x:v>
      </x:c>
      <x:c r="C28" s="313">
        <x:f>3800000/30</x:f>
        <x:v>126666.66666666667</x:v>
      </x:c>
      <x:c r="D28" s="314"/>
      <x:c r="E28" s="55" t="s">
        <x:v>149</x:v>
      </x:c>
      <x:c r="F28" s="276">
        <x:f>1500000/30</x:f>
        <x:v>50000</x:v>
      </x:c>
      <x:c r="G28" s="276"/>
      <x:c r="H28" s="111" t="s">
        <x:v>8</x:v>
      </x:c>
      <x:c r="I28" s="113">
        <x:f>I27/$A$25</x:f>
        <x:v>0.19375711202668236</x:v>
      </x:c>
      <x:c r="M28" s="66"/>
    </x:row>
    <x:row r="29" spans="1:13" ht="30.949999999999999" customHeight="1">
      <x:c r="A29" s="319"/>
      <x:c r="B29" s="54" t="s">
        <x:v>47</x:v>
      </x:c>
      <x:c r="C29" s="276">
        <x:f>3200000/30</x:f>
        <x:v>106666.66666666667</x:v>
      </x:c>
      <x:c r="D29" s="276"/>
      <x:c r="E29" s="54" t="s">
        <x:v>57</x:v>
      </x:c>
      <x:c r="F29" s="262">
        <x:v>52650</x:v>
      </x:c>
      <x:c r="G29" s="262"/>
      <x:c r="H29" s="111" t="s">
        <x:v>33</x:v>
      </x:c>
      <x:c r="I29" s="112">
        <x:f>SUM('1:2'!$I$27)</x:f>
        <x:v>1528316.6666666667</x:v>
      </x:c>
      <x:c r="M29" s="66"/>
    </x:row>
    <x:row r="30" spans="1:13" ht="30.949999999999999" customHeight="1">
      <x:c r="A30" s="319"/>
      <x:c r="B30" s="54"/>
      <x:c r="C30" s="315"/>
      <x:c r="D30" s="315"/>
      <x:c r="E30" s="55"/>
      <x:c r="F30" s="310"/>
      <x:c r="G30" s="311"/>
      <x:c r="H30" s="111" t="s">
        <x:v>128</x:v>
      </x:c>
      <x:c r="I30" s="113">
        <x:f>I29/$I$27</x:f>
        <x:v>1.857044492598068</x:v>
      </x:c>
      <x:c r="M30" s="66"/>
    </x:row>
    <x:row r="31" spans="1:7" customHeight="1">
      <x:c r="A31" s="319"/>
      <x:c r="B31" s="54" t="s">
        <x:v>41</x:v>
      </x:c>
      <x:c r="C31" s="313">
        <x:f>3500000/30</x:f>
        <x:v>116666.66666666667</x:v>
      </x:c>
      <x:c r="D31" s="314"/>
      <x:c r="E31" s="55" t="s">
        <x:v>4</x:v>
      </x:c>
      <x:c r="F31" s="310">
        <x:v>120000</x:v>
      </x:c>
      <x:c r="G31" s="311"/>
    </x:row>
    <x:row r="32" spans="1:7" customHeight="1">
      <x:c r="A32" s="319"/>
      <x:c r="B32" s="54"/>
      <x:c r="C32" s="308"/>
      <x:c r="D32" s="309"/>
      <x:c r="E32" s="55" t="s">
        <x:v>138</x:v>
      </x:c>
      <x:c r="F32" s="310"/>
      <x:c r="G32" s="311"/>
    </x:row>
    <x:row r="33" spans="1:4" customHeight="1">
      <x:c r="A33" s="319"/>
      <x:c r="B33" s="54" t="s">
        <x:v>21</x:v>
      </x:c>
      <x:c r="C33" s="308">
        <x:v>52000</x:v>
      </x:c>
      <x:c r="D33" s="309"/>
    </x:row>
    <x:row r="34" spans="1:4" customHeight="1">
      <x:c r="A34" s="320"/>
      <x:c r="B34" s="54"/>
      <x:c r="C34" s="310"/>
      <x:c r="D34" s="311"/>
    </x:row>
  </x:sheetData>
  <x:mergeCells count="74">
    <x:mergeCell ref="F32:G32"/>
    <x:mergeCell ref="H2:I2"/>
    <x:mergeCell ref="J2:K2"/>
    <x:mergeCell ref="A2:B3"/>
    <x:mergeCell ref="C2:D3"/>
    <x:mergeCell ref="E2:F3"/>
    <x:mergeCell ref="G2:G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A11:B11"/>
    <x:mergeCell ref="C11:G11"/>
    <x:mergeCell ref="E10:F10"/>
    <x:mergeCell ref="E8:F9"/>
    <x:mergeCell ref="G8:G9"/>
    <x:mergeCell ref="A8:B9"/>
    <x:mergeCell ref="C8:D9"/>
    <x:mergeCell ref="G6:G7"/>
    <x:mergeCell ref="A10:B10"/>
    <x:mergeCell ref="C10:D10"/>
    <x:mergeCell ref="C25:D25"/>
    <x:mergeCell ref="E25:G25"/>
    <x:mergeCell ref="C23:G23"/>
    <x:mergeCell ref="C24:D24"/>
    <x:mergeCell ref="B12:B13"/>
    <x:mergeCell ref="B14:B15"/>
    <x:mergeCell ref="B16:B17"/>
    <x:mergeCell ref="F15:G15"/>
    <x:mergeCell ref="F12:G12"/>
    <x:mergeCell ref="F13:G13"/>
    <x:mergeCell ref="F14:G14"/>
    <x:mergeCell ref="F16:G16"/>
    <x:mergeCell ref="F17:G17"/>
    <x:mergeCell ref="F21:G21"/>
    <x:mergeCell ref="C31:D31"/>
    <x:mergeCell ref="F29:G29"/>
    <x:mergeCell ref="C22:G22"/>
    <x:mergeCell ref="F18:G18"/>
    <x:mergeCell ref="F19:G19"/>
    <x:mergeCell ref="F20:G20"/>
    <x:mergeCell ref="N23:O23"/>
    <x:mergeCell ref="C26:D26"/>
    <x:mergeCell ref="E26:G26"/>
    <x:mergeCell ref="E24:G24"/>
    <x:mergeCell ref="F31:G31"/>
    <x:mergeCell ref="C27:D27"/>
    <x:mergeCell ref="F27:G27"/>
    <x:mergeCell ref="C28:D28"/>
    <x:mergeCell ref="F28:G28"/>
    <x:mergeCell ref="C29:D29"/>
    <x:mergeCell ref="F30:G30"/>
    <x:mergeCell ref="C30:D30"/>
    <x:mergeCell ref="A27:A34"/>
    <x:mergeCell ref="C32:D32"/>
    <x:mergeCell ref="C33:D33"/>
    <x:mergeCell ref="C34:D34"/>
    <x:mergeCell ref="B18:B19"/>
    <x:mergeCell ref="D20:E20"/>
    <x:mergeCell ref="A25:B25"/>
    <x:mergeCell ref="A26:B26"/>
    <x:mergeCell ref="A22:B22"/>
    <x:mergeCell ref="A23:B23"/>
    <x:mergeCell ref="A24:B24"/>
    <x:mergeCell ref="D21:E21"/>
    <x:mergeCell ref="D14:E15"/>
    <x:mergeCell ref="D12:E13"/>
    <x:mergeCell ref="D18:E19"/>
    <x:mergeCell ref="D16:E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O34"/>
  <x:sheetViews>
    <x:sheetView topLeftCell="A1" zoomScale="85" zoomScaleNormal="85" zoomScaleSheetLayoutView="75" workbookViewId="0">
      <x:selection activeCell="J34" activeCellId="0" sqref="J34:J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152</x:v>
      </x:c>
      <x:c r="F1" s="68">
        <x:v>3</x:v>
      </x:c>
      <x:c r="G1" s="68" t="s">
        <x:v>27</x:v>
      </x:c>
      <x:c r="H1" s="52" t="s">
        <x:v>123</x:v>
      </x:c>
      <x:c r="I1" s="52">
        <x:f>F1-K1</x:f>
        <x:v>3</x:v>
      </x:c>
      <x:c r="J1" s="52" t="s">
        <x:v>98</x:v>
      </x:c>
      <x:c r="K1" s="52"/>
    </x:row>
    <x:row r="2" spans="1:11" ht="20.100000000000001" customHeight="1">
      <x:c r="A2" s="271" t="s">
        <x:v>9</x:v>
      </x:c>
      <x:c r="B2" s="272"/>
      <x:c r="C2" s="275">
        <x:f>SUM(C4:D7)</x:f>
        <x:v>3539000</x:v>
      </x:c>
      <x:c r="D2" s="275"/>
      <x:c r="E2" s="278" t="s">
        <x:v>40</x:v>
      </x:c>
      <x:c r="F2" s="279"/>
      <x:c r="G2" s="267">
        <x:v>118900</x:v>
      </x:c>
      <x:c r="H2" s="265" t="s">
        <x:v>6</x:v>
      </x:c>
      <x:c r="I2" s="266"/>
      <x:c r="J2" s="263" t="s">
        <x:v>74</x:v>
      </x:c>
      <x:c r="K2" s="264"/>
    </x:row>
    <x:row r="3" spans="1:11" ht="20.100000000000001" customHeight="1">
      <x:c r="A3" s="273"/>
      <x:c r="B3" s="274"/>
      <x:c r="C3" s="276"/>
      <x:c r="D3" s="276"/>
      <x:c r="E3" s="280"/>
      <x:c r="F3" s="281"/>
      <x:c r="G3" s="268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9" t="s">
        <x:v>22</x:v>
      </x:c>
      <x:c r="B4" s="270"/>
      <x:c r="C4" s="262">
        <x:v>3069500</x:v>
      </x:c>
      <x:c r="D4" s="262"/>
      <x:c r="E4" s="277" t="s">
        <x:v>146</x:v>
      </x:c>
      <x:c r="F4" s="277"/>
      <x:c r="G4" s="133">
        <x:f>C4*0.0275</x:f>
        <x:v>84411.25</x:v>
      </x:c>
      <x:c r="H4" s="54" t="s">
        <x:v>20</x:v>
      </x:c>
      <x:c r="I4" s="124">
        <x:v>623031</x:v>
      </x:c>
      <x:c r="J4" s="80" t="s">
        <x:v>36</x:v>
      </x:c>
      <x:c r="K4" s="58">
        <x:v>183000</x:v>
      </x:c>
    </x:row>
    <x:row r="5" spans="1:11" ht="30.949999999999999" customHeight="1">
      <x:c r="A5" s="269" t="s">
        <x:v>61</x:v>
      </x:c>
      <x:c r="B5" s="270"/>
      <x:c r="C5" s="262">
        <x:v>469500</x:v>
      </x:c>
      <x:c r="D5" s="262"/>
      <x:c r="E5" s="261" t="s">
        <x:v>70</x:v>
      </x:c>
      <x:c r="F5" s="261"/>
      <x:c r="G5" s="133">
        <x:f>INT(C5*0.01)</x:f>
        <x:v>4695</x:v>
      </x:c>
      <x:c r="H5" s="54" t="s">
        <x:v>6</x:v>
      </x:c>
      <x:c r="I5" s="124">
        <x:v>101340</x:v>
      </x:c>
      <x:c r="J5" s="81"/>
      <x:c r="K5" s="58"/>
    </x:row>
    <x:row r="6" spans="1:11" ht="21.949999999999999" customHeight="1">
      <x:c r="A6" s="256" t="s">
        <x:v>84</x:v>
      </x:c>
      <x:c r="B6" s="257"/>
      <x:c r="C6" s="301"/>
      <x:c r="D6" s="302"/>
      <x:c r="E6" s="288" t="s">
        <x:v>131</x:v>
      </x:c>
      <x:c r="F6" s="289"/>
      <x:c r="G6" s="282">
        <x:v>500000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8"/>
      <x:c r="B7" s="259"/>
      <x:c r="C7" s="303"/>
      <x:c r="D7" s="304"/>
      <x:c r="E7" s="280"/>
      <x:c r="F7" s="281"/>
      <x:c r="G7" s="268"/>
      <x:c r="H7" s="54" t="s">
        <x:v>24</x:v>
      </x:c>
      <x:c r="I7" s="124">
        <x:v>334100</x:v>
      </x:c>
      <x:c r="J7" s="81" t="s">
        <x:v>116</x:v>
      </x:c>
      <x:c r="K7" s="58"/>
    </x:row>
    <x:row r="8" spans="1:11" ht="21.949999999999999" customHeight="1">
      <x:c r="A8" s="260" t="s">
        <x:v>134</x:v>
      </x:c>
      <x:c r="B8" s="261"/>
      <x:c r="C8" s="262">
        <x:v>88400</x:v>
      </x:c>
      <x:c r="D8" s="262"/>
      <x:c r="E8" s="288" t="s">
        <x:v>110</x:v>
      </x:c>
      <x:c r="F8" s="289"/>
      <x:c r="G8" s="294">
        <x:f>C5+G2-G6-C22</x:f>
        <x:v>88400</x:v>
      </x:c>
      <x:c r="H8" s="54" t="s">
        <x:v>45</x:v>
      </x:c>
      <x:c r="I8" s="124"/>
      <x:c r="J8" s="81"/>
      <x:c r="K8" s="58"/>
    </x:row>
    <x:row r="9" spans="1:11" ht="21.949999999999999" customHeight="1">
      <x:c r="A9" s="260"/>
      <x:c r="B9" s="261"/>
      <x:c r="C9" s="262"/>
      <x:c r="D9" s="262"/>
      <x:c r="E9" s="280"/>
      <x:c r="F9" s="281"/>
      <x:c r="G9" s="295"/>
      <x:c r="H9" s="54"/>
      <x:c r="I9" s="124"/>
      <x:c r="J9" s="54" t="s">
        <x:v>16</x:v>
      </x:c>
      <x:c r="K9" s="58"/>
    </x:row>
    <x:row r="10" spans="1:11" ht="21.75" customHeight="1">
      <x:c r="A10" s="260" t="s">
        <x:v>143</x:v>
      </x:c>
      <x:c r="B10" s="261"/>
      <x:c r="C10" s="262"/>
      <x:c r="D10" s="262"/>
      <x:c r="E10" s="261" t="s">
        <x:v>87</x:v>
      </x:c>
      <x:c r="F10" s="261"/>
      <x:c r="G10" s="55"/>
      <x:c r="H10" s="54"/>
      <x:c r="I10" s="124"/>
      <x:c r="J10" s="54" t="s">
        <x:v>53</x:v>
      </x:c>
      <x:c r="K10" s="58"/>
    </x:row>
    <x:row r="11" spans="1:11" ht="21.75" customHeight="1">
      <x:c r="A11" s="260" t="s">
        <x:v>103</x:v>
      </x:c>
      <x:c r="B11" s="261"/>
      <x:c r="C11" s="300"/>
      <x:c r="D11" s="300"/>
      <x:c r="E11" s="300"/>
      <x:c r="F11" s="300"/>
      <x:c r="G11" s="300"/>
      <x:c r="H11" s="54" t="s">
        <x:v>58</x:v>
      </x:c>
      <x:c r="I11" s="58"/>
      <x:c r="J11" s="54" t="s">
        <x:v>82</x:v>
      </x:c>
      <x:c r="K11" s="151"/>
    </x:row>
    <x:row r="12" spans="1:13" ht="21.949999999999999" customHeight="1">
      <x:c r="A12" s="59" t="s">
        <x:v>48</x:v>
      </x:c>
      <x:c r="B12" s="298" t="s">
        <x:v>42</x:v>
      </x:c>
      <x:c r="C12" s="79">
        <x:v>8</x:v>
      </x:c>
      <x:c r="D12" s="288" t="s">
        <x:v>133</x:v>
      </x:c>
      <x:c r="E12" s="289"/>
      <x:c r="F12" s="292">
        <x:v>4</x:v>
      </x:c>
      <x:c r="G12" s="293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9"/>
      <x:c r="C13" s="134">
        <x:f>SUM('1:3'!$C$12)</x:f>
        <x:v>32</x:v>
      </x:c>
      <x:c r="D13" s="280"/>
      <x:c r="E13" s="281"/>
      <x:c r="F13" s="290">
        <x:f>SUM('1:3'!$F$12)</x:f>
        <x:v>11</x:v>
      </x:c>
      <x:c r="G13" s="291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8" t="s">
        <x:v>64</x:v>
      </x:c>
      <x:c r="C14" s="79">
        <x:v>22</x:v>
      </x:c>
      <x:c r="D14" s="288" t="s">
        <x:v>95</x:v>
      </x:c>
      <x:c r="E14" s="289"/>
      <x:c r="F14" s="292">
        <x:v>11</x:v>
      </x:c>
      <x:c r="G14" s="293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9"/>
      <x:c r="C15" s="134">
        <x:f>SUM('1:3'!$C$14)</x:f>
        <x:v>46</x:v>
      </x:c>
      <x:c r="D15" s="280"/>
      <x:c r="E15" s="281"/>
      <x:c r="F15" s="290">
        <x:f>SUM('1:3'!$F$14)</x:f>
        <x:v>22</x:v>
      </x:c>
      <x:c r="G15" s="291"/>
      <x:c r="H15" s="54" t="s">
        <x:v>106</x:v>
      </x:c>
      <x:c r="I15" s="58"/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8" t="s">
        <x:v>51</x:v>
      </x:c>
      <x:c r="C16" s="79">
        <x:v>1</x:v>
      </x:c>
      <x:c r="D16" s="288" t="s">
        <x:v>117</x:v>
      </x:c>
      <x:c r="E16" s="289"/>
      <x:c r="F16" s="286">
        <x:v>8</x:v>
      </x:c>
      <x:c r="G16" s="286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9"/>
      <x:c r="C17" s="134">
        <x:f>SUM('1:3'!$C$16)</x:f>
        <x:v>7</x:v>
      </x:c>
      <x:c r="D17" s="280"/>
      <x:c r="E17" s="281"/>
      <x:c r="F17" s="287">
        <x:f>SUM('1:3'!$F$16)</x:f>
        <x:v>23</x:v>
      </x:c>
      <x:c r="G17" s="287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8" t="s">
        <x:v>91</x:v>
      </x:c>
      <x:c r="C18" s="79">
        <x:v>6</x:v>
      </x:c>
      <x:c r="D18" s="288" t="s">
        <x:v>130</x:v>
      </x:c>
      <x:c r="E18" s="289"/>
      <x:c r="F18" s="296">
        <x:v>0</x:v>
      </x:c>
      <x:c r="G18" s="297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9"/>
      <x:c r="C19" s="134">
        <x:f>SUM('1:3'!$C$18)</x:f>
        <x:v>26</x:v>
      </x:c>
      <x:c r="D19" s="280"/>
      <x:c r="E19" s="281"/>
      <x:c r="F19" s="287">
        <x:f>SUM('1:3'!$F$18)</x:f>
        <x:v>3</x:v>
      </x:c>
      <x:c r="G19" s="287"/>
      <x:c r="H19" s="58"/>
      <x:c r="I19" s="58"/>
      <x:c r="J19" s="54"/>
      <x:c r="K19" s="58"/>
      <x:c r="L19" s="60"/>
      <x:c r="M19" s="11"/>
    </x:row>
    <x:row r="20" spans="2:13" ht="21.949999999999999" customHeight="1">
      <x:c r="B20" s="52" t="s">
        <x:v>151</x:v>
      </x:c>
      <x:c r="D20" s="261" t="s">
        <x:v>113</x:v>
      </x:c>
      <x:c r="E20" s="261"/>
      <x:c r="F20" s="286">
        <x:v>53</x:v>
      </x:c>
      <x:c r="G20" s="286"/>
      <x:c r="H20" s="58"/>
      <x:c r="J20" s="54"/>
      <x:c r="K20" s="58"/>
      <x:c r="L20" s="60"/>
      <x:c r="M20" s="11"/>
    </x:row>
    <x:row r="21" spans="4:13" ht="21.949999999999999" customHeight="1">
      <x:c r="D21" s="261" t="s">
        <x:v>114</x:v>
      </x:c>
      <x:c r="E21" s="261"/>
      <x:c r="F21" s="287">
        <x:f>SUM('1:3'!$F$20)</x:f>
        <x:v>174</x:v>
      </x:c>
      <x:c r="G21" s="287"/>
      <x:c r="H21" s="58"/>
      <x:c r="J21" s="54"/>
      <x:c r="K21" s="58"/>
      <x:c r="L21" s="60"/>
      <x:c r="M21" s="11"/>
    </x:row>
    <x:row r="22" spans="1:13" ht="32.100000000000001" customHeight="1">
      <x:c r="A22" s="260" t="s">
        <x:v>83</x:v>
      </x:c>
      <x:c r="B22" s="261"/>
      <x:c r="C22" s="285"/>
      <x:c r="D22" s="285"/>
      <x:c r="E22" s="285"/>
      <x:c r="F22" s="285"/>
      <x:c r="G22" s="285"/>
      <x:c r="H22" s="54"/>
      <x:c r="J22" s="54"/>
      <x:c r="K22" s="58"/>
      <x:c r="L22" s="60"/>
      <x:c r="M22" s="11"/>
    </x:row>
    <x:row r="23" spans="1:15" ht="34.149999999999999" customHeight="1">
      <x:c r="A23" s="260" t="s">
        <x:v>124</x:v>
      </x:c>
      <x:c r="B23" s="261"/>
      <x:c r="C23" s="316"/>
      <x:c r="D23" s="317"/>
      <x:c r="E23" s="317"/>
      <x:c r="F23" s="317"/>
      <x:c r="G23" s="317"/>
      <x:c r="H23" s="107" t="s">
        <x:v>94</x:v>
      </x:c>
      <x:c r="I23" s="108">
        <x:f>SUM(I4:I22)</x:f>
        <x:v>1058471</x:v>
      </x:c>
      <x:c r="J23" s="61" t="s">
        <x:v>119</x:v>
      </x:c>
      <x:c r="K23" s="62">
        <x:f>SUM(K4:K22)</x:f>
        <x:v>183000</x:v>
      </x:c>
      <x:c r="M23" s="88" t="s">
        <x:v>93</x:v>
      </x:c>
      <x:c r="N23" s="283">
        <x:f>C5+C6</x:f>
        <x:v>469500</x:v>
      </x:c>
      <x:c r="O23" s="284"/>
    </x:row>
    <x:row r="24" spans="1:11" ht="34.149999999999999" customHeight="1">
      <x:c r="A24" s="260" t="s">
        <x:v>8</x:v>
      </x:c>
      <x:c r="B24" s="261"/>
      <x:c r="C24" s="261" t="s">
        <x:v>86</x:v>
      </x:c>
      <x:c r="D24" s="261"/>
      <x:c r="E24" s="261" t="s">
        <x:v>101</x:v>
      </x:c>
      <x:c r="F24" s="261"/>
      <x:c r="G24" s="261"/>
      <x:c r="H24" s="107" t="s">
        <x:v>8</x:v>
      </x:c>
      <x:c r="I24" s="109">
        <x:f>I23/A25</x:f>
        <x:v>0.29908759536592255</x:v>
      </x:c>
      <x:c r="J24" s="61" t="s">
        <x:v>8</x:v>
      </x:c>
      <x:c r="K24" s="63">
        <x:f>K23/A25</x:f>
        <x:v>0.051709522463972875</x:v>
      </x:c>
    </x:row>
    <x:row r="25" spans="1:11" ht="34.149999999999999" customHeight="1">
      <x:c r="A25" s="312">
        <x:f>C2</x:f>
        <x:v>3539000</x:v>
      </x:c>
      <x:c r="B25" s="276"/>
      <x:c r="C25" s="276">
        <x:f>E25/I1</x:f>
        <x:v>3584166.6666666665</x:v>
      </x:c>
      <x:c r="D25" s="276"/>
      <x:c r="E25" s="276">
        <x:f>SUM('1:3'!$A$25)</x:f>
        <x:v>10752500</x:v>
      </x:c>
      <x:c r="F25" s="276"/>
      <x:c r="G25" s="276"/>
      <x:c r="H25" s="107" t="s">
        <x:v>33</x:v>
      </x:c>
      <x:c r="I25" s="108">
        <x:f>SUM('1'!$I$23)</x:f>
        <x:v>2230104</x:v>
      </x:c>
      <x:c r="J25" s="61" t="s">
        <x:v>33</x:v>
      </x:c>
      <x:c r="K25" s="62">
        <x:f>SUM('1:3'!$K$23)</x:f>
        <x:v>196000</x:v>
      </x:c>
    </x:row>
    <x:row r="26" spans="1:11" ht="34.149999999999999" customHeight="1">
      <x:c r="A26" s="260" t="s">
        <x:v>142</x:v>
      </x:c>
      <x:c r="B26" s="261"/>
      <x:c r="C26" s="321"/>
      <x:c r="D26" s="261"/>
      <x:c r="E26" s="262"/>
      <x:c r="F26" s="262"/>
      <x:c r="G26" s="262"/>
      <x:c r="H26" s="107" t="s">
        <x:v>128</x:v>
      </x:c>
      <x:c r="I26" s="110">
        <x:f>I25/$E$25</x:f>
        <x:v>0.20740330155777725</x:v>
      </x:c>
      <x:c r="J26" s="64" t="s">
        <x:v>128</x:v>
      </x:c>
      <x:c r="K26" s="65">
        <x:f>K25/$E$25</x:f>
        <x:v>0.018228318995582422</x:v>
      </x:c>
    </x:row>
    <x:row r="27" spans="1:13" ht="30.949999999999999" customHeight="1">
      <x:c r="A27" s="318" t="s">
        <x:v>141</x:v>
      </x:c>
      <x:c r="B27" s="54" t="s">
        <x:v>44</x:v>
      </x:c>
      <x:c r="C27" s="276">
        <x:f>4000000/30</x:f>
        <x:v>133333.33333333334</x:v>
      </x:c>
      <x:c r="D27" s="276"/>
      <x:c r="E27" s="55" t="s">
        <x:v>147</x:v>
      </x:c>
      <x:c r="F27" s="262">
        <x:f>13000*4.5</x:f>
        <x:v>58500</x:v>
      </x:c>
      <x:c r="G27" s="262"/>
      <x:c r="H27" s="111" t="s">
        <x:v>118</x:v>
      </x:c>
      <x:c r="I27" s="112">
        <x:f>SUM(C27:D34,F27:G32)</x:f>
        <x:v>810633.33333333337</x:v>
      </x:c>
      <x:c r="M27" s="66"/>
    </x:row>
    <x:row r="28" spans="1:13" ht="30.949999999999999" customHeight="1">
      <x:c r="A28" s="319"/>
      <x:c r="B28" s="54" t="s">
        <x:v>23</x:v>
      </x:c>
      <x:c r="C28" s="313">
        <x:f>3800000/30</x:f>
        <x:v>126666.66666666667</x:v>
      </x:c>
      <x:c r="D28" s="314"/>
      <x:c r="E28" s="55" t="s">
        <x:v>149</x:v>
      </x:c>
      <x:c r="F28" s="276">
        <x:f>1500000/30</x:f>
        <x:v>50000</x:v>
      </x:c>
      <x:c r="G28" s="276"/>
      <x:c r="H28" s="111" t="s">
        <x:v>8</x:v>
      </x:c>
      <x:c r="I28" s="113">
        <x:f>I27/$A$25</x:f>
        <x:v>0.22905717245926346</x:v>
      </x:c>
      <x:c r="M28" s="66"/>
    </x:row>
    <x:row r="29" spans="1:13" ht="30.949999999999999" customHeight="1">
      <x:c r="A29" s="319"/>
      <x:c r="B29" s="54" t="s">
        <x:v>47</x:v>
      </x:c>
      <x:c r="C29" s="276">
        <x:f>3200000/30</x:f>
        <x:v>106666.66666666667</x:v>
      </x:c>
      <x:c r="D29" s="276"/>
      <x:c r="E29" s="54" t="s">
        <x:v>57</x:v>
      </x:c>
      <x:c r="F29" s="262">
        <x:v>46800</x:v>
      </x:c>
      <x:c r="G29" s="262"/>
      <x:c r="H29" s="111" t="s">
        <x:v>33</x:v>
      </x:c>
      <x:c r="I29" s="112">
        <x:f>SUM('1:3'!$I$27)</x:f>
        <x:v>2338950</x:v>
      </x:c>
      <x:c r="M29" s="66"/>
    </x:row>
    <x:row r="30" spans="1:13" ht="30.949999999999999" customHeight="1">
      <x:c r="A30" s="319"/>
      <x:c r="B30" s="54"/>
      <x:c r="C30" s="315"/>
      <x:c r="D30" s="315"/>
      <x:c r="E30" s="55"/>
      <x:c r="F30" s="310"/>
      <x:c r="G30" s="311"/>
      <x:c r="H30" s="111" t="s">
        <x:v>128</x:v>
      </x:c>
      <x:c r="I30" s="113">
        <x:f>I29/$I$27</x:f>
        <x:v>2.885336568115465</x:v>
      </x:c>
      <x:c r="M30" s="66"/>
    </x:row>
    <x:row r="31" spans="1:7" customHeight="1">
      <x:c r="A31" s="319"/>
      <x:c r="B31" s="54" t="s">
        <x:v>41</x:v>
      </x:c>
      <x:c r="C31" s="313">
        <x:f>3500000/30</x:f>
        <x:v>116666.66666666667</x:v>
      </x:c>
      <x:c r="D31" s="314"/>
      <x:c r="E31" s="55" t="s">
        <x:v>4</x:v>
      </x:c>
      <x:c r="F31" s="310">
        <x:v>120000</x:v>
      </x:c>
      <x:c r="G31" s="311"/>
    </x:row>
    <x:row r="32" spans="1:7" customHeight="1">
      <x:c r="A32" s="319"/>
      <x:c r="B32" s="54"/>
      <x:c r="C32" s="308"/>
      <x:c r="D32" s="309"/>
      <x:c r="E32" s="55" t="s">
        <x:v>138</x:v>
      </x:c>
      <x:c r="F32" s="310"/>
      <x:c r="G32" s="311"/>
    </x:row>
    <x:row r="33" spans="1:4" customHeight="1">
      <x:c r="A33" s="319"/>
      <x:c r="B33" s="54" t="s">
        <x:v>21</x:v>
      </x:c>
      <x:c r="C33" s="308">
        <x:v>52000</x:v>
      </x:c>
      <x:c r="D33" s="309"/>
    </x:row>
    <x:row r="34" spans="1:4" customHeight="1">
      <x:c r="A34" s="320"/>
      <x:c r="B34" s="54"/>
      <x:c r="C34" s="310"/>
      <x:c r="D34" s="311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O34"/>
  <x:sheetViews>
    <x:sheetView topLeftCell="A13" zoomScale="85" zoomScaleNormal="85" zoomScaleSheetLayoutView="75" workbookViewId="0">
      <x:selection activeCell="J34" activeCellId="0" sqref="J34:J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152</x:v>
      </x:c>
      <x:c r="F1" s="68">
        <x:v>4</x:v>
      </x:c>
      <x:c r="G1" s="68" t="s">
        <x:v>50</x:v>
      </x:c>
      <x:c r="H1" s="52" t="s">
        <x:v>123</x:v>
      </x:c>
      <x:c r="I1" s="52">
        <x:f>F1-K1</x:f>
        <x:v>4</x:v>
      </x:c>
      <x:c r="J1" s="52" t="s">
        <x:v>98</x:v>
      </x:c>
      <x:c r="K1" s="52"/>
    </x:row>
    <x:row r="2" spans="1:11" ht="20.100000000000001" customHeight="1">
      <x:c r="A2" s="271" t="s">
        <x:v>9</x:v>
      </x:c>
      <x:c r="B2" s="272"/>
      <x:c r="C2" s="275">
        <x:f>SUM(C4:D7)</x:f>
        <x:v>4157500</x:v>
      </x:c>
      <x:c r="D2" s="275"/>
      <x:c r="E2" s="278" t="s">
        <x:v>40</x:v>
      </x:c>
      <x:c r="F2" s="279"/>
      <x:c r="G2" s="267">
        <x:v>88400</x:v>
      </x:c>
      <x:c r="H2" s="265" t="s">
        <x:v>6</x:v>
      </x:c>
      <x:c r="I2" s="266"/>
      <x:c r="J2" s="263" t="s">
        <x:v>74</x:v>
      </x:c>
      <x:c r="K2" s="264"/>
    </x:row>
    <x:row r="3" spans="1:11" ht="20.100000000000001" customHeight="1">
      <x:c r="A3" s="273"/>
      <x:c r="B3" s="274"/>
      <x:c r="C3" s="276"/>
      <x:c r="D3" s="276"/>
      <x:c r="E3" s="280"/>
      <x:c r="F3" s="281"/>
      <x:c r="G3" s="268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9" t="s">
        <x:v>22</x:v>
      </x:c>
      <x:c r="B4" s="270"/>
      <x:c r="C4" s="262">
        <x:v>3802500</x:v>
      </x:c>
      <x:c r="D4" s="262"/>
      <x:c r="E4" s="277" t="s">
        <x:v>146</x:v>
      </x:c>
      <x:c r="F4" s="277"/>
      <x:c r="G4" s="133">
        <x:f>INT(C4*0.0275)</x:f>
        <x:v>104568</x:v>
      </x:c>
      <x:c r="H4" s="54" t="s">
        <x:v>20</x:v>
      </x:c>
      <x:c r="I4" s="124">
        <x:v>507896</x:v>
      </x:c>
      <x:c r="J4" s="80" t="s">
        <x:v>36</x:v>
      </x:c>
      <x:c r="K4" s="58"/>
    </x:row>
    <x:row r="5" spans="1:11" ht="30.949999999999999" customHeight="1">
      <x:c r="A5" s="269" t="s">
        <x:v>61</x:v>
      </x:c>
      <x:c r="B5" s="270"/>
      <x:c r="C5" s="262">
        <x:v>355000</x:v>
      </x:c>
      <x:c r="D5" s="262"/>
      <x:c r="E5" s="261" t="s">
        <x:v>70</x:v>
      </x:c>
      <x:c r="F5" s="261"/>
      <x:c r="G5" s="133">
        <x:f>INT(C5*0.01)</x:f>
        <x:v>3550</x:v>
      </x:c>
      <x:c r="H5" s="54" t="s">
        <x:v>6</x:v>
      </x:c>
      <x:c r="I5" s="124">
        <x:v>225460</x:v>
      </x:c>
      <x:c r="J5" s="81"/>
      <x:c r="K5" s="58"/>
    </x:row>
    <x:row r="6" spans="1:11" ht="21.949999999999999" customHeight="1">
      <x:c r="A6" s="256" t="s">
        <x:v>84</x:v>
      </x:c>
      <x:c r="B6" s="257"/>
      <x:c r="C6" s="301"/>
      <x:c r="D6" s="302"/>
      <x:c r="E6" s="288" t="s">
        <x:v>131</x:v>
      </x:c>
      <x:c r="F6" s="289"/>
      <x:c r="G6" s="282">
        <x:v>360000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8"/>
      <x:c r="B7" s="259"/>
      <x:c r="C7" s="303"/>
      <x:c r="D7" s="304"/>
      <x:c r="E7" s="280"/>
      <x:c r="F7" s="281"/>
      <x:c r="G7" s="268"/>
      <x:c r="H7" s="54" t="s">
        <x:v>24</x:v>
      </x:c>
      <x:c r="I7" s="124">
        <x:v>68600</x:v>
      </x:c>
      <x:c r="J7" s="81" t="s">
        <x:v>116</x:v>
      </x:c>
      <x:c r="K7" s="58"/>
    </x:row>
    <x:row r="8" spans="1:11" ht="21.949999999999999" customHeight="1">
      <x:c r="A8" s="260" t="s">
        <x:v>134</x:v>
      </x:c>
      <x:c r="B8" s="261"/>
      <x:c r="C8" s="262">
        <x:v>83400</x:v>
      </x:c>
      <x:c r="D8" s="262"/>
      <x:c r="E8" s="288" t="s">
        <x:v>110</x:v>
      </x:c>
      <x:c r="F8" s="289"/>
      <x:c r="G8" s="294">
        <x:f>C5+G2-G6-C22</x:f>
        <x:v>83400</x:v>
      </x:c>
      <x:c r="H8" s="54" t="s">
        <x:v>45</x:v>
      </x:c>
      <x:c r="I8" s="124">
        <x:v>64000</x:v>
      </x:c>
      <x:c r="J8" s="81"/>
      <x:c r="K8" s="58"/>
    </x:row>
    <x:row r="9" spans="1:11" ht="21.949999999999999" customHeight="1">
      <x:c r="A9" s="260"/>
      <x:c r="B9" s="261"/>
      <x:c r="C9" s="262"/>
      <x:c r="D9" s="262"/>
      <x:c r="E9" s="280"/>
      <x:c r="F9" s="281"/>
      <x:c r="G9" s="295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143</x:v>
      </x:c>
      <x:c r="B10" s="261"/>
      <x:c r="C10" s="262">
        <x:v>99000</x:v>
      </x:c>
      <x:c r="D10" s="262"/>
      <x:c r="E10" s="261" t="s">
        <x:v>87</x:v>
      </x:c>
      <x:c r="F10" s="261"/>
      <x:c r="G10" s="55"/>
      <x:c r="H10" s="54"/>
      <x:c r="I10" s="124"/>
      <x:c r="J10" s="54" t="s">
        <x:v>53</x:v>
      </x:c>
      <x:c r="K10" s="58"/>
    </x:row>
    <x:row r="11" spans="1:11" ht="33" customHeight="1">
      <x:c r="A11" s="260" t="s">
        <x:v>103</x:v>
      </x:c>
      <x:c r="B11" s="261"/>
      <x:c r="C11" s="300"/>
      <x:c r="D11" s="300"/>
      <x:c r="E11" s="300"/>
      <x:c r="F11" s="300"/>
      <x:c r="G11" s="300"/>
      <x:c r="H11" s="54" t="s">
        <x:v>58</x:v>
      </x:c>
      <x:c r="I11" s="58"/>
      <x:c r="J11" s="54" t="s">
        <x:v>82</x:v>
      </x:c>
      <x:c r="K11" s="151"/>
    </x:row>
    <x:row r="12" spans="1:13" ht="21.949999999999999" customHeight="1">
      <x:c r="A12" s="59" t="s">
        <x:v>48</x:v>
      </x:c>
      <x:c r="B12" s="298" t="s">
        <x:v>42</x:v>
      </x:c>
      <x:c r="C12" s="79">
        <x:v>3</x:v>
      </x:c>
      <x:c r="D12" s="288" t="s">
        <x:v>133</x:v>
      </x:c>
      <x:c r="E12" s="289"/>
      <x:c r="F12" s="292">
        <x:v>7</x:v>
      </x:c>
      <x:c r="G12" s="293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9"/>
      <x:c r="C13" s="134">
        <x:f>SUM('1:4'!$C$12)</x:f>
        <x:v>35</x:v>
      </x:c>
      <x:c r="D13" s="280"/>
      <x:c r="E13" s="281"/>
      <x:c r="F13" s="290">
        <x:f>SUM('1:4'!$F$12)</x:f>
        <x:v>18</x:v>
      </x:c>
      <x:c r="G13" s="291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8" t="s">
        <x:v>64</x:v>
      </x:c>
      <x:c r="C14" s="79">
        <x:v>11</x:v>
      </x:c>
      <x:c r="D14" s="288" t="s">
        <x:v>95</x:v>
      </x:c>
      <x:c r="E14" s="289"/>
      <x:c r="F14" s="292">
        <x:v>12</x:v>
      </x:c>
      <x:c r="G14" s="293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9"/>
      <x:c r="C15" s="134">
        <x:f>SUM('1:4'!$C$14)</x:f>
        <x:v>57</x:v>
      </x:c>
      <x:c r="D15" s="280"/>
      <x:c r="E15" s="281"/>
      <x:c r="F15" s="290">
        <x:f>SUM('1:4'!$F$14)</x:f>
        <x:v>34</x:v>
      </x:c>
      <x:c r="G15" s="291"/>
      <x:c r="H15" s="54" t="s">
        <x:v>106</x:v>
      </x:c>
      <x:c r="I15" s="58">
        <x:v>87500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8" t="s">
        <x:v>51</x:v>
      </x:c>
      <x:c r="C16" s="79">
        <x:v>3</x:v>
      </x:c>
      <x:c r="D16" s="288" t="s">
        <x:v>117</x:v>
      </x:c>
      <x:c r="E16" s="289"/>
      <x:c r="F16" s="286">
        <x:v>12</x:v>
      </x:c>
      <x:c r="G16" s="286"/>
      <x:c r="H16" s="54"/>
      <x:c r="I16" s="58"/>
      <x:c r="J16" s="54" t="s">
        <x:v>97</x:v>
      </x:c>
      <x:c r="K16" s="58">
        <x:v>140150</x:v>
      </x:c>
      <x:c r="L16" s="60"/>
      <x:c r="M16" s="11"/>
    </x:row>
    <x:row r="17" spans="1:13" ht="21.949999999999999" customHeight="1">
      <x:c r="A17" s="59" t="s">
        <x:v>96</x:v>
      </x:c>
      <x:c r="B17" s="299"/>
      <x:c r="C17" s="134">
        <x:f>SUM('1:4'!$C$16)</x:f>
        <x:v>10</x:v>
      </x:c>
      <x:c r="D17" s="280"/>
      <x:c r="E17" s="281"/>
      <x:c r="F17" s="287">
        <x:f>SUM('1:4'!$F$16)</x:f>
        <x:v>35</x:v>
      </x:c>
      <x:c r="G17" s="287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8" t="s">
        <x:v>91</x:v>
      </x:c>
      <x:c r="C18" s="79">
        <x:v>4</x:v>
      </x:c>
      <x:c r="D18" s="288" t="s">
        <x:v>130</x:v>
      </x:c>
      <x:c r="E18" s="289"/>
      <x:c r="F18" s="296">
        <x:v>1</x:v>
      </x:c>
      <x:c r="G18" s="297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9"/>
      <x:c r="C19" s="134">
        <x:f>SUM('1:4'!$C$18)</x:f>
        <x:v>30</x:v>
      </x:c>
      <x:c r="D19" s="280"/>
      <x:c r="E19" s="281"/>
      <x:c r="F19" s="287">
        <x:f>SUM('1:4'!$F$18)</x:f>
        <x:v>4</x:v>
      </x:c>
      <x:c r="G19" s="287"/>
      <x:c r="H19" s="58"/>
      <x:c r="I19" s="58"/>
      <x:c r="J19" s="54"/>
      <x:c r="K19" s="58"/>
      <x:c r="L19" s="60"/>
      <x:c r="M19" s="11"/>
    </x:row>
    <x:row r="20" spans="2:13" ht="21.949999999999999" customHeight="1">
      <x:c r="B20" s="52" t="s">
        <x:v>151</x:v>
      </x:c>
      <x:c r="D20" s="261" t="s">
        <x:v>113</x:v>
      </x:c>
      <x:c r="E20" s="261"/>
      <x:c r="F20" s="286">
        <x:v>66</x:v>
      </x:c>
      <x:c r="G20" s="286"/>
      <x:c r="H20" s="58"/>
      <x:c r="J20" s="54"/>
      <x:c r="K20" s="58"/>
      <x:c r="L20" s="60"/>
      <x:c r="M20" s="11"/>
    </x:row>
    <x:row r="21" spans="4:13" ht="21.949999999999999" customHeight="1">
      <x:c r="D21" s="261" t="s">
        <x:v>114</x:v>
      </x:c>
      <x:c r="E21" s="261"/>
      <x:c r="F21" s="287">
        <x:f>SUM('1:4'!$F$20)</x:f>
        <x:v>240</x:v>
      </x:c>
      <x:c r="G21" s="287"/>
      <x:c r="H21" s="58"/>
      <x:c r="J21" s="54"/>
      <x:c r="K21" s="58"/>
      <x:c r="L21" s="60"/>
      <x:c r="M21" s="11"/>
    </x:row>
    <x:row r="22" spans="1:13" ht="32.100000000000001" customHeight="1">
      <x:c r="A22" s="260" t="s">
        <x:v>83</x:v>
      </x:c>
      <x:c r="B22" s="261"/>
      <x:c r="C22" s="285"/>
      <x:c r="D22" s="285"/>
      <x:c r="E22" s="285"/>
      <x:c r="F22" s="285"/>
      <x:c r="G22" s="285"/>
      <x:c r="H22" s="54"/>
      <x:c r="J22" s="54"/>
      <x:c r="K22" s="58"/>
      <x:c r="L22" s="60"/>
      <x:c r="M22" s="11"/>
    </x:row>
    <x:row r="23" spans="1:15" ht="34.149999999999999" customHeight="1">
      <x:c r="A23" s="260" t="s">
        <x:v>124</x:v>
      </x:c>
      <x:c r="B23" s="261"/>
      <x:c r="C23" s="316"/>
      <x:c r="D23" s="317"/>
      <x:c r="E23" s="317"/>
      <x:c r="F23" s="317"/>
      <x:c r="G23" s="317"/>
      <x:c r="H23" s="107" t="s">
        <x:v>94</x:v>
      </x:c>
      <x:c r="I23" s="108">
        <x:f>SUM(I4:I22)</x:f>
        <x:v>953456</x:v>
      </x:c>
      <x:c r="J23" s="61" t="s">
        <x:v>119</x:v>
      </x:c>
      <x:c r="K23" s="62">
        <x:f>SUM(K4:K22)</x:f>
        <x:v>140150</x:v>
      </x:c>
      <x:c r="M23" s="88" t="s">
        <x:v>93</x:v>
      </x:c>
      <x:c r="N23" s="283">
        <x:f>C5+C6</x:f>
        <x:v>355000</x:v>
      </x:c>
      <x:c r="O23" s="284"/>
    </x:row>
    <x:row r="24" spans="1:11" ht="34.149999999999999" customHeight="1">
      <x:c r="A24" s="260" t="s">
        <x:v>8</x:v>
      </x:c>
      <x:c r="B24" s="261"/>
      <x:c r="C24" s="261" t="s">
        <x:v>86</x:v>
      </x:c>
      <x:c r="D24" s="261"/>
      <x:c r="E24" s="261" t="s">
        <x:v>101</x:v>
      </x:c>
      <x:c r="F24" s="261"/>
      <x:c r="G24" s="261"/>
      <x:c r="H24" s="107" t="s">
        <x:v>8</x:v>
      </x:c>
      <x:c r="I24" s="109">
        <x:f>I23/A25</x:f>
        <x:v>0.22933397474443776</x:v>
      </x:c>
      <x:c r="J24" s="61" t="s">
        <x:v>8</x:v>
      </x:c>
      <x:c r="K24" s="63">
        <x:f>K23/A25</x:f>
        <x:v>0.033710162357185811</x:v>
      </x:c>
    </x:row>
    <x:row r="25" spans="1:11" ht="34.149999999999999" customHeight="1">
      <x:c r="A25" s="312">
        <x:f>C2</x:f>
        <x:v>4157500</x:v>
      </x:c>
      <x:c r="B25" s="276"/>
      <x:c r="C25" s="276">
        <x:f>E25/I1</x:f>
        <x:v>3727500</x:v>
      </x:c>
      <x:c r="D25" s="276"/>
      <x:c r="E25" s="276">
        <x:f>SUM('1:4'!$A$25)</x:f>
        <x:v>14910000</x:v>
      </x:c>
      <x:c r="F25" s="276"/>
      <x:c r="G25" s="276"/>
      <x:c r="H25" s="107" t="s">
        <x:v>33</x:v>
      </x:c>
      <x:c r="I25" s="108">
        <x:f>SUM('1'!$I$23)</x:f>
        <x:v>2230104</x:v>
      </x:c>
      <x:c r="J25" s="61" t="s">
        <x:v>33</x:v>
      </x:c>
      <x:c r="K25" s="62">
        <x:f>SUM('1:4'!$K$23)</x:f>
        <x:v>336150</x:v>
      </x:c>
    </x:row>
    <x:row r="26" spans="1:11" ht="34.149999999999999" customHeight="1">
      <x:c r="A26" s="260" t="s">
        <x:v>142</x:v>
      </x:c>
      <x:c r="B26" s="261"/>
      <x:c r="C26" s="261"/>
      <x:c r="D26" s="261"/>
      <x:c r="E26" s="262"/>
      <x:c r="F26" s="262"/>
      <x:c r="G26" s="262"/>
      <x:c r="H26" s="107" t="s">
        <x:v>128</x:v>
      </x:c>
      <x:c r="I26" s="110">
        <x:f>I25/$E$25</x:f>
        <x:v>0.14957102615694165</x:v>
      </x:c>
      <x:c r="J26" s="64" t="s">
        <x:v>128</x:v>
      </x:c>
      <x:c r="K26" s="65">
        <x:f>K25/$E$25</x:f>
        <x:v>0.022545271629778672</x:v>
      </x:c>
    </x:row>
    <x:row r="27" spans="1:13" ht="30.949999999999999" customHeight="1">
      <x:c r="A27" s="318" t="s">
        <x:v>141</x:v>
      </x:c>
      <x:c r="B27" s="54" t="s">
        <x:v>44</x:v>
      </x:c>
      <x:c r="C27" s="276">
        <x:f>4000000/30</x:f>
        <x:v>133333.33333333334</x:v>
      </x:c>
      <x:c r="D27" s="276"/>
      <x:c r="E27" s="55" t="s">
        <x:v>147</x:v>
      </x:c>
      <x:c r="F27" s="262"/>
      <x:c r="G27" s="262"/>
      <x:c r="H27" s="111" t="s">
        <x:v>118</x:v>
      </x:c>
      <x:c r="I27" s="112">
        <x:f>SUM(C27:D34,F27:G32)</x:f>
        <x:v>769983.33333333337</x:v>
      </x:c>
      <x:c r="M27" s="66"/>
    </x:row>
    <x:row r="28" spans="1:13" ht="30.949999999999999" customHeight="1">
      <x:c r="A28" s="319"/>
      <x:c r="B28" s="54" t="s">
        <x:v>23</x:v>
      </x:c>
      <x:c r="C28" s="276">
        <x:f>3800000/30</x:f>
        <x:v>126666.66666666667</x:v>
      </x:c>
      <x:c r="D28" s="276"/>
      <x:c r="E28" s="55" t="s">
        <x:v>149</x:v>
      </x:c>
      <x:c r="F28" s="276">
        <x:f>1500000/30</x:f>
        <x:v>50000</x:v>
      </x:c>
      <x:c r="G28" s="276"/>
      <x:c r="H28" s="111" t="s">
        <x:v>8</x:v>
      </x:c>
      <x:c r="I28" s="113">
        <x:f>I27/$A$25</x:f>
        <x:v>0.18520344758468632</x:v>
      </x:c>
      <x:c r="M28" s="66"/>
    </x:row>
    <x:row r="29" spans="1:13" ht="30.949999999999999" customHeight="1">
      <x:c r="A29" s="319"/>
      <x:c r="B29" s="54" t="s">
        <x:v>47</x:v>
      </x:c>
      <x:c r="C29" s="276">
        <x:f>3200000/30</x:f>
        <x:v>106666.66666666667</x:v>
      </x:c>
      <x:c r="D29" s="276"/>
      <x:c r="E29" s="54" t="s">
        <x:v>57</x:v>
      </x:c>
      <x:c r="F29" s="262">
        <x:v>52650</x:v>
      </x:c>
      <x:c r="G29" s="262"/>
      <x:c r="H29" s="111" t="s">
        <x:v>33</x:v>
      </x:c>
      <x:c r="I29" s="112">
        <x:f>SUM('1:4'!$I$27)</x:f>
        <x:v>3108933.3333333335</x:v>
      </x:c>
      <x:c r="M29" s="66"/>
    </x:row>
    <x:row r="30" spans="1:13" ht="30.949999999999999" customHeight="1">
      <x:c r="A30" s="319"/>
      <x:c r="B30" s="54"/>
      <x:c r="C30" s="315"/>
      <x:c r="D30" s="315"/>
      <x:c r="E30" s="55"/>
      <x:c r="F30" s="310"/>
      <x:c r="G30" s="311"/>
      <x:c r="H30" s="111" t="s">
        <x:v>128</x:v>
      </x:c>
      <x:c r="I30" s="113">
        <x:f>I29/$I$27</x:f>
        <x:v>4.0376631528820974</x:v>
      </x:c>
      <x:c r="M30" s="66"/>
    </x:row>
    <x:row r="31" spans="1:7" customHeight="1">
      <x:c r="A31" s="319"/>
      <x:c r="B31" s="54" t="s">
        <x:v>41</x:v>
      </x:c>
      <x:c r="C31" s="313">
        <x:f>3500000/30</x:f>
        <x:v>116666.66666666667</x:v>
      </x:c>
      <x:c r="D31" s="314"/>
      <x:c r="E31" s="55" t="s">
        <x:v>4</x:v>
      </x:c>
      <x:c r="F31" s="310">
        <x:v>132000</x:v>
      </x:c>
      <x:c r="G31" s="311"/>
    </x:row>
    <x:row r="32" spans="1:7" customHeight="1">
      <x:c r="A32" s="319"/>
      <x:c r="B32" s="54"/>
      <x:c r="C32" s="308"/>
      <x:c r="D32" s="309"/>
      <x:c r="E32" s="55" t="s">
        <x:v>138</x:v>
      </x:c>
      <x:c r="F32" s="310"/>
      <x:c r="G32" s="311"/>
    </x:row>
    <x:row r="33" spans="1:4" customHeight="1">
      <x:c r="A33" s="319"/>
      <x:c r="B33" s="54" t="s">
        <x:v>21</x:v>
      </x:c>
      <x:c r="C33" s="308">
        <x:v>52000</x:v>
      </x:c>
      <x:c r="D33" s="309"/>
    </x:row>
    <x:row r="34" spans="1:4" customHeight="1">
      <x:c r="A34" s="320"/>
      <x:c r="B34" s="54"/>
      <x:c r="C34" s="310"/>
      <x:c r="D34" s="311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O34"/>
  <x:sheetViews>
    <x:sheetView topLeftCell="A8" zoomScale="85" zoomScaleNormal="85" zoomScaleSheetLayoutView="75" workbookViewId="0">
      <x:selection activeCell="J34" activeCellId="0" sqref="J34:J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152</x:v>
      </x:c>
      <x:c r="F1" s="68">
        <x:v>5</x:v>
      </x:c>
      <x:c r="G1" s="68" t="s">
        <x:v>28</x:v>
      </x:c>
      <x:c r="H1" s="52" t="s">
        <x:v>123</x:v>
      </x:c>
      <x:c r="I1" s="52">
        <x:f>F1-K1</x:f>
        <x:v>5</x:v>
      </x:c>
      <x:c r="J1" s="52" t="s">
        <x:v>98</x:v>
      </x:c>
      <x:c r="K1" s="52"/>
    </x:row>
    <x:row r="2" spans="1:11" ht="20.100000000000001" customHeight="1">
      <x:c r="A2" s="330" t="s">
        <x:v>9</x:v>
      </x:c>
      <x:c r="B2" s="331"/>
      <x:c r="C2" s="334">
        <x:f>SUM(C4:D7)</x:f>
        <x:v>4649500</x:v>
      </x:c>
      <x:c r="D2" s="335"/>
      <x:c r="E2" s="278" t="s">
        <x:v>40</x:v>
      </x:c>
      <x:c r="F2" s="279"/>
      <x:c r="G2" s="267">
        <x:v>83400</x:v>
      </x:c>
      <x:c r="H2" s="338" t="s">
        <x:v>6</x:v>
      </x:c>
      <x:c r="I2" s="339"/>
      <x:c r="J2" s="263" t="s">
        <x:v>74</x:v>
      </x:c>
      <x:c r="K2" s="327"/>
    </x:row>
    <x:row r="3" spans="1:11" ht="20.100000000000001" customHeight="1">
      <x:c r="A3" s="332"/>
      <x:c r="B3" s="333"/>
      <x:c r="C3" s="336"/>
      <x:c r="D3" s="337"/>
      <x:c r="E3" s="280"/>
      <x:c r="F3" s="281"/>
      <x:c r="G3" s="268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341" t="s">
        <x:v>22</x:v>
      </x:c>
      <x:c r="B4" s="342"/>
      <x:c r="C4" s="310">
        <x:v>4023000</x:v>
      </x:c>
      <x:c r="D4" s="311"/>
      <x:c r="E4" s="343" t="s">
        <x:v>146</x:v>
      </x:c>
      <x:c r="F4" s="344"/>
      <x:c r="G4" s="133">
        <x:f>INT(C4*0.0275)</x:f>
        <x:v>110632</x:v>
      </x:c>
      <x:c r="H4" s="54" t="s">
        <x:v>20</x:v>
      </x:c>
      <x:c r="I4" s="124">
        <x:v>495356</x:v>
      </x:c>
      <x:c r="J4" s="80" t="s">
        <x:v>36</x:v>
      </x:c>
      <x:c r="K4" s="58"/>
    </x:row>
    <x:row r="5" spans="1:11" ht="30.949999999999999" customHeight="1">
      <x:c r="A5" s="341" t="s">
        <x:v>61</x:v>
      </x:c>
      <x:c r="B5" s="342"/>
      <x:c r="C5" s="310">
        <x:v>626500</x:v>
      </x:c>
      <x:c r="D5" s="311"/>
      <x:c r="E5" s="292" t="s">
        <x:v>70</x:v>
      </x:c>
      <x:c r="F5" s="293"/>
      <x:c r="G5" s="133">
        <x:f>INT(C5*0.01)</x:f>
        <x:v>6265</x:v>
      </x:c>
      <x:c r="H5" s="54" t="s">
        <x:v>6</x:v>
      </x:c>
      <x:c r="I5" s="124">
        <x:v>268581</x:v>
      </x:c>
      <x:c r="J5" s="81"/>
      <x:c r="K5" s="58"/>
    </x:row>
    <x:row r="6" spans="1:11" ht="21.949999999999999" customHeight="1">
      <x:c r="A6" s="256" t="s">
        <x:v>84</x:v>
      </x:c>
      <x:c r="B6" s="257"/>
      <x:c r="C6" s="301"/>
      <x:c r="D6" s="302"/>
      <x:c r="E6" s="288" t="s">
        <x:v>131</x:v>
      </x:c>
      <x:c r="F6" s="289"/>
      <x:c r="G6" s="282">
        <x:v>571000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8"/>
      <x:c r="B7" s="259"/>
      <x:c r="C7" s="303"/>
      <x:c r="D7" s="304"/>
      <x:c r="E7" s="280"/>
      <x:c r="F7" s="281"/>
      <x:c r="G7" s="268"/>
      <x:c r="H7" s="54" t="s">
        <x:v>24</x:v>
      </x:c>
      <x:c r="I7" s="124">
        <x:v>204300</x:v>
      </x:c>
      <x:c r="J7" s="81" t="s">
        <x:v>116</x:v>
      </x:c>
      <x:c r="K7" s="58"/>
    </x:row>
    <x:row r="8" spans="1:11" ht="21.949999999999999" customHeight="1">
      <x:c r="A8" s="348" t="s">
        <x:v>134</x:v>
      </x:c>
      <x:c r="B8" s="289"/>
      <x:c r="C8" s="301">
        <x:v>138900</x:v>
      </x:c>
      <x:c r="D8" s="302"/>
      <x:c r="E8" s="288" t="s">
        <x:v>110</x:v>
      </x:c>
      <x:c r="F8" s="289"/>
      <x:c r="G8" s="294">
        <x:f>C5+G2-G6</x:f>
        <x:v>138900</x:v>
      </x:c>
      <x:c r="H8" s="54" t="s">
        <x:v>45</x:v>
      </x:c>
      <x:c r="I8" s="124">
        <x:v>64000</x:v>
      </x:c>
      <x:c r="J8" s="81"/>
      <x:c r="K8" s="58"/>
    </x:row>
    <x:row r="9" spans="1:11" ht="21.949999999999999" customHeight="1">
      <x:c r="A9" s="349"/>
      <x:c r="B9" s="281"/>
      <x:c r="C9" s="303"/>
      <x:c r="D9" s="304"/>
      <x:c r="E9" s="280"/>
      <x:c r="F9" s="281"/>
      <x:c r="G9" s="295"/>
      <x:c r="H9" s="54"/>
      <x:c r="I9" s="124"/>
      <x:c r="J9" s="54" t="s">
        <x:v>16</x:v>
      </x:c>
      <x:c r="K9" s="58"/>
    </x:row>
    <x:row r="10" spans="1:11" ht="30.949999999999999" customHeight="1">
      <x:c r="A10" s="340" t="s">
        <x:v>143</x:v>
      </x:c>
      <x:c r="B10" s="293"/>
      <x:c r="C10" s="310"/>
      <x:c r="D10" s="311"/>
      <x:c r="E10" s="292" t="s">
        <x:v>87</x:v>
      </x:c>
      <x:c r="F10" s="293"/>
      <x:c r="G10" s="55"/>
      <x:c r="H10" s="54"/>
      <x:c r="I10" s="124"/>
      <x:c r="J10" s="54" t="s">
        <x:v>53</x:v>
      </x:c>
      <x:c r="K10" s="58"/>
    </x:row>
    <x:row r="11" spans="1:11" ht="33" customHeight="1">
      <x:c r="A11" s="340" t="s">
        <x:v>103</x:v>
      </x:c>
      <x:c r="B11" s="293"/>
      <x:c r="C11" s="345"/>
      <x:c r="D11" s="346"/>
      <x:c r="E11" s="346"/>
      <x:c r="F11" s="346"/>
      <x:c r="G11" s="347"/>
      <x:c r="H11" s="54" t="s">
        <x:v>58</x:v>
      </x:c>
      <x:c r="I11" s="58"/>
      <x:c r="J11" s="54" t="s">
        <x:v>82</x:v>
      </x:c>
      <x:c r="K11" s="151"/>
    </x:row>
    <x:row r="12" spans="1:13" ht="21.949999999999999" customHeight="1">
      <x:c r="A12" s="59" t="s">
        <x:v>48</x:v>
      </x:c>
      <x:c r="B12" s="298" t="s">
        <x:v>42</x:v>
      </x:c>
      <x:c r="C12" s="79">
        <x:v>6</x:v>
      </x:c>
      <x:c r="D12" s="288" t="s">
        <x:v>133</x:v>
      </x:c>
      <x:c r="E12" s="289"/>
      <x:c r="F12" s="292">
        <x:v>4</x:v>
      </x:c>
      <x:c r="G12" s="293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9"/>
      <x:c r="C13" s="134">
        <x:f>SUM('1:5'!$C$12)</x:f>
        <x:v>41</x:v>
      </x:c>
      <x:c r="D13" s="280"/>
      <x:c r="E13" s="281"/>
      <x:c r="F13" s="290">
        <x:f>SUM('1:5'!$F$12)</x:f>
        <x:v>22</x:v>
      </x:c>
      <x:c r="G13" s="291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8" t="s">
        <x:v>64</x:v>
      </x:c>
      <x:c r="C14" s="79">
        <x:v>18</x:v>
      </x:c>
      <x:c r="D14" s="288" t="s">
        <x:v>95</x:v>
      </x:c>
      <x:c r="E14" s="289"/>
      <x:c r="F14" s="292">
        <x:v>3</x:v>
      </x:c>
      <x:c r="G14" s="293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9"/>
      <x:c r="C15" s="134">
        <x:f>SUM('1:5'!$C$14)</x:f>
        <x:v>75</x:v>
      </x:c>
      <x:c r="D15" s="280"/>
      <x:c r="E15" s="281"/>
      <x:c r="F15" s="290">
        <x:f>SUM('1:5'!$F$14)</x:f>
        <x:v>37</x:v>
      </x:c>
      <x:c r="G15" s="291"/>
      <x:c r="H15" s="54" t="s">
        <x:v>106</x:v>
      </x:c>
      <x:c r="I15" s="58">
        <x:v>95900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8" t="s">
        <x:v>51</x:v>
      </x:c>
      <x:c r="C16" s="79">
        <x:v>3</x:v>
      </x:c>
      <x:c r="D16" s="288" t="s">
        <x:v>117</x:v>
      </x:c>
      <x:c r="E16" s="289"/>
      <x:c r="F16" s="328">
        <x:v>13</x:v>
      </x:c>
      <x:c r="G16" s="329"/>
      <x:c r="H16" s="54"/>
      <x:c r="I16" s="58"/>
      <x:c r="J16" s="54" t="s">
        <x:v>97</x:v>
      </x:c>
      <x:c r="K16" s="58">
        <x:v>88330</x:v>
      </x:c>
      <x:c r="L16" s="60"/>
      <x:c r="M16" s="11"/>
    </x:row>
    <x:row r="17" spans="1:13" ht="21.949999999999999" customHeight="1">
      <x:c r="A17" s="59" t="s">
        <x:v>96</x:v>
      </x:c>
      <x:c r="B17" s="299"/>
      <x:c r="C17" s="134">
        <x:f>SUM('1:5'!$C$16)</x:f>
        <x:v>13</x:v>
      </x:c>
      <x:c r="D17" s="280"/>
      <x:c r="E17" s="281"/>
      <x:c r="F17" s="290">
        <x:f>SUM('1:5'!$F$16)</x:f>
        <x:v>48</x:v>
      </x:c>
      <x:c r="G17" s="291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8" t="s">
        <x:v>91</x:v>
      </x:c>
      <x:c r="C18" s="79">
        <x:v>17</x:v>
      </x:c>
      <x:c r="D18" s="288" t="s">
        <x:v>130</x:v>
      </x:c>
      <x:c r="E18" s="289"/>
      <x:c r="F18" s="328">
        <x:v>6</x:v>
      </x:c>
      <x:c r="G18" s="32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9"/>
      <x:c r="C19" s="134">
        <x:f>SUM('1:5'!$C$18)</x:f>
        <x:v>47</x:v>
      </x:c>
      <x:c r="D19" s="280"/>
      <x:c r="E19" s="281"/>
      <x:c r="F19" s="290">
        <x:f>SUM('1:5'!$F$18)</x:f>
        <x:v>10</x:v>
      </x:c>
      <x:c r="G19" s="291"/>
      <x:c r="H19" s="58"/>
      <x:c r="I19" s="58"/>
      <x:c r="J19" s="54"/>
      <x:c r="K19" s="58"/>
      <x:c r="L19" s="60"/>
      <x:c r="M19" s="11"/>
    </x:row>
    <x:row r="20" spans="1:13" ht="21.949999999999999" customHeight="1">
      <x:c r="A20" s="132"/>
      <x:c r="B20" s="52" t="s">
        <x:v>151</x:v>
      </x:c>
      <x:c r="C20" s="132"/>
      <x:c r="D20" s="292" t="s">
        <x:v>113</x:v>
      </x:c>
      <x:c r="E20" s="293"/>
      <x:c r="F20" s="328">
        <x:v>59</x:v>
      </x:c>
      <x:c r="G20" s="329"/>
      <x:c r="H20" s="58"/>
      <x:c r="J20" s="54"/>
      <x:c r="K20" s="58"/>
      <x:c r="L20" s="60"/>
      <x:c r="M20" s="11"/>
    </x:row>
    <x:row r="21" spans="1:13" ht="21.949999999999999" customHeight="1">
      <x:c r="A21" s="132"/>
      <x:c r="C21" s="132"/>
      <x:c r="D21" s="292" t="s">
        <x:v>114</x:v>
      </x:c>
      <x:c r="E21" s="293"/>
      <x:c r="F21" s="290">
        <x:f>SUM('1:5'!$F$20)</x:f>
        <x:v>299</x:v>
      </x:c>
      <x:c r="G21" s="291"/>
      <x:c r="H21" s="58"/>
      <x:c r="J21" s="54"/>
      <x:c r="K21" s="58"/>
      <x:c r="L21" s="60"/>
      <x:c r="M21" s="11"/>
    </x:row>
    <x:row r="22" spans="1:13" ht="32.100000000000001" customHeight="1">
      <x:c r="A22" s="340" t="s">
        <x:v>83</x:v>
      </x:c>
      <x:c r="B22" s="293"/>
      <x:c r="C22" s="350"/>
      <x:c r="D22" s="351"/>
      <x:c r="E22" s="351"/>
      <x:c r="F22" s="351"/>
      <x:c r="G22" s="352"/>
      <x:c r="H22" s="54"/>
      <x:c r="J22" s="54"/>
      <x:c r="K22" s="58"/>
      <x:c r="L22" s="60"/>
      <x:c r="M22" s="11"/>
    </x:row>
    <x:row r="23" spans="1:15" ht="34.149999999999999" customHeight="1">
      <x:c r="A23" s="340" t="s">
        <x:v>124</x:v>
      </x:c>
      <x:c r="B23" s="293"/>
      <x:c r="C23" s="324"/>
      <x:c r="D23" s="325"/>
      <x:c r="E23" s="325"/>
      <x:c r="F23" s="325"/>
      <x:c r="G23" s="326"/>
      <x:c r="H23" s="107" t="s">
        <x:v>94</x:v>
      </x:c>
      <x:c r="I23" s="108">
        <x:f>SUM(I4:I22)</x:f>
        <x:v>1128137</x:v>
      </x:c>
      <x:c r="J23" s="61" t="s">
        <x:v>119</x:v>
      </x:c>
      <x:c r="K23" s="62">
        <x:f>SUM(K4:K22)</x:f>
        <x:v>88330</x:v>
      </x:c>
      <x:c r="M23" s="88" t="s">
        <x:v>93</x:v>
      </x:c>
      <x:c r="N23" s="283">
        <x:f>C5+C6</x:f>
        <x:v>626500</x:v>
      </x:c>
      <x:c r="O23" s="284"/>
    </x:row>
    <x:row r="24" spans="1:11" ht="34.149999999999999" customHeight="1">
      <x:c r="A24" s="340" t="s">
        <x:v>8</x:v>
      </x:c>
      <x:c r="B24" s="293"/>
      <x:c r="C24" s="292" t="s">
        <x:v>86</x:v>
      </x:c>
      <x:c r="D24" s="293"/>
      <x:c r="E24" s="292" t="s">
        <x:v>101</x:v>
      </x:c>
      <x:c r="F24" s="323"/>
      <x:c r="G24" s="293"/>
      <x:c r="H24" s="107" t="s">
        <x:v>8</x:v>
      </x:c>
      <x:c r="I24" s="109">
        <x:f>I23/A25</x:f>
        <x:v>0.24263619744058501</x:v>
      </x:c>
      <x:c r="J24" s="61" t="s">
        <x:v>8</x:v>
      </x:c>
      <x:c r="K24" s="63">
        <x:f>K23/A25</x:f>
        <x:v>0.018997741692655123</x:v>
      </x:c>
    </x:row>
    <x:row r="25" spans="1:11" ht="34.149999999999999" customHeight="1">
      <x:c r="A25" s="354">
        <x:f>C2</x:f>
        <x:v>4649500</x:v>
      </x:c>
      <x:c r="B25" s="314"/>
      <x:c r="C25" s="313">
        <x:f>E25/I1</x:f>
        <x:v>3911900</x:v>
      </x:c>
      <x:c r="D25" s="314"/>
      <x:c r="E25" s="313">
        <x:f>SUM('1:5'!$A$25)</x:f>
        <x:v>19559500</x:v>
      </x:c>
      <x:c r="F25" s="322"/>
      <x:c r="G25" s="314"/>
      <x:c r="H25" s="107" t="s">
        <x:v>33</x:v>
      </x:c>
      <x:c r="I25" s="108">
        <x:f>SUM('1'!$I$23)</x:f>
        <x:v>2230104</x:v>
      </x:c>
      <x:c r="J25" s="61" t="s">
        <x:v>33</x:v>
      </x:c>
      <x:c r="K25" s="62">
        <x:f>SUM('1:5'!$K$23)</x:f>
        <x:v>424480</x:v>
      </x:c>
    </x:row>
    <x:row r="26" spans="1:11" ht="34.149999999999999" customHeight="1">
      <x:c r="A26" s="340" t="s">
        <x:v>142</x:v>
      </x:c>
      <x:c r="B26" s="293"/>
      <x:c r="C26" s="292"/>
      <x:c r="D26" s="293"/>
      <x:c r="E26" s="310"/>
      <x:c r="F26" s="353"/>
      <x:c r="G26" s="311"/>
      <x:c r="H26" s="107" t="s">
        <x:v>128</x:v>
      </x:c>
      <x:c r="I26" s="110">
        <x:f>I25/$E$25</x:f>
        <x:v>0.11401641146246069</x:v>
      </x:c>
      <x:c r="J26" s="64" t="s">
        <x:v>128</x:v>
      </x:c>
      <x:c r="K26" s="65">
        <x:f>K25/$E$25</x:f>
        <x:v>0.021701986247092207</x:v>
      </x:c>
    </x:row>
    <x:row r="27" spans="1:13" ht="30.949999999999999" customHeight="1">
      <x:c r="A27" s="305" t="s">
        <x:v>141</x:v>
      </x:c>
      <x:c r="B27" s="54" t="s">
        <x:v>44</x:v>
      </x:c>
      <x:c r="C27" s="313">
        <x:f>4000000/30</x:f>
        <x:v>133333.33333333334</x:v>
      </x:c>
      <x:c r="D27" s="314"/>
      <x:c r="E27" s="55" t="s">
        <x:v>147</x:v>
      </x:c>
      <x:c r="F27" s="310">
        <x:f>13000*5</x:f>
        <x:v>65000</x:v>
      </x:c>
      <x:c r="G27" s="311"/>
      <x:c r="H27" s="111" t="s">
        <x:v>118</x:v>
      </x:c>
      <x:c r="I27" s="112">
        <x:f>SUM(C27:D34,F27:G32)</x:f>
        <x:v>770983.33333333337</x:v>
      </x:c>
      <x:c r="M27" s="66"/>
    </x:row>
    <x:row r="28" spans="1:13" ht="30.949999999999999" customHeight="1">
      <x:c r="A28" s="306"/>
      <x:c r="B28" s="54" t="s">
        <x:v>23</x:v>
      </x:c>
      <x:c r="C28" s="313">
        <x:f>3800000/30</x:f>
        <x:v>126666.66666666667</x:v>
      </x:c>
      <x:c r="D28" s="314"/>
      <x:c r="E28" s="55" t="s">
        <x:v>149</x:v>
      </x:c>
      <x:c r="F28" s="313">
        <x:f>1500000/30</x:f>
        <x:v>50000</x:v>
      </x:c>
      <x:c r="G28" s="314"/>
      <x:c r="H28" s="111" t="s">
        <x:v>8</x:v>
      </x:c>
      <x:c r="I28" s="113">
        <x:f>I27/$A$25</x:f>
        <x:v>0.16582069756604653</x:v>
      </x:c>
      <x:c r="M28" s="66"/>
    </x:row>
    <x:row r="29" spans="1:13" ht="30.949999999999999" customHeight="1">
      <x:c r="A29" s="306"/>
      <x:c r="B29" s="54" t="s">
        <x:v>47</x:v>
      </x:c>
      <x:c r="C29" s="313">
        <x:f>3200000/30</x:f>
        <x:v>106666.66666666667</x:v>
      </x:c>
      <x:c r="D29" s="314"/>
      <x:c r="E29" s="54" t="s">
        <x:v>57</x:v>
      </x:c>
      <x:c r="F29" s="310">
        <x:v>52650</x:v>
      </x:c>
      <x:c r="G29" s="311"/>
      <x:c r="H29" s="111" t="s">
        <x:v>33</x:v>
      </x:c>
      <x:c r="I29" s="112">
        <x:f>SUM('1:5'!$I$27)</x:f>
        <x:v>3879916.666666667</x:v>
      </x:c>
      <x:c r="M29" s="66"/>
    </x:row>
    <x:row r="30" spans="1:13" ht="30.949999999999999" customHeight="1">
      <x:c r="A30" s="306"/>
      <x:c r="B30" s="54"/>
      <x:c r="C30" s="355"/>
      <x:c r="D30" s="356"/>
      <x:c r="E30" s="55"/>
      <x:c r="F30" s="310"/>
      <x:c r="G30" s="311"/>
      <x:c r="H30" s="111" t="s">
        <x:v>128</x:v>
      </x:c>
      <x:c r="I30" s="113">
        <x:f>I29/$I$27</x:f>
        <x:v>5.0324261224842735</x:v>
      </x:c>
      <x:c r="M30" s="66"/>
    </x:row>
    <x:row r="31" spans="1:7" customHeight="1">
      <x:c r="A31" s="306"/>
      <x:c r="B31" s="54" t="s">
        <x:v>41</x:v>
      </x:c>
      <x:c r="C31" s="313">
        <x:f>3500000/30</x:f>
        <x:v>116666.66666666667</x:v>
      </x:c>
      <x:c r="D31" s="314"/>
      <x:c r="E31" s="55" t="s">
        <x:v>4</x:v>
      </x:c>
      <x:c r="F31" s="310">
        <x:v>120000</x:v>
      </x:c>
      <x:c r="G31" s="311"/>
    </x:row>
    <x:row r="32" spans="1:7" customHeight="1">
      <x:c r="A32" s="306"/>
      <x:c r="B32" s="54"/>
      <x:c r="C32" s="308"/>
      <x:c r="D32" s="309"/>
      <x:c r="E32" s="55" t="s">
        <x:v>138</x:v>
      </x:c>
      <x:c r="F32" s="310"/>
      <x:c r="G32" s="311"/>
    </x:row>
    <x:row r="33" spans="1:4" customHeight="1">
      <x:c r="A33" s="306"/>
      <x:c r="B33" s="54" t="s">
        <x:v>21</x:v>
      </x:c>
      <x:c r="C33" s="308"/>
      <x:c r="D33" s="309"/>
    </x:row>
    <x:row r="34" spans="1:4" customHeight="1">
      <x:c r="A34" s="307"/>
      <x:c r="B34" s="54"/>
      <x:c r="C34" s="310"/>
      <x:c r="D34" s="311"/>
    </x:row>
  </x:sheetData>
  <x:mergeCells count="74">
    <x:mergeCell ref="F32:G32"/>
    <x:mergeCell ref="C8:D9"/>
    <x:mergeCell ref="E8:F9"/>
    <x:mergeCell ref="G8:G9"/>
    <x:mergeCell ref="E25:G25"/>
    <x:mergeCell ref="C24:D24"/>
    <x:mergeCell ref="E24:G24"/>
    <x:mergeCell ref="C23:G23"/>
    <x:mergeCell ref="F30:G30"/>
    <x:mergeCell ref="F31:G31"/>
    <x:mergeCell ref="F29:G29"/>
    <x:mergeCell ref="F27:G27"/>
    <x:mergeCell ref="F28:G28"/>
    <x:mergeCell ref="J2:K2"/>
    <x:mergeCell ref="F17:G17"/>
    <x:mergeCell ref="F12:G12"/>
    <x:mergeCell ref="F13:G13"/>
    <x:mergeCell ref="F14:G14"/>
    <x:mergeCell ref="F15:G15"/>
    <x:mergeCell ref="F16:G16"/>
    <x:mergeCell ref="A2:B3"/>
    <x:mergeCell ref="C2:D3"/>
    <x:mergeCell ref="E2:F3"/>
    <x:mergeCell ref="G2:G3"/>
    <x:mergeCell ref="H2:I2"/>
    <x:mergeCell ref="A10:B10"/>
    <x:mergeCell ref="C10:D10"/>
    <x:mergeCell ref="E10:F10"/>
    <x:mergeCell ref="A11:B11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A22:B22"/>
    <x:mergeCell ref="C22:G22"/>
    <x:mergeCell ref="B12:B13"/>
    <x:mergeCell ref="B14:B15"/>
    <x:mergeCell ref="B16:B17"/>
    <x:mergeCell ref="B18:B19"/>
    <x:mergeCell ref="D20:E20"/>
    <x:mergeCell ref="F20:G20"/>
    <x:mergeCell ref="D21:E21"/>
    <x:mergeCell ref="F21:G21"/>
    <x:mergeCell ref="F18:G18"/>
    <x:mergeCell ref="F19:G19"/>
    <x:mergeCell ref="N23:O23"/>
    <x:mergeCell ref="A26:B26"/>
    <x:mergeCell ref="C26:D26"/>
    <x:mergeCell ref="E26:G26"/>
    <x:mergeCell ref="A25:B25"/>
    <x:mergeCell ref="C25:D25"/>
    <x:mergeCell ref="A24:B24"/>
    <x:mergeCell ref="A27:A34"/>
    <x:mergeCell ref="C32:D32"/>
    <x:mergeCell ref="C33:D33"/>
    <x:mergeCell ref="C34:D34"/>
    <x:mergeCell ref="A23:B23"/>
    <x:mergeCell ref="C31:D31"/>
    <x:mergeCell ref="C30:D30"/>
    <x:mergeCell ref="C27:D27"/>
    <x:mergeCell ref="C28:D28"/>
    <x:mergeCell ref="C29:D29"/>
    <x:mergeCell ref="D14:E15"/>
    <x:mergeCell ref="D12:E13"/>
    <x:mergeCell ref="D18:E19"/>
    <x:mergeCell ref="D16:E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O34"/>
  <x:sheetViews>
    <x:sheetView topLeftCell="A16" zoomScale="85" zoomScaleNormal="85" zoomScaleSheetLayoutView="75" workbookViewId="0">
      <x:selection activeCell="J34" activeCellId="0" sqref="J34:J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152</x:v>
      </x:c>
      <x:c r="F1" s="68">
        <x:v>6</x:v>
      </x:c>
      <x:c r="G1" s="68" t="s">
        <x:v>18</x:v>
      </x:c>
      <x:c r="H1" s="52" t="s">
        <x:v>123</x:v>
      </x:c>
      <x:c r="I1" s="52">
        <x:f>F1-K1</x:f>
        <x:v>6</x:v>
      </x:c>
      <x:c r="J1" s="52" t="s">
        <x:v>98</x:v>
      </x:c>
      <x:c r="K1" s="52"/>
    </x:row>
    <x:row r="2" spans="1:11" ht="20.100000000000001" customHeight="1">
      <x:c r="A2" s="271" t="s">
        <x:v>9</x:v>
      </x:c>
      <x:c r="B2" s="272"/>
      <x:c r="C2" s="275">
        <x:f>SUM(C4:D7)</x:f>
        <x:v>4226000</x:v>
      </x:c>
      <x:c r="D2" s="275"/>
      <x:c r="E2" s="278" t="s">
        <x:v>40</x:v>
      </x:c>
      <x:c r="F2" s="279"/>
      <x:c r="G2" s="267">
        <x:v>138900</x:v>
      </x:c>
      <x:c r="H2" s="265" t="s">
        <x:v>6</x:v>
      </x:c>
      <x:c r="I2" s="266"/>
      <x:c r="J2" s="263" t="s">
        <x:v>74</x:v>
      </x:c>
      <x:c r="K2" s="264"/>
    </x:row>
    <x:row r="3" spans="1:11" ht="20.100000000000001" customHeight="1">
      <x:c r="A3" s="273"/>
      <x:c r="B3" s="274"/>
      <x:c r="C3" s="276"/>
      <x:c r="D3" s="276"/>
      <x:c r="E3" s="280"/>
      <x:c r="F3" s="281"/>
      <x:c r="G3" s="268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9" t="s">
        <x:v>22</x:v>
      </x:c>
      <x:c r="B4" s="270"/>
      <x:c r="C4" s="262">
        <x:v>3836000</x:v>
      </x:c>
      <x:c r="D4" s="262"/>
      <x:c r="E4" s="277" t="s">
        <x:v>146</x:v>
      </x:c>
      <x:c r="F4" s="277"/>
      <x:c r="G4" s="133">
        <x:f>INT(C4*0.0275)</x:f>
        <x:v>105490</x:v>
      </x:c>
      <x:c r="H4" s="54" t="s">
        <x:v>20</x:v>
      </x:c>
      <x:c r="I4" s="124">
        <x:v>221000</x:v>
      </x:c>
      <x:c r="J4" s="80" t="s">
        <x:v>36</x:v>
      </x:c>
      <x:c r="K4" s="58"/>
    </x:row>
    <x:row r="5" spans="1:11" ht="30.949999999999999" customHeight="1">
      <x:c r="A5" s="269" t="s">
        <x:v>61</x:v>
      </x:c>
      <x:c r="B5" s="270"/>
      <x:c r="C5" s="262">
        <x:v>390000</x:v>
      </x:c>
      <x:c r="D5" s="262"/>
      <x:c r="E5" s="261" t="s">
        <x:v>70</x:v>
      </x:c>
      <x:c r="F5" s="261"/>
      <x:c r="G5" s="133">
        <x:f>INT(C5*0.01)</x:f>
        <x:v>3900</x:v>
      </x:c>
      <x:c r="H5" s="54" t="s">
        <x:v>6</x:v>
      </x:c>
      <x:c r="I5" s="124"/>
      <x:c r="J5" s="81"/>
      <x:c r="K5" s="58"/>
    </x:row>
    <x:row r="6" spans="1:11" ht="21.949999999999999" customHeight="1">
      <x:c r="A6" s="256" t="s">
        <x:v>84</x:v>
      </x:c>
      <x:c r="B6" s="257"/>
      <x:c r="C6" s="301"/>
      <x:c r="D6" s="302"/>
      <x:c r="E6" s="288" t="s">
        <x:v>131</x:v>
      </x:c>
      <x:c r="F6" s="289"/>
      <x:c r="G6" s="282">
        <x:v>442000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8"/>
      <x:c r="B7" s="259"/>
      <x:c r="C7" s="303"/>
      <x:c r="D7" s="304"/>
      <x:c r="E7" s="280"/>
      <x:c r="F7" s="281"/>
      <x:c r="G7" s="268"/>
      <x:c r="H7" s="54" t="s">
        <x:v>24</x:v>
      </x:c>
      <x:c r="I7" s="124"/>
      <x:c r="J7" s="81" t="s">
        <x:v>116</x:v>
      </x:c>
      <x:c r="K7" s="58"/>
    </x:row>
    <x:row r="8" spans="1:11" ht="21.949999999999999" customHeight="1">
      <x:c r="A8" s="260" t="s">
        <x:v>134</x:v>
      </x:c>
      <x:c r="B8" s="261"/>
      <x:c r="C8" s="262">
        <x:v>86900</x:v>
      </x:c>
      <x:c r="D8" s="262"/>
      <x:c r="E8" s="288" t="s">
        <x:v>110</x:v>
      </x:c>
      <x:c r="F8" s="289"/>
      <x:c r="G8" s="294">
        <x:f>C5+G2-G6-C22</x:f>
        <x:v>86900</x:v>
      </x:c>
      <x:c r="H8" s="54" t="s">
        <x:v>45</x:v>
      </x:c>
      <x:c r="I8" s="124"/>
      <x:c r="J8" s="81"/>
      <x:c r="K8" s="58"/>
    </x:row>
    <x:row r="9" spans="1:11" ht="21.949999999999999" customHeight="1">
      <x:c r="A9" s="260"/>
      <x:c r="B9" s="261"/>
      <x:c r="C9" s="262"/>
      <x:c r="D9" s="262"/>
      <x:c r="E9" s="280"/>
      <x:c r="F9" s="281"/>
      <x:c r="G9" s="295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143</x:v>
      </x:c>
      <x:c r="B10" s="261"/>
      <x:c r="C10" s="262">
        <x:v>142000</x:v>
      </x:c>
      <x:c r="D10" s="262"/>
      <x:c r="E10" s="261" t="s">
        <x:v>87</x:v>
      </x:c>
      <x:c r="F10" s="261"/>
      <x:c r="G10" s="55"/>
      <x:c r="H10" s="54"/>
      <x:c r="I10" s="124"/>
      <x:c r="J10" s="54" t="s">
        <x:v>53</x:v>
      </x:c>
      <x:c r="K10" s="58"/>
    </x:row>
    <x:row r="11" spans="1:11" ht="33" customHeight="1">
      <x:c r="A11" s="260" t="s">
        <x:v>103</x:v>
      </x:c>
      <x:c r="B11" s="261"/>
      <x:c r="C11" s="300"/>
      <x:c r="D11" s="300"/>
      <x:c r="E11" s="300"/>
      <x:c r="F11" s="300"/>
      <x:c r="G11" s="300"/>
      <x:c r="H11" s="54" t="s">
        <x:v>58</x:v>
      </x:c>
      <x:c r="I11" s="58"/>
      <x:c r="J11" s="54" t="s">
        <x:v>82</x:v>
      </x:c>
      <x:c r="K11" s="151"/>
    </x:row>
    <x:row r="12" spans="1:13" ht="21.949999999999999" customHeight="1">
      <x:c r="A12" s="59" t="s">
        <x:v>48</x:v>
      </x:c>
      <x:c r="B12" s="298" t="s">
        <x:v>42</x:v>
      </x:c>
      <x:c r="C12" s="79">
        <x:v>4</x:v>
      </x:c>
      <x:c r="D12" s="288" t="s">
        <x:v>133</x:v>
      </x:c>
      <x:c r="E12" s="289"/>
      <x:c r="F12" s="292">
        <x:v>4</x:v>
      </x:c>
      <x:c r="G12" s="293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9"/>
      <x:c r="C13" s="134">
        <x:f>SUM('1:6'!$C$12)</x:f>
        <x:v>45</x:v>
      </x:c>
      <x:c r="D13" s="280"/>
      <x:c r="E13" s="281"/>
      <x:c r="F13" s="290">
        <x:f>SUM('1:6'!$F$12)</x:f>
        <x:v>26</x:v>
      </x:c>
      <x:c r="G13" s="291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8" t="s">
        <x:v>64</x:v>
      </x:c>
      <x:c r="C14" s="79">
        <x:v>31</x:v>
      </x:c>
      <x:c r="D14" s="288" t="s">
        <x:v>95</x:v>
      </x:c>
      <x:c r="E14" s="289"/>
      <x:c r="F14" s="292">
        <x:v>23</x:v>
      </x:c>
      <x:c r="G14" s="293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9"/>
      <x:c r="C15" s="134">
        <x:f>SUM('1:6'!$C$14)</x:f>
        <x:v>106</x:v>
      </x:c>
      <x:c r="D15" s="280"/>
      <x:c r="E15" s="281"/>
      <x:c r="F15" s="290">
        <x:f>SUM('1:6'!$F$14)</x:f>
        <x:v>60</x:v>
      </x:c>
      <x:c r="G15" s="291"/>
      <x:c r="H15" s="54" t="s">
        <x:v>106</x:v>
      </x:c>
      <x:c r="I15" s="58">
        <x:v>283150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8" t="s">
        <x:v>51</x:v>
      </x:c>
      <x:c r="C16" s="79">
        <x:v>5</x:v>
      </x:c>
      <x:c r="D16" s="288" t="s">
        <x:v>117</x:v>
      </x:c>
      <x:c r="E16" s="289"/>
      <x:c r="F16" s="286">
        <x:v>22</x:v>
      </x:c>
      <x:c r="G16" s="286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9"/>
      <x:c r="C17" s="134">
        <x:f>SUM('1:6'!$C$16)</x:f>
        <x:v>18</x:v>
      </x:c>
      <x:c r="D17" s="280"/>
      <x:c r="E17" s="281"/>
      <x:c r="F17" s="287">
        <x:f>SUM('1:6'!$F$16)</x:f>
        <x:v>70</x:v>
      </x:c>
      <x:c r="G17" s="287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8" t="s">
        <x:v>91</x:v>
      </x:c>
      <x:c r="C18" s="79">
        <x:v>8</x:v>
      </x:c>
      <x:c r="D18" s="288" t="s">
        <x:v>130</x:v>
      </x:c>
      <x:c r="E18" s="289"/>
      <x:c r="F18" s="296">
        <x:v>3</x:v>
      </x:c>
      <x:c r="G18" s="297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9"/>
      <x:c r="C19" s="134">
        <x:f>SUM('1:6'!$C$18)</x:f>
        <x:v>55</x:v>
      </x:c>
      <x:c r="D19" s="280"/>
      <x:c r="E19" s="281"/>
      <x:c r="F19" s="287">
        <x:f>SUM('1:6'!$F$18)</x:f>
        <x:v>13</x:v>
      </x:c>
      <x:c r="G19" s="287"/>
      <x:c r="H19" s="58"/>
      <x:c r="I19" s="58"/>
      <x:c r="J19" s="54"/>
      <x:c r="K19" s="58"/>
      <x:c r="L19" s="60"/>
      <x:c r="M19" s="11"/>
    </x:row>
    <x:row r="20" spans="2:13" ht="21.949999999999999" customHeight="1">
      <x:c r="B20" s="52" t="s">
        <x:v>151</x:v>
      </x:c>
      <x:c r="D20" s="261" t="s">
        <x:v>113</x:v>
      </x:c>
      <x:c r="E20" s="261"/>
      <x:c r="F20" s="286">
        <x:v>55</x:v>
      </x:c>
      <x:c r="G20" s="286"/>
      <x:c r="H20" s="58"/>
      <x:c r="J20" s="54"/>
      <x:c r="K20" s="58"/>
      <x:c r="L20" s="60"/>
      <x:c r="M20" s="11"/>
    </x:row>
    <x:row r="21" spans="4:13" ht="21.949999999999999" customHeight="1">
      <x:c r="D21" s="261" t="s">
        <x:v>114</x:v>
      </x:c>
      <x:c r="E21" s="261"/>
      <x:c r="F21" s="287">
        <x:f>SUM('1:6'!$F$20)</x:f>
        <x:v>354</x:v>
      </x:c>
      <x:c r="G21" s="287"/>
      <x:c r="H21" s="58"/>
      <x:c r="J21" s="54"/>
      <x:c r="K21" s="58"/>
      <x:c r="L21" s="60"/>
      <x:c r="M21" s="11"/>
    </x:row>
    <x:row r="22" spans="1:13" ht="32.100000000000001" customHeight="1">
      <x:c r="A22" s="260" t="s">
        <x:v>83</x:v>
      </x:c>
      <x:c r="B22" s="261"/>
      <x:c r="C22" s="285"/>
      <x:c r="D22" s="285"/>
      <x:c r="E22" s="285"/>
      <x:c r="F22" s="285"/>
      <x:c r="G22" s="285"/>
      <x:c r="H22" s="54"/>
      <x:c r="J22" s="54"/>
      <x:c r="K22" s="58"/>
      <x:c r="L22" s="60"/>
      <x:c r="M22" s="11"/>
    </x:row>
    <x:row r="23" spans="1:15" ht="34.149999999999999" customHeight="1">
      <x:c r="A23" s="260" t="s">
        <x:v>124</x:v>
      </x:c>
      <x:c r="B23" s="261"/>
      <x:c r="C23" s="316"/>
      <x:c r="D23" s="317"/>
      <x:c r="E23" s="317"/>
      <x:c r="F23" s="317"/>
      <x:c r="G23" s="317"/>
      <x:c r="H23" s="107" t="s">
        <x:v>94</x:v>
      </x:c>
      <x:c r="I23" s="108">
        <x:f>SUM(I4:I22)</x:f>
        <x:v>504150</x:v>
      </x:c>
      <x:c r="J23" s="61" t="s">
        <x:v>119</x:v>
      </x:c>
      <x:c r="K23" s="62">
        <x:f>SUM(K4:K22)</x:f>
        <x:v>0</x:v>
      </x:c>
      <x:c r="M23" s="88" t="s">
        <x:v>93</x:v>
      </x:c>
      <x:c r="N23" s="283">
        <x:f>C5+C6</x:f>
        <x:v>390000</x:v>
      </x:c>
      <x:c r="O23" s="284"/>
    </x:row>
    <x:row r="24" spans="1:11" ht="34.149999999999999" customHeight="1">
      <x:c r="A24" s="260" t="s">
        <x:v>8</x:v>
      </x:c>
      <x:c r="B24" s="261"/>
      <x:c r="C24" s="261" t="s">
        <x:v>86</x:v>
      </x:c>
      <x:c r="D24" s="261"/>
      <x:c r="E24" s="261" t="s">
        <x:v>101</x:v>
      </x:c>
      <x:c r="F24" s="261"/>
      <x:c r="G24" s="261"/>
      <x:c r="H24" s="107" t="s">
        <x:v>8</x:v>
      </x:c>
      <x:c r="I24" s="109">
        <x:f>I23/A25</x:f>
        <x:v>0.11929720776147658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12">
        <x:f>C2</x:f>
        <x:v>4226000</x:v>
      </x:c>
      <x:c r="B25" s="276"/>
      <x:c r="C25" s="276">
        <x:f>E25/I1</x:f>
        <x:v>3964250</x:v>
      </x:c>
      <x:c r="D25" s="276"/>
      <x:c r="E25" s="276">
        <x:f>SUM('1:6'!$A$25)</x:f>
        <x:v>23785500</x:v>
      </x:c>
      <x:c r="F25" s="276"/>
      <x:c r="G25" s="276"/>
      <x:c r="H25" s="107" t="s">
        <x:v>33</x:v>
      </x:c>
      <x:c r="I25" s="108">
        <x:f>SUM('1'!$I$23)</x:f>
        <x:v>2230104</x:v>
      </x:c>
      <x:c r="J25" s="61" t="s">
        <x:v>33</x:v>
      </x:c>
      <x:c r="K25" s="62">
        <x:f>SUM('1:6'!$K$23)</x:f>
        <x:v>424480</x:v>
      </x:c>
    </x:row>
    <x:row r="26" spans="1:11" ht="34.149999999999999" customHeight="1">
      <x:c r="A26" s="260" t="s">
        <x:v>142</x:v>
      </x:c>
      <x:c r="B26" s="261"/>
      <x:c r="C26" s="261"/>
      <x:c r="D26" s="261"/>
      <x:c r="E26" s="262"/>
      <x:c r="F26" s="262"/>
      <x:c r="G26" s="262"/>
      <x:c r="H26" s="107" t="s">
        <x:v>128</x:v>
      </x:c>
      <x:c r="I26" s="110">
        <x:f>I25/$E$25</x:f>
        <x:v>0.093758970801538749</x:v>
      </x:c>
      <x:c r="J26" s="64" t="s">
        <x:v>128</x:v>
      </x:c>
      <x:c r="K26" s="65">
        <x:f>K25/$E$25</x:f>
        <x:v>0.017846166782283325</x:v>
      </x:c>
    </x:row>
    <x:row r="27" spans="1:13" ht="30.949999999999999" customHeight="1">
      <x:c r="A27" s="318" t="s">
        <x:v>141</x:v>
      </x:c>
      <x:c r="B27" s="54" t="s">
        <x:v>44</x:v>
      </x:c>
      <x:c r="C27" s="276">
        <x:f>4000000/30</x:f>
        <x:v>133333.33333333334</x:v>
      </x:c>
      <x:c r="D27" s="276"/>
      <x:c r="E27" s="55" t="s">
        <x:v>147</x:v>
      </x:c>
      <x:c r="F27" s="262"/>
      <x:c r="G27" s="262"/>
      <x:c r="H27" s="111" t="s">
        <x:v>118</x:v>
      </x:c>
      <x:c r="I27" s="114">
        <x:f>SUM(C27:D34,F27:G32)</x:f>
        <x:v>805333.33333333337</x:v>
      </x:c>
      <x:c r="M27" s="66"/>
    </x:row>
    <x:row r="28" spans="1:13" ht="30.949999999999999" customHeight="1">
      <x:c r="A28" s="319"/>
      <x:c r="B28" s="54" t="s">
        <x:v>23</x:v>
      </x:c>
      <x:c r="C28" s="313">
        <x:f>3800000/30</x:f>
        <x:v>126666.66666666667</x:v>
      </x:c>
      <x:c r="D28" s="314"/>
      <x:c r="E28" s="55" t="s">
        <x:v>149</x:v>
      </x:c>
      <x:c r="F28" s="276">
        <x:f>1500000/30</x:f>
        <x:v>50000</x:v>
      </x:c>
      <x:c r="G28" s="276"/>
      <x:c r="H28" s="111" t="s">
        <x:v>8</x:v>
      </x:c>
      <x:c r="I28" s="113">
        <x:f>I27/$A$25</x:f>
        <x:v>0.19056633538413001</x:v>
      </x:c>
      <x:c r="M28" s="66"/>
    </x:row>
    <x:row r="29" spans="1:13" ht="30.949999999999999" customHeight="1">
      <x:c r="A29" s="319"/>
      <x:c r="B29" s="54" t="s">
        <x:v>47</x:v>
      </x:c>
      <x:c r="C29" s="276">
        <x:f>3200000/30</x:f>
        <x:v>106666.66666666667</x:v>
      </x:c>
      <x:c r="D29" s="276"/>
      <x:c r="E29" s="54" t="s">
        <x:v>57</x:v>
      </x:c>
      <x:c r="F29" s="262"/>
      <x:c r="G29" s="262"/>
      <x:c r="H29" s="111" t="s">
        <x:v>33</x:v>
      </x:c>
      <x:c r="I29" s="112">
        <x:f>SUM('1:6'!$I$27)</x:f>
        <x:v>4685250</x:v>
      </x:c>
      <x:c r="M29" s="66"/>
    </x:row>
    <x:row r="30" spans="1:13" ht="30.949999999999999" customHeight="1">
      <x:c r="A30" s="319"/>
      <x:c r="B30" s="54"/>
      <x:c r="C30" s="315"/>
      <x:c r="D30" s="315"/>
      <x:c r="E30" s="55"/>
      <x:c r="F30" s="310"/>
      <x:c r="G30" s="311"/>
      <x:c r="H30" s="111" t="s">
        <x:v>128</x:v>
      </x:c>
      <x:c r="I30" s="113">
        <x:f>I29/$I$27</x:f>
        <x:v>5.8177773178807941</x:v>
      </x:c>
      <x:c r="M30" s="66"/>
    </x:row>
    <x:row r="31" spans="1:7" customHeight="1">
      <x:c r="A31" s="319"/>
      <x:c r="B31" s="54" t="s">
        <x:v>41</x:v>
      </x:c>
      <x:c r="C31" s="313">
        <x:f>3500000/30</x:f>
        <x:v>116666.66666666667</x:v>
      </x:c>
      <x:c r="D31" s="314"/>
      <x:c r="E31" s="55" t="s">
        <x:v>4</x:v>
      </x:c>
      <x:c r="F31" s="310">
        <x:v>130000</x:v>
      </x:c>
      <x:c r="G31" s="311"/>
    </x:row>
    <x:row r="32" spans="1:7" customHeight="1">
      <x:c r="A32" s="319"/>
      <x:c r="B32" s="54"/>
      <x:c r="C32" s="308"/>
      <x:c r="D32" s="309"/>
      <x:c r="E32" s="55" t="s">
        <x:v>138</x:v>
      </x:c>
      <x:c r="F32" s="310">
        <x:v>142000</x:v>
      </x:c>
      <x:c r="G32" s="311"/>
    </x:row>
    <x:row r="33" spans="1:4" customHeight="1">
      <x:c r="A33" s="319"/>
      <x:c r="B33" s="54" t="s">
        <x:v>21</x:v>
      </x:c>
      <x:c r="C33" s="308"/>
      <x:c r="D33" s="309"/>
    </x:row>
    <x:row r="34" spans="1:4" customHeight="1">
      <x:c r="A34" s="320"/>
      <x:c r="B34" s="54"/>
      <x:c r="C34" s="310"/>
      <x:c r="D34" s="311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O34"/>
  <x:sheetViews>
    <x:sheetView topLeftCell="A7" zoomScale="85" zoomScaleNormal="85" zoomScaleSheetLayoutView="75" workbookViewId="0">
      <x:selection activeCell="J34" activeCellId="0" sqref="J34:J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7.7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152</x:v>
      </x:c>
      <x:c r="F1" s="68">
        <x:v>7</x:v>
      </x:c>
      <x:c r="G1" s="68" t="s">
        <x:v>19</x:v>
      </x:c>
      <x:c r="H1" s="52" t="s">
        <x:v>123</x:v>
      </x:c>
      <x:c r="I1" s="52">
        <x:f>F1-K1</x:f>
        <x:v>7</x:v>
      </x:c>
      <x:c r="J1" s="52" t="s">
        <x:v>98</x:v>
      </x:c>
      <x:c r="K1" s="52"/>
    </x:row>
    <x:row r="2" spans="1:11" ht="20.100000000000001" customHeight="1">
      <x:c r="A2" s="271" t="s">
        <x:v>9</x:v>
      </x:c>
      <x:c r="B2" s="272"/>
      <x:c r="C2" s="275">
        <x:f>SUM(C4:D7)</x:f>
        <x:v>5719000</x:v>
      </x:c>
      <x:c r="D2" s="275"/>
      <x:c r="E2" s="278" t="s">
        <x:v>40</x:v>
      </x:c>
      <x:c r="F2" s="279"/>
      <x:c r="G2" s="267">
        <x:v>86900</x:v>
      </x:c>
      <x:c r="H2" s="265" t="s">
        <x:v>6</x:v>
      </x:c>
      <x:c r="I2" s="266"/>
      <x:c r="J2" s="263" t="s">
        <x:v>74</x:v>
      </x:c>
      <x:c r="K2" s="264"/>
    </x:row>
    <x:row r="3" spans="1:11" ht="20.100000000000001" customHeight="1">
      <x:c r="A3" s="273"/>
      <x:c r="B3" s="274"/>
      <x:c r="C3" s="276"/>
      <x:c r="D3" s="276"/>
      <x:c r="E3" s="280"/>
      <x:c r="F3" s="281"/>
      <x:c r="G3" s="268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9" t="s">
        <x:v>22</x:v>
      </x:c>
      <x:c r="B4" s="270"/>
      <x:c r="C4" s="262">
        <x:v>4733000</x:v>
      </x:c>
      <x:c r="D4" s="262"/>
      <x:c r="E4" s="277" t="s">
        <x:v>146</x:v>
      </x:c>
      <x:c r="F4" s="277"/>
      <x:c r="G4" s="133">
        <x:f>INT(C4*0.0275)</x:f>
        <x:v>130157</x:v>
      </x:c>
      <x:c r="H4" s="54" t="s">
        <x:v>20</x:v>
      </x:c>
      <x:c r="I4" s="124"/>
      <x:c r="J4" s="80" t="s">
        <x:v>36</x:v>
      </x:c>
      <x:c r="K4" s="58"/>
    </x:row>
    <x:row r="5" spans="1:11" ht="30.949999999999999" customHeight="1">
      <x:c r="A5" s="269" t="s">
        <x:v>61</x:v>
      </x:c>
      <x:c r="B5" s="270"/>
      <x:c r="C5" s="262">
        <x:v>986000</x:v>
      </x:c>
      <x:c r="D5" s="262"/>
      <x:c r="E5" s="261" t="s">
        <x:v>70</x:v>
      </x:c>
      <x:c r="F5" s="261"/>
      <x:c r="G5" s="133">
        <x:f>INT(C5*0.01)</x:f>
        <x:v>9860</x:v>
      </x:c>
      <x:c r="H5" s="54" t="s">
        <x:v>6</x:v>
      </x:c>
      <x:c r="I5" s="124"/>
      <x:c r="J5" s="81"/>
      <x:c r="K5" s="58"/>
    </x:row>
    <x:row r="6" spans="1:11" ht="21.949999999999999" customHeight="1">
      <x:c r="A6" s="256" t="s">
        <x:v>84</x:v>
      </x:c>
      <x:c r="B6" s="257"/>
      <x:c r="C6" s="301"/>
      <x:c r="D6" s="302"/>
      <x:c r="E6" s="288" t="s">
        <x:v>131</x:v>
      </x:c>
      <x:c r="F6" s="289"/>
      <x:c r="G6" s="282">
        <x:v>1000000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8"/>
      <x:c r="B7" s="259"/>
      <x:c r="C7" s="303"/>
      <x:c r="D7" s="304"/>
      <x:c r="E7" s="280"/>
      <x:c r="F7" s="281"/>
      <x:c r="G7" s="268"/>
      <x:c r="H7" s="54" t="s">
        <x:v>24</x:v>
      </x:c>
      <x:c r="I7" s="124"/>
      <x:c r="J7" s="81" t="s">
        <x:v>116</x:v>
      </x:c>
      <x:c r="K7" s="58"/>
    </x:row>
    <x:row r="8" spans="1:11" ht="21.949999999999999" customHeight="1">
      <x:c r="A8" s="260" t="s">
        <x:v>134</x:v>
      </x:c>
      <x:c r="B8" s="261"/>
      <x:c r="C8" s="262">
        <x:v>72900</x:v>
      </x:c>
      <x:c r="D8" s="262"/>
      <x:c r="E8" s="288" t="s">
        <x:v>110</x:v>
      </x:c>
      <x:c r="F8" s="289"/>
      <x:c r="G8" s="294">
        <x:f>C5+G2-G6-C22</x:f>
        <x:v>72900</x:v>
      </x:c>
      <x:c r="H8" s="54" t="s">
        <x:v>45</x:v>
      </x:c>
      <x:c r="I8" s="124"/>
      <x:c r="J8" s="81"/>
      <x:c r="K8" s="58"/>
    </x:row>
    <x:row r="9" spans="1:11" ht="21.949999999999999" customHeight="1">
      <x:c r="A9" s="260"/>
      <x:c r="B9" s="261"/>
      <x:c r="C9" s="262"/>
      <x:c r="D9" s="262"/>
      <x:c r="E9" s="280"/>
      <x:c r="F9" s="281"/>
      <x:c r="G9" s="295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143</x:v>
      </x:c>
      <x:c r="B10" s="261"/>
      <x:c r="C10" s="262"/>
      <x:c r="D10" s="262"/>
      <x:c r="E10" s="261" t="s">
        <x:v>87</x:v>
      </x:c>
      <x:c r="F10" s="261"/>
      <x:c r="G10" s="55"/>
      <x:c r="H10" s="54"/>
      <x:c r="I10" s="124"/>
      <x:c r="J10" s="54" t="s">
        <x:v>53</x:v>
      </x:c>
      <x:c r="K10" s="58"/>
    </x:row>
    <x:row r="11" spans="1:11" ht="33" customHeight="1">
      <x:c r="A11" s="260" t="s">
        <x:v>103</x:v>
      </x:c>
      <x:c r="B11" s="261"/>
      <x:c r="C11" s="300"/>
      <x:c r="D11" s="300"/>
      <x:c r="E11" s="300"/>
      <x:c r="F11" s="300"/>
      <x:c r="G11" s="300"/>
      <x:c r="H11" s="54" t="s">
        <x:v>58</x:v>
      </x:c>
      <x:c r="I11" s="58"/>
      <x:c r="J11" s="54" t="s">
        <x:v>82</x:v>
      </x:c>
      <x:c r="K11" s="151"/>
    </x:row>
    <x:row r="12" spans="1:13" ht="21.949999999999999" customHeight="1">
      <x:c r="A12" s="59" t="s">
        <x:v>48</x:v>
      </x:c>
      <x:c r="B12" s="298" t="s">
        <x:v>42</x:v>
      </x:c>
      <x:c r="C12" s="79">
        <x:v>11</x:v>
      </x:c>
      <x:c r="D12" s="288" t="s">
        <x:v>133</x:v>
      </x:c>
      <x:c r="E12" s="289"/>
      <x:c r="F12" s="292">
        <x:v>5</x:v>
      </x:c>
      <x:c r="G12" s="293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9"/>
      <x:c r="C13" s="134">
        <x:f>SUM('1:7'!$C$12)</x:f>
        <x:v>56</x:v>
      </x:c>
      <x:c r="D13" s="280"/>
      <x:c r="E13" s="281"/>
      <x:c r="F13" s="290">
        <x:f>SUM('1:7'!$F$12)</x:f>
        <x:v>31</x:v>
      </x:c>
      <x:c r="G13" s="291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8" t="s">
        <x:v>64</x:v>
      </x:c>
      <x:c r="C14" s="79">
        <x:v>52</x:v>
      </x:c>
      <x:c r="D14" s="288" t="s">
        <x:v>95</x:v>
      </x:c>
      <x:c r="E14" s="289"/>
      <x:c r="F14" s="292">
        <x:v>11</x:v>
      </x:c>
      <x:c r="G14" s="293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9"/>
      <x:c r="C15" s="134">
        <x:f>SUM('1:7'!$C$14)</x:f>
        <x:v>158</x:v>
      </x:c>
      <x:c r="D15" s="280"/>
      <x:c r="E15" s="281"/>
      <x:c r="F15" s="290">
        <x:f>SUM('1:7'!$F$14)</x:f>
        <x:v>71</x:v>
      </x:c>
      <x:c r="G15" s="291"/>
      <x:c r="H15" s="54" t="s">
        <x:v>106</x:v>
      </x:c>
      <x:c r="I15" s="58"/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8" t="s">
        <x:v>51</x:v>
      </x:c>
      <x:c r="C16" s="79">
        <x:v>6</x:v>
      </x:c>
      <x:c r="D16" s="288" t="s">
        <x:v>117</x:v>
      </x:c>
      <x:c r="E16" s="289"/>
      <x:c r="F16" s="286">
        <x:v>11</x:v>
      </x:c>
      <x:c r="G16" s="286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9"/>
      <x:c r="C17" s="134">
        <x:f>SUM('1:7'!$C$16)</x:f>
        <x:v>24</x:v>
      </x:c>
      <x:c r="D17" s="280"/>
      <x:c r="E17" s="281"/>
      <x:c r="F17" s="287">
        <x:f>SUM('1:7'!$F$16)</x:f>
        <x:v>81</x:v>
      </x:c>
      <x:c r="G17" s="287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8" t="s">
        <x:v>91</x:v>
      </x:c>
      <x:c r="C18" s="79">
        <x:v>17</x:v>
      </x:c>
      <x:c r="D18" s="288" t="s">
        <x:v>130</x:v>
      </x:c>
      <x:c r="E18" s="289"/>
      <x:c r="F18" s="296">
        <x:v>9</x:v>
      </x:c>
      <x:c r="G18" s="297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9"/>
      <x:c r="C19" s="134">
        <x:f>SUM('1:7'!$C$18)</x:f>
        <x:v>72</x:v>
      </x:c>
      <x:c r="D19" s="280"/>
      <x:c r="E19" s="281"/>
      <x:c r="F19" s="287">
        <x:f>SUM('1:7'!$F$18)</x:f>
        <x:v>22</x:v>
      </x:c>
      <x:c r="G19" s="287"/>
      <x:c r="H19" s="58"/>
      <x:c r="I19" s="58"/>
      <x:c r="J19" s="54"/>
      <x:c r="K19" s="58"/>
      <x:c r="L19" s="60"/>
      <x:c r="M19" s="11"/>
    </x:row>
    <x:row r="20" spans="2:13" ht="21.949999999999999" customHeight="1">
      <x:c r="B20" s="52" t="s">
        <x:v>151</x:v>
      </x:c>
      <x:c r="D20" s="261" t="s">
        <x:v>113</x:v>
      </x:c>
      <x:c r="E20" s="261"/>
      <x:c r="F20" s="286">
        <x:v>66</x:v>
      </x:c>
      <x:c r="G20" s="286"/>
      <x:c r="H20" s="58"/>
      <x:c r="J20" s="54"/>
      <x:c r="K20" s="58"/>
      <x:c r="L20" s="60"/>
      <x:c r="M20" s="11"/>
    </x:row>
    <x:row r="21" spans="4:13" ht="21.949999999999999" customHeight="1">
      <x:c r="D21" s="261" t="s">
        <x:v>114</x:v>
      </x:c>
      <x:c r="E21" s="261"/>
      <x:c r="F21" s="287">
        <x:f>SUM('1:7'!$F$20)</x:f>
        <x:v>420</x:v>
      </x:c>
      <x:c r="G21" s="287"/>
      <x:c r="H21" s="58"/>
      <x:c r="J21" s="54"/>
      <x:c r="K21" s="58"/>
      <x:c r="L21" s="60"/>
      <x:c r="M21" s="11"/>
    </x:row>
    <x:row r="22" spans="1:13" ht="32.100000000000001" customHeight="1">
      <x:c r="A22" s="260" t="s">
        <x:v>83</x:v>
      </x:c>
      <x:c r="B22" s="261"/>
      <x:c r="C22" s="285"/>
      <x:c r="D22" s="285"/>
      <x:c r="E22" s="285"/>
      <x:c r="F22" s="285"/>
      <x:c r="G22" s="285"/>
      <x:c r="H22" s="54"/>
      <x:c r="J22" s="54"/>
      <x:c r="K22" s="58"/>
      <x:c r="L22" s="60"/>
      <x:c r="M22" s="11"/>
    </x:row>
    <x:row r="23" spans="1:15" ht="34.149999999999999" customHeight="1">
      <x:c r="A23" s="260" t="s">
        <x:v>124</x:v>
      </x:c>
      <x:c r="B23" s="261"/>
      <x:c r="C23" s="316"/>
      <x:c r="D23" s="317"/>
      <x:c r="E23" s="317"/>
      <x:c r="F23" s="317"/>
      <x:c r="G23" s="317"/>
      <x:c r="H23" s="107" t="s">
        <x:v>94</x:v>
      </x:c>
      <x:c r="I23" s="108">
        <x:f>SUM(I4:I22)</x:f>
        <x:v>0</x:v>
      </x:c>
      <x:c r="J23" s="61" t="s">
        <x:v>119</x:v>
      </x:c>
      <x:c r="K23" s="62">
        <x:f>SUM(K4:K22)</x:f>
        <x:v>0</x:v>
      </x:c>
      <x:c r="M23" s="88" t="s">
        <x:v>93</x:v>
      </x:c>
      <x:c r="N23" s="283">
        <x:f>C5+C6</x:f>
        <x:v>986000</x:v>
      </x:c>
      <x:c r="O23" s="284"/>
    </x:row>
    <x:row r="24" spans="1:11" ht="34.149999999999999" customHeight="1">
      <x:c r="A24" s="260" t="s">
        <x:v>8</x:v>
      </x:c>
      <x:c r="B24" s="261"/>
      <x:c r="C24" s="261" t="s">
        <x:v>86</x:v>
      </x:c>
      <x:c r="D24" s="261"/>
      <x:c r="E24" s="261" t="s">
        <x:v>101</x:v>
      </x:c>
      <x:c r="F24" s="261"/>
      <x:c r="G24" s="261"/>
      <x:c r="H24" s="107" t="s">
        <x:v>8</x:v>
      </x:c>
      <x:c r="I24" s="109">
        <x:f>I23/A25</x:f>
        <x:v>0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12">
        <x:f>C2</x:f>
        <x:v>5719000</x:v>
      </x:c>
      <x:c r="B25" s="276"/>
      <x:c r="C25" s="276">
        <x:f>E25/I1</x:f>
        <x:v>4214928.5714285718</x:v>
      </x:c>
      <x:c r="D25" s="276"/>
      <x:c r="E25" s="276">
        <x:f>SUM('1:7'!$A$25)</x:f>
        <x:v>29504500</x:v>
      </x:c>
      <x:c r="F25" s="276"/>
      <x:c r="G25" s="276"/>
      <x:c r="H25" s="107" t="s">
        <x:v>33</x:v>
      </x:c>
      <x:c r="I25" s="108">
        <x:f>SUM('1'!$I$23)</x:f>
        <x:v>2230104</x:v>
      </x:c>
      <x:c r="J25" s="61" t="s">
        <x:v>33</x:v>
      </x:c>
      <x:c r="K25" s="62">
        <x:f>SUM('1:7'!$K$23)</x:f>
        <x:v>424480</x:v>
      </x:c>
    </x:row>
    <x:row r="26" spans="1:11" ht="34.149999999999999" customHeight="1">
      <x:c r="A26" s="260" t="s">
        <x:v>142</x:v>
      </x:c>
      <x:c r="B26" s="261"/>
      <x:c r="C26" s="261"/>
      <x:c r="D26" s="261"/>
      <x:c r="E26" s="262"/>
      <x:c r="F26" s="262"/>
      <x:c r="G26" s="262"/>
      <x:c r="H26" s="107" t="s">
        <x:v>128</x:v>
      </x:c>
      <x:c r="I26" s="110">
        <x:f>I25/$E$25</x:f>
        <x:v>0.075585215814536769</x:v>
      </x:c>
      <x:c r="J26" s="64" t="s">
        <x:v>128</x:v>
      </x:c>
      <x:c r="K26" s="65">
        <x:f>K25/$E$25</x:f>
        <x:v>0.014386957921672966</x:v>
      </x:c>
    </x:row>
    <x:row r="27" spans="1:13" ht="30.949999999999999" customHeight="1">
      <x:c r="A27" s="318" t="s">
        <x:v>141</x:v>
      </x:c>
      <x:c r="B27" s="54" t="s">
        <x:v>44</x:v>
      </x:c>
      <x:c r="C27" s="276">
        <x:f>4000000/30</x:f>
        <x:v>133333.33333333334</x:v>
      </x:c>
      <x:c r="D27" s="276"/>
      <x:c r="E27" s="55" t="s">
        <x:v>147</x:v>
      </x:c>
      <x:c r="F27" s="262"/>
      <x:c r="G27" s="262"/>
      <x:c r="H27" s="111" t="s">
        <x:v>118</x:v>
      </x:c>
      <x:c r="I27" s="112">
        <x:f>SUM(C27:D34,F27:G32)</x:f>
        <x:v>792333.33333333337</x:v>
      </x:c>
      <x:c r="M27" s="66"/>
    </x:row>
    <x:row r="28" spans="1:13" ht="30.949999999999999" customHeight="1">
      <x:c r="A28" s="319"/>
      <x:c r="B28" s="54" t="s">
        <x:v>23</x:v>
      </x:c>
      <x:c r="C28" s="276">
        <x:f>3800000/30</x:f>
        <x:v>126666.66666666667</x:v>
      </x:c>
      <x:c r="D28" s="276"/>
      <x:c r="E28" s="55" t="s">
        <x:v>149</x:v>
      </x:c>
      <x:c r="F28" s="276">
        <x:f>1500000/30</x:f>
        <x:v>50000</x:v>
      </x:c>
      <x:c r="G28" s="276"/>
      <x:c r="H28" s="111" t="s">
        <x:v>8</x:v>
      </x:c>
      <x:c r="I28" s="113">
        <x:f>I27/$A$25</x:f>
        <x:v>0.13854403450486683</x:v>
      </x:c>
      <x:c r="M28" s="66"/>
    </x:row>
    <x:row r="29" spans="1:13" ht="30.949999999999999" customHeight="1">
      <x:c r="A29" s="319"/>
      <x:c r="B29" s="54" t="s">
        <x:v>47</x:v>
      </x:c>
      <x:c r="C29" s="276">
        <x:f>3200000/30</x:f>
        <x:v>106666.66666666667</x:v>
      </x:c>
      <x:c r="D29" s="276"/>
      <x:c r="E29" s="54" t="s">
        <x:v>57</x:v>
      </x:c>
      <x:c r="F29" s="262"/>
      <x:c r="G29" s="262"/>
      <x:c r="H29" s="111" t="s">
        <x:v>33</x:v>
      </x:c>
      <x:c r="I29" s="112">
        <x:f>SUM('1:7'!$I$27)</x:f>
        <x:v>5477583.333333333</x:v>
      </x:c>
      <x:c r="M29" s="66"/>
    </x:row>
    <x:row r="30" spans="1:13" ht="30.949999999999999" customHeight="1">
      <x:c r="A30" s="319"/>
      <x:c r="B30" s="54"/>
      <x:c r="C30" s="315"/>
      <x:c r="D30" s="315"/>
      <x:c r="E30" s="55"/>
      <x:c r="F30" s="310"/>
      <x:c r="G30" s="311"/>
      <x:c r="H30" s="111" t="s">
        <x:v>128</x:v>
      </x:c>
      <x:c r="I30" s="113">
        <x:f>I29/$I$27</x:f>
        <x:v>6.9132309633992417</x:v>
      </x:c>
      <x:c r="M30" s="66"/>
    </x:row>
    <x:row r="31" spans="1:7" customHeight="1">
      <x:c r="A31" s="319"/>
      <x:c r="B31" s="54" t="s">
        <x:v>41</x:v>
      </x:c>
      <x:c r="C31" s="313">
        <x:f>3500000/30</x:f>
        <x:v>116666.66666666667</x:v>
      </x:c>
      <x:c r="D31" s="314"/>
      <x:c r="E31" s="55" t="s">
        <x:v>4</x:v>
      </x:c>
      <x:c r="F31" s="310">
        <x:v>130000</x:v>
      </x:c>
      <x:c r="G31" s="311"/>
    </x:row>
    <x:row r="32" spans="1:7" customHeight="1">
      <x:c r="A32" s="319"/>
      <x:c r="B32" s="54"/>
      <x:c r="C32" s="308"/>
      <x:c r="D32" s="309"/>
      <x:c r="E32" s="55" t="s">
        <x:v>138</x:v>
      </x:c>
      <x:c r="F32" s="310">
        <x:v>77000</x:v>
      </x:c>
      <x:c r="G32" s="311"/>
    </x:row>
    <x:row r="33" spans="1:4" customHeight="1">
      <x:c r="A33" s="319"/>
      <x:c r="B33" s="54" t="s">
        <x:v>21</x:v>
      </x:c>
      <x:c r="C33" s="308">
        <x:v>52000</x:v>
      </x:c>
      <x:c r="D33" s="309"/>
    </x:row>
    <x:row r="34" spans="1:4" customHeight="1">
      <x:c r="A34" s="320"/>
      <x:c r="B34" s="54"/>
      <x:c r="C34" s="310"/>
      <x:c r="D34" s="311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O34"/>
  <x:sheetViews>
    <x:sheetView topLeftCell="A10" zoomScale="85" zoomScaleNormal="85" zoomScaleSheetLayoutView="75" workbookViewId="0">
      <x:selection activeCell="J34" activeCellId="0" sqref="J34:J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152</x:v>
      </x:c>
      <x:c r="F1" s="68">
        <x:v>8</x:v>
      </x:c>
      <x:c r="G1" s="68" t="s">
        <x:v>49</x:v>
      </x:c>
      <x:c r="H1" s="52" t="s">
        <x:v>123</x:v>
      </x:c>
      <x:c r="I1" s="52">
        <x:f>F1-K1</x:f>
        <x:v>8</x:v>
      </x:c>
      <x:c r="J1" s="52" t="s">
        <x:v>98</x:v>
      </x:c>
      <x:c r="K1" s="52"/>
    </x:row>
    <x:row r="2" spans="1:11" ht="20.100000000000001" customHeight="1">
      <x:c r="A2" s="271" t="s">
        <x:v>9</x:v>
      </x:c>
      <x:c r="B2" s="272"/>
      <x:c r="C2" s="275">
        <x:f>SUM(C4:D7)</x:f>
        <x:v>3750500</x:v>
      </x:c>
      <x:c r="D2" s="275"/>
      <x:c r="E2" s="278" t="s">
        <x:v>40</x:v>
      </x:c>
      <x:c r="F2" s="279"/>
      <x:c r="G2" s="267">
        <x:v>72900</x:v>
      </x:c>
      <x:c r="H2" s="265" t="s">
        <x:v>6</x:v>
      </x:c>
      <x:c r="I2" s="266"/>
      <x:c r="J2" s="263" t="s">
        <x:v>74</x:v>
      </x:c>
      <x:c r="K2" s="264"/>
    </x:row>
    <x:row r="3" spans="1:11" ht="20.100000000000001" customHeight="1">
      <x:c r="A3" s="273"/>
      <x:c r="B3" s="274"/>
      <x:c r="C3" s="276"/>
      <x:c r="D3" s="276"/>
      <x:c r="E3" s="280"/>
      <x:c r="F3" s="281"/>
      <x:c r="G3" s="268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9" t="s">
        <x:v>22</x:v>
      </x:c>
      <x:c r="B4" s="270"/>
      <x:c r="C4" s="262">
        <x:v>2928500</x:v>
      </x:c>
      <x:c r="D4" s="262"/>
      <x:c r="E4" s="277" t="s">
        <x:v>146</x:v>
      </x:c>
      <x:c r="F4" s="277"/>
      <x:c r="G4" s="133">
        <x:f>INT(C4*0.0275)</x:f>
        <x:v>80533</x:v>
      </x:c>
      <x:c r="H4" s="54" t="s">
        <x:v>20</x:v>
      </x:c>
      <x:c r="I4" s="124">
        <x:v>1704682</x:v>
      </x:c>
      <x:c r="J4" s="80" t="s">
        <x:v>36</x:v>
      </x:c>
      <x:c r="K4" s="58"/>
    </x:row>
    <x:row r="5" spans="1:11" ht="30.949999999999999" customHeight="1">
      <x:c r="A5" s="269" t="s">
        <x:v>61</x:v>
      </x:c>
      <x:c r="B5" s="270"/>
      <x:c r="C5" s="262">
        <x:v>822000</x:v>
      </x:c>
      <x:c r="D5" s="262"/>
      <x:c r="E5" s="261" t="s">
        <x:v>70</x:v>
      </x:c>
      <x:c r="F5" s="261"/>
      <x:c r="G5" s="133">
        <x:f>INT(C5*0.01)</x:f>
        <x:v>8220</x:v>
      </x:c>
      <x:c r="H5" s="54" t="s">
        <x:v>6</x:v>
      </x:c>
      <x:c r="I5" s="124">
        <x:v>392947</x:v>
      </x:c>
      <x:c r="J5" s="81"/>
      <x:c r="K5" s="58"/>
    </x:row>
    <x:row r="6" spans="1:13" ht="21.949999999999999" customHeight="1">
      <x:c r="A6" s="256" t="s">
        <x:v>84</x:v>
      </x:c>
      <x:c r="B6" s="257"/>
      <x:c r="C6" s="301"/>
      <x:c r="D6" s="302"/>
      <x:c r="E6" s="288" t="s">
        <x:v>131</x:v>
      </x:c>
      <x:c r="F6" s="289"/>
      <x:c r="G6" s="282">
        <x:v>720000</x:v>
      </x:c>
      <x:c r="H6" s="54"/>
      <x:c r="I6" s="124"/>
      <x:c r="J6" s="81" t="s">
        <x:v>127</x:v>
      </x:c>
      <x:c r="K6" s="58"/>
      <x:c r="M6" s="124"/>
    </x:row>
    <x:row r="7" spans="1:11" ht="21.949999999999999" customHeight="1">
      <x:c r="A7" s="258"/>
      <x:c r="B7" s="259"/>
      <x:c r="C7" s="303"/>
      <x:c r="D7" s="304"/>
      <x:c r="E7" s="280"/>
      <x:c r="F7" s="281"/>
      <x:c r="G7" s="268"/>
      <x:c r="H7" s="54" t="s">
        <x:v>24</x:v>
      </x:c>
      <x:c r="I7" s="124">
        <x:v>228350</x:v>
      </x:c>
      <x:c r="J7" s="81" t="s">
        <x:v>116</x:v>
      </x:c>
      <x:c r="K7" s="58"/>
    </x:row>
    <x:row r="8" spans="1:11" ht="21.949999999999999" customHeight="1">
      <x:c r="A8" s="260" t="s">
        <x:v>134</x:v>
      </x:c>
      <x:c r="B8" s="261"/>
      <x:c r="C8" s="262">
        <x:v>174900</x:v>
      </x:c>
      <x:c r="D8" s="262"/>
      <x:c r="E8" s="288" t="s">
        <x:v>110</x:v>
      </x:c>
      <x:c r="F8" s="289"/>
      <x:c r="G8" s="294">
        <x:f>C5+G2-G6-C22</x:f>
        <x:v>174900</x:v>
      </x:c>
      <x:c r="H8" s="54" t="s">
        <x:v>45</x:v>
      </x:c>
      <x:c r="I8" s="124"/>
      <x:c r="J8" s="81"/>
      <x:c r="K8" s="58"/>
    </x:row>
    <x:row r="9" spans="1:11" ht="21.949999999999999" customHeight="1">
      <x:c r="A9" s="260"/>
      <x:c r="B9" s="261"/>
      <x:c r="C9" s="262"/>
      <x:c r="D9" s="262"/>
      <x:c r="E9" s="280"/>
      <x:c r="F9" s="281"/>
      <x:c r="G9" s="295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143</x:v>
      </x:c>
      <x:c r="B10" s="261"/>
      <x:c r="C10" s="262"/>
      <x:c r="D10" s="262"/>
      <x:c r="E10" s="261" t="s">
        <x:v>87</x:v>
      </x:c>
      <x:c r="F10" s="261"/>
      <x:c r="G10" s="55"/>
      <x:c r="H10" s="54"/>
      <x:c r="I10" s="124"/>
      <x:c r="J10" s="54" t="s">
        <x:v>53</x:v>
      </x:c>
      <x:c r="K10" s="58">
        <x:v>13000</x:v>
      </x:c>
    </x:row>
    <x:row r="11" spans="1:11" ht="33" customHeight="1">
      <x:c r="A11" s="260" t="s">
        <x:v>103</x:v>
      </x:c>
      <x:c r="B11" s="261"/>
      <x:c r="C11" s="300"/>
      <x:c r="D11" s="300"/>
      <x:c r="E11" s="300"/>
      <x:c r="F11" s="300"/>
      <x:c r="G11" s="300"/>
      <x:c r="H11" s="54" t="s">
        <x:v>58</x:v>
      </x:c>
      <x:c r="I11" s="58"/>
      <x:c r="J11" s="54" t="s">
        <x:v>82</x:v>
      </x:c>
      <x:c r="K11" s="151"/>
    </x:row>
    <x:row r="12" spans="1:13" ht="21.949999999999999" customHeight="1">
      <x:c r="A12" s="59" t="s">
        <x:v>48</x:v>
      </x:c>
      <x:c r="B12" s="298" t="s">
        <x:v>42</x:v>
      </x:c>
      <x:c r="C12" s="79">
        <x:v>7</x:v>
      </x:c>
      <x:c r="D12" s="288" t="s">
        <x:v>133</x:v>
      </x:c>
      <x:c r="E12" s="289"/>
      <x:c r="F12" s="292">
        <x:v>2</x:v>
      </x:c>
      <x:c r="G12" s="293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9"/>
      <x:c r="C13" s="134">
        <x:f>SUM('1:8'!$C$12)</x:f>
        <x:v>63</x:v>
      </x:c>
      <x:c r="D13" s="280"/>
      <x:c r="E13" s="281"/>
      <x:c r="F13" s="290">
        <x:f>SUM('1:8'!$F$12)</x:f>
        <x:v>33</x:v>
      </x:c>
      <x:c r="G13" s="291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8" t="s">
        <x:v>64</x:v>
      </x:c>
      <x:c r="C14" s="79">
        <x:v>24</x:v>
      </x:c>
      <x:c r="D14" s="288" t="s">
        <x:v>95</x:v>
      </x:c>
      <x:c r="E14" s="289"/>
      <x:c r="F14" s="292">
        <x:v>7</x:v>
      </x:c>
      <x:c r="G14" s="293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9"/>
      <x:c r="C15" s="134">
        <x:f>SUM('1:8'!$C$14)</x:f>
        <x:v>182</x:v>
      </x:c>
      <x:c r="D15" s="280"/>
      <x:c r="E15" s="281"/>
      <x:c r="F15" s="290">
        <x:f>SUM('1:8'!$F$14)</x:f>
        <x:v>78</x:v>
      </x:c>
      <x:c r="G15" s="291"/>
      <x:c r="H15" s="54" t="s">
        <x:v>106</x:v>
      </x:c>
      <x:c r="I15" s="58">
        <x:v>186200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8" t="s">
        <x:v>51</x:v>
      </x:c>
      <x:c r="C16" s="79">
        <x:v>5</x:v>
      </x:c>
      <x:c r="D16" s="288" t="s">
        <x:v>117</x:v>
      </x:c>
      <x:c r="E16" s="289"/>
      <x:c r="F16" s="286">
        <x:v>12</x:v>
      </x:c>
      <x:c r="G16" s="286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9"/>
      <x:c r="C17" s="134">
        <x:f>SUM('1:8'!$C$16)</x:f>
        <x:v>29</x:v>
      </x:c>
      <x:c r="D17" s="280"/>
      <x:c r="E17" s="281"/>
      <x:c r="F17" s="287">
        <x:f>SUM('1:8'!$F$16)</x:f>
        <x:v>93</x:v>
      </x:c>
      <x:c r="G17" s="287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8" t="s">
        <x:v>91</x:v>
      </x:c>
      <x:c r="C18" s="79">
        <x:v>5</x:v>
      </x:c>
      <x:c r="D18" s="288" t="s">
        <x:v>130</x:v>
      </x:c>
      <x:c r="E18" s="289"/>
      <x:c r="F18" s="296">
        <x:v>7</x:v>
      </x:c>
      <x:c r="G18" s="297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9"/>
      <x:c r="C19" s="134">
        <x:f>SUM('1:8'!$C$18)</x:f>
        <x:v>77</x:v>
      </x:c>
      <x:c r="D19" s="280"/>
      <x:c r="E19" s="281"/>
      <x:c r="F19" s="287">
        <x:f>SUM('1:8'!$F$18)</x:f>
        <x:v>29</x:v>
      </x:c>
      <x:c r="G19" s="287"/>
      <x:c r="H19" s="58"/>
      <x:c r="I19" s="58"/>
      <x:c r="J19" s="54"/>
      <x:c r="K19" s="58"/>
      <x:c r="L19" s="60"/>
      <x:c r="M19" s="11"/>
    </x:row>
    <x:row r="20" spans="2:13" ht="21.949999999999999" customHeight="1">
      <x:c r="B20" s="52" t="s">
        <x:v>151</x:v>
      </x:c>
      <x:c r="D20" s="261" t="s">
        <x:v>113</x:v>
      </x:c>
      <x:c r="E20" s="261"/>
      <x:c r="F20" s="286">
        <x:v>51</x:v>
      </x:c>
      <x:c r="G20" s="286"/>
      <x:c r="H20" s="58"/>
      <x:c r="J20" s="54"/>
      <x:c r="K20" s="58"/>
      <x:c r="L20" s="60"/>
      <x:c r="M20" s="11"/>
    </x:row>
    <x:row r="21" spans="4:13" ht="21.949999999999999" customHeight="1">
      <x:c r="D21" s="261" t="s">
        <x:v>114</x:v>
      </x:c>
      <x:c r="E21" s="261"/>
      <x:c r="F21" s="287">
        <x:f>SUM('1:8'!$F$20)</x:f>
        <x:v>471</x:v>
      </x:c>
      <x:c r="G21" s="287"/>
      <x:c r="H21" s="58"/>
      <x:c r="J21" s="54"/>
      <x:c r="K21" s="58"/>
      <x:c r="L21" s="60"/>
      <x:c r="M21" s="11"/>
    </x:row>
    <x:row r="22" spans="1:13" ht="32.100000000000001" customHeight="1">
      <x:c r="A22" s="260" t="s">
        <x:v>83</x:v>
      </x:c>
      <x:c r="B22" s="261"/>
      <x:c r="C22" s="285"/>
      <x:c r="D22" s="285"/>
      <x:c r="E22" s="285"/>
      <x:c r="F22" s="285"/>
      <x:c r="G22" s="285"/>
      <x:c r="H22" s="54"/>
      <x:c r="J22" s="54"/>
      <x:c r="K22" s="58"/>
      <x:c r="L22" s="60"/>
      <x:c r="M22" s="11"/>
    </x:row>
    <x:row r="23" spans="1:15" ht="34.149999999999999" customHeight="1">
      <x:c r="A23" s="260" t="s">
        <x:v>124</x:v>
      </x:c>
      <x:c r="B23" s="261"/>
      <x:c r="C23" s="316"/>
      <x:c r="D23" s="317"/>
      <x:c r="E23" s="317"/>
      <x:c r="F23" s="317"/>
      <x:c r="G23" s="317"/>
      <x:c r="H23" s="107" t="s">
        <x:v>94</x:v>
      </x:c>
      <x:c r="I23" s="108">
        <x:f>SUM(I4:I22)</x:f>
        <x:v>2512179</x:v>
      </x:c>
      <x:c r="J23" s="61" t="s">
        <x:v>119</x:v>
      </x:c>
      <x:c r="K23" s="62">
        <x:f>SUM(K4:K22)</x:f>
        <x:v>13000</x:v>
      </x:c>
      <x:c r="M23" s="88" t="s">
        <x:v>93</x:v>
      </x:c>
      <x:c r="N23" s="283">
        <x:f>C5+C6</x:f>
        <x:v>822000</x:v>
      </x:c>
      <x:c r="O23" s="284"/>
    </x:row>
    <x:row r="24" spans="1:11" ht="34.149999999999999" customHeight="1">
      <x:c r="A24" s="260" t="s">
        <x:v>8</x:v>
      </x:c>
      <x:c r="B24" s="261"/>
      <x:c r="C24" s="261" t="s">
        <x:v>86</x:v>
      </x:c>
      <x:c r="D24" s="261"/>
      <x:c r="E24" s="261" t="s">
        <x:v>101</x:v>
      </x:c>
      <x:c r="F24" s="261"/>
      <x:c r="G24" s="261"/>
      <x:c r="H24" s="107" t="s">
        <x:v>8</x:v>
      </x:c>
      <x:c r="I24" s="109">
        <x:f>I23/A25</x:f>
        <x:v>0.66982508998800161</x:v>
      </x:c>
      <x:c r="J24" s="61" t="s">
        <x:v>8</x:v>
      </x:c>
      <x:c r="K24" s="63">
        <x:f>K23/A25</x:f>
        <x:v>0.0034662045060658577</x:v>
      </x:c>
    </x:row>
    <x:row r="25" spans="1:11" ht="34.149999999999999" customHeight="1">
      <x:c r="A25" s="312">
        <x:f>C2</x:f>
        <x:v>3750500</x:v>
      </x:c>
      <x:c r="B25" s="276"/>
      <x:c r="C25" s="276">
        <x:f>E25/I1</x:f>
        <x:v>4156875</x:v>
      </x:c>
      <x:c r="D25" s="276"/>
      <x:c r="E25" s="276">
        <x:f>SUM('1:8'!$A$25)</x:f>
        <x:v>33255000</x:v>
      </x:c>
      <x:c r="F25" s="276"/>
      <x:c r="G25" s="276"/>
      <x:c r="H25" s="107" t="s">
        <x:v>33</x:v>
      </x:c>
      <x:c r="I25" s="108">
        <x:f>SUM('1'!$I$23)</x:f>
        <x:v>2230104</x:v>
      </x:c>
      <x:c r="J25" s="61" t="s">
        <x:v>33</x:v>
      </x:c>
      <x:c r="K25" s="62">
        <x:f>SUM('1:8'!$K$23)</x:f>
        <x:v>437480</x:v>
      </x:c>
    </x:row>
    <x:row r="26" spans="1:11" ht="34.149999999999999" customHeight="1">
      <x:c r="A26" s="260" t="s">
        <x:v>142</x:v>
      </x:c>
      <x:c r="B26" s="261"/>
      <x:c r="C26" s="261"/>
      <x:c r="D26" s="261"/>
      <x:c r="E26" s="262"/>
      <x:c r="F26" s="262"/>
      <x:c r="G26" s="262"/>
      <x:c r="H26" s="107" t="s">
        <x:v>128</x:v>
      </x:c>
      <x:c r="I26" s="110">
        <x:f>I25/$E$25</x:f>
        <x:v>0.06706071267478575</x:v>
      </x:c>
      <x:c r="J26" s="64" t="s">
        <x:v>128</x:v>
      </x:c>
      <x:c r="K26" s="65">
        <x:f>K25/$E$25</x:f>
        <x:v>0.013155314990227035</x:v>
      </x:c>
    </x:row>
    <x:row r="27" spans="1:13" ht="30.949999999999999" customHeight="1">
      <x:c r="A27" s="318" t="s">
        <x:v>141</x:v>
      </x:c>
      <x:c r="B27" s="54" t="s">
        <x:v>44</x:v>
      </x:c>
      <x:c r="C27" s="276">
        <x:f>4000000/30</x:f>
        <x:v>133333.33333333334</x:v>
      </x:c>
      <x:c r="D27" s="276"/>
      <x:c r="E27" s="55" t="s">
        <x:v>147</x:v>
      </x:c>
      <x:c r="F27" s="262">
        <x:f>13000*5</x:f>
        <x:v>65000</x:v>
      </x:c>
      <x:c r="G27" s="262"/>
      <x:c r="H27" s="111" t="s">
        <x:v>118</x:v>
      </x:c>
      <x:c r="I27" s="112">
        <x:f>SUM(C27:D34,F27:G32)</x:f>
        <x:v>770333.33333333337</x:v>
      </x:c>
      <x:c r="M27" s="66"/>
    </x:row>
    <x:row r="28" spans="1:13" ht="30.949999999999999" customHeight="1">
      <x:c r="A28" s="319"/>
      <x:c r="B28" s="54" t="s">
        <x:v>23</x:v>
      </x:c>
      <x:c r="C28" s="276">
        <x:f>3800000/30</x:f>
        <x:v>126666.66666666667</x:v>
      </x:c>
      <x:c r="D28" s="276"/>
      <x:c r="E28" s="55" t="s">
        <x:v>149</x:v>
      </x:c>
      <x:c r="F28" s="276">
        <x:f>1500000/30</x:f>
        <x:v>50000</x:v>
      </x:c>
      <x:c r="G28" s="276"/>
      <x:c r="H28" s="111" t="s">
        <x:v>8</x:v>
      </x:c>
      <x:c r="I28" s="113">
        <x:f>I27/$A$25</x:f>
        <x:v>0.20539483624405636</x:v>
      </x:c>
      <x:c r="M28" s="66"/>
    </x:row>
    <x:row r="29" spans="1:13" ht="30.949999999999999" customHeight="1">
      <x:c r="A29" s="319"/>
      <x:c r="B29" s="54" t="s">
        <x:v>47</x:v>
      </x:c>
      <x:c r="C29" s="276">
        <x:f>3200000/30</x:f>
        <x:v>106666.66666666667</x:v>
      </x:c>
      <x:c r="D29" s="276"/>
      <x:c r="E29" s="54" t="s">
        <x:v>57</x:v>
      </x:c>
      <x:c r="F29" s="262"/>
      <x:c r="G29" s="262"/>
      <x:c r="H29" s="111" t="s">
        <x:v>33</x:v>
      </x:c>
      <x:c r="I29" s="112">
        <x:f>SUM('1:8'!$I$27)</x:f>
        <x:v>6247916.666666666</x:v>
      </x:c>
      <x:c r="M29" s="66" t="s">
        <x:v>63</x:v>
      </x:c>
    </x:row>
    <x:row r="30" spans="1:13" ht="30.949999999999999" customHeight="1">
      <x:c r="A30" s="319"/>
      <x:c r="B30" s="54"/>
      <x:c r="C30" s="355"/>
      <x:c r="D30" s="356"/>
      <x:c r="E30" s="55"/>
      <x:c r="F30" s="310"/>
      <x:c r="G30" s="311"/>
      <x:c r="H30" s="111" t="s">
        <x:v>128</x:v>
      </x:c>
      <x:c r="I30" s="113">
        <x:f>I29/$I$27</x:f>
        <x:v>8.110666378191258</x:v>
      </x:c>
      <x:c r="M30" s="66"/>
    </x:row>
    <x:row r="31" spans="1:7" customHeight="1">
      <x:c r="A31" s="319"/>
      <x:c r="B31" s="54" t="s">
        <x:v>41</x:v>
      </x:c>
      <x:c r="C31" s="313">
        <x:f>3500000/30</x:f>
        <x:v>116666.66666666667</x:v>
      </x:c>
      <x:c r="D31" s="314"/>
      <x:c r="E31" s="55" t="s">
        <x:v>4</x:v>
      </x:c>
      <x:c r="F31" s="310">
        <x:v>120000</x:v>
      </x:c>
      <x:c r="G31" s="311"/>
    </x:row>
    <x:row r="32" spans="1:7" customHeight="1">
      <x:c r="A32" s="319"/>
      <x:c r="B32" s="54"/>
      <x:c r="C32" s="308"/>
      <x:c r="D32" s="309"/>
      <x:c r="E32" s="55" t="s">
        <x:v>138</x:v>
      </x:c>
      <x:c r="F32" s="310"/>
      <x:c r="G32" s="311"/>
    </x:row>
    <x:row r="33" spans="1:4" customHeight="1">
      <x:c r="A33" s="319"/>
      <x:c r="B33" s="54" t="s">
        <x:v>21</x:v>
      </x:c>
      <x:c r="C33" s="308">
        <x:f>13000*4</x:f>
        <x:v>52000</x:v>
      </x:c>
      <x:c r="D33" s="309"/>
    </x:row>
    <x:row r="34" spans="1:4" customHeight="1">
      <x:c r="A34" s="320"/>
      <x:c r="B34" s="54"/>
      <x:c r="C34" s="310"/>
      <x:c r="D34" s="311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A1:O34"/>
  <x:sheetViews>
    <x:sheetView topLeftCell="A1" zoomScale="80" zoomScaleNormal="80" zoomScaleSheetLayoutView="75" workbookViewId="0">
      <x:selection activeCell="J34" activeCellId="0" sqref="J34:J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152</x:v>
      </x:c>
      <x:c r="F1" s="68">
        <x:v>9</x:v>
      </x:c>
      <x:c r="G1" s="68" t="s">
        <x:v>62</x:v>
      </x:c>
      <x:c r="H1" s="52" t="s">
        <x:v>123</x:v>
      </x:c>
      <x:c r="I1" s="52">
        <x:f>F1-K1</x:f>
        <x:v>9</x:v>
      </x:c>
      <x:c r="J1" s="52" t="s">
        <x:v>98</x:v>
      </x:c>
      <x:c r="K1" s="52"/>
    </x:row>
    <x:row r="2" spans="1:11" ht="20.100000000000001" customHeight="1">
      <x:c r="A2" s="271" t="s">
        <x:v>9</x:v>
      </x:c>
      <x:c r="B2" s="272"/>
      <x:c r="C2" s="275">
        <x:f>SUM(C4:D7)</x:f>
        <x:v>3158000</x:v>
      </x:c>
      <x:c r="D2" s="275"/>
      <x:c r="E2" s="278" t="s">
        <x:v>40</x:v>
      </x:c>
      <x:c r="F2" s="279"/>
      <x:c r="G2" s="267">
        <x:v>174900</x:v>
      </x:c>
      <x:c r="H2" s="265" t="s">
        <x:v>6</x:v>
      </x:c>
      <x:c r="I2" s="266"/>
      <x:c r="J2" s="263" t="s">
        <x:v>74</x:v>
      </x:c>
      <x:c r="K2" s="264"/>
    </x:row>
    <x:row r="3" spans="1:11" ht="20.100000000000001" customHeight="1">
      <x:c r="A3" s="273"/>
      <x:c r="B3" s="274"/>
      <x:c r="C3" s="276"/>
      <x:c r="D3" s="276"/>
      <x:c r="E3" s="280"/>
      <x:c r="F3" s="281"/>
      <x:c r="G3" s="268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9" t="s">
        <x:v>22</x:v>
      </x:c>
      <x:c r="B4" s="270"/>
      <x:c r="C4" s="262">
        <x:v>2613000</x:v>
      </x:c>
      <x:c r="D4" s="262"/>
      <x:c r="E4" s="277" t="s">
        <x:v>146</x:v>
      </x:c>
      <x:c r="F4" s="277"/>
      <x:c r="G4" s="133">
        <x:f>INT(C4*0.0275)</x:f>
        <x:v>71857</x:v>
      </x:c>
      <x:c r="H4" s="54" t="s">
        <x:v>20</x:v>
      </x:c>
      <x:c r="I4" s="124">
        <x:v>3384837</x:v>
      </x:c>
      <x:c r="J4" s="80" t="s">
        <x:v>36</x:v>
      </x:c>
      <x:c r="K4" s="58"/>
    </x:row>
    <x:row r="5" spans="1:11" ht="30.949999999999999" customHeight="1">
      <x:c r="A5" s="269" t="s">
        <x:v>61</x:v>
      </x:c>
      <x:c r="B5" s="270"/>
      <x:c r="C5" s="262">
        <x:v>545000</x:v>
      </x:c>
      <x:c r="D5" s="262"/>
      <x:c r="E5" s="261" t="s">
        <x:v>70</x:v>
      </x:c>
      <x:c r="F5" s="261"/>
      <x:c r="G5" s="133">
        <x:f>INT(C5*0.01)</x:f>
        <x:v>5450</x:v>
      </x:c>
      <x:c r="H5" s="54" t="s">
        <x:v>6</x:v>
      </x:c>
      <x:c r="I5" s="124">
        <x:v>184656</x:v>
      </x:c>
      <x:c r="J5" s="81"/>
      <x:c r="K5" s="58"/>
    </x:row>
    <x:row r="6" spans="1:11" ht="21.949999999999999" customHeight="1">
      <x:c r="A6" s="256" t="s">
        <x:v>84</x:v>
      </x:c>
      <x:c r="B6" s="257"/>
      <x:c r="C6" s="301"/>
      <x:c r="D6" s="302"/>
      <x:c r="E6" s="288" t="s">
        <x:v>131</x:v>
      </x:c>
      <x:c r="F6" s="289"/>
      <x:c r="G6" s="282">
        <x:v>630000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8"/>
      <x:c r="B7" s="259"/>
      <x:c r="C7" s="303"/>
      <x:c r="D7" s="304"/>
      <x:c r="E7" s="280"/>
      <x:c r="F7" s="281"/>
      <x:c r="G7" s="268"/>
      <x:c r="H7" s="54" t="s">
        <x:v>24</x:v>
      </x:c>
      <x:c r="I7" s="124">
        <x:v>294200</x:v>
      </x:c>
      <x:c r="J7" s="81" t="s">
        <x:v>116</x:v>
      </x:c>
      <x:c r="K7" s="58"/>
    </x:row>
    <x:row r="8" spans="1:11" ht="21.949999999999999" customHeight="1">
      <x:c r="A8" s="260" t="s">
        <x:v>134</x:v>
      </x:c>
      <x:c r="B8" s="261"/>
      <x:c r="C8" s="262">
        <x:v>89900</x:v>
      </x:c>
      <x:c r="D8" s="262"/>
      <x:c r="E8" s="288" t="s">
        <x:v>110</x:v>
      </x:c>
      <x:c r="F8" s="289"/>
      <x:c r="G8" s="294">
        <x:f>C5+G2-G6-C22</x:f>
        <x:v>89900</x:v>
      </x:c>
      <x:c r="H8" s="54" t="s">
        <x:v>45</x:v>
      </x:c>
      <x:c r="I8" s="124"/>
      <x:c r="J8" s="81"/>
      <x:c r="K8" s="58"/>
    </x:row>
    <x:row r="9" spans="1:11" ht="21.949999999999999" customHeight="1">
      <x:c r="A9" s="260"/>
      <x:c r="B9" s="261"/>
      <x:c r="C9" s="262"/>
      <x:c r="D9" s="262"/>
      <x:c r="E9" s="280"/>
      <x:c r="F9" s="281"/>
      <x:c r="G9" s="295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143</x:v>
      </x:c>
      <x:c r="B10" s="261"/>
      <x:c r="C10" s="262"/>
      <x:c r="D10" s="262"/>
      <x:c r="E10" s="261" t="s">
        <x:v>87</x:v>
      </x:c>
      <x:c r="F10" s="261"/>
      <x:c r="G10" s="55"/>
      <x:c r="H10" s="54"/>
      <x:c r="I10" s="124"/>
      <x:c r="J10" s="54" t="s">
        <x:v>53</x:v>
      </x:c>
      <x:c r="K10" s="58"/>
    </x:row>
    <x:row r="11" spans="1:11" ht="33" customHeight="1">
      <x:c r="A11" s="260" t="s">
        <x:v>103</x:v>
      </x:c>
      <x:c r="B11" s="261"/>
      <x:c r="C11" s="300"/>
      <x:c r="D11" s="300"/>
      <x:c r="E11" s="300"/>
      <x:c r="F11" s="300"/>
      <x:c r="G11" s="300"/>
      <x:c r="H11" s="54" t="s">
        <x:v>58</x:v>
      </x:c>
      <x:c r="I11" s="58"/>
      <x:c r="J11" s="54" t="s">
        <x:v>82</x:v>
      </x:c>
      <x:c r="K11" s="151"/>
    </x:row>
    <x:row r="12" spans="1:13" ht="21.949999999999999" customHeight="1">
      <x:c r="A12" s="59" t="s">
        <x:v>48</x:v>
      </x:c>
      <x:c r="B12" s="298" t="s">
        <x:v>42</x:v>
      </x:c>
      <x:c r="C12" s="79">
        <x:v>6</x:v>
      </x:c>
      <x:c r="D12" s="288" t="s">
        <x:v>133</x:v>
      </x:c>
      <x:c r="E12" s="289"/>
      <x:c r="F12" s="292">
        <x:v>10</x:v>
      </x:c>
      <x:c r="G12" s="293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9"/>
      <x:c r="C13" s="134">
        <x:f>SUM('1:9'!$C$12)</x:f>
        <x:v>69</x:v>
      </x:c>
      <x:c r="D13" s="280"/>
      <x:c r="E13" s="281"/>
      <x:c r="F13" s="290">
        <x:f>SUM('1:9'!$F$12)</x:f>
        <x:v>43</x:v>
      </x:c>
      <x:c r="G13" s="291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8" t="s">
        <x:v>64</x:v>
      </x:c>
      <x:c r="C14" s="79">
        <x:v>16</x:v>
      </x:c>
      <x:c r="D14" s="288" t="s">
        <x:v>95</x:v>
      </x:c>
      <x:c r="E14" s="289"/>
      <x:c r="F14" s="292">
        <x:v>6</x:v>
      </x:c>
      <x:c r="G14" s="293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9"/>
      <x:c r="C15" s="134">
        <x:f>SUM('1:9'!$C$14)</x:f>
        <x:v>198</x:v>
      </x:c>
      <x:c r="D15" s="280"/>
      <x:c r="E15" s="281"/>
      <x:c r="F15" s="290">
        <x:f>SUM('1:9'!$F$14)</x:f>
        <x:v>84</x:v>
      </x:c>
      <x:c r="G15" s="291"/>
      <x:c r="H15" s="54" t="s">
        <x:v>106</x:v>
      </x:c>
      <x:c r="I15" s="58">
        <x:v>81100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8" t="s">
        <x:v>51</x:v>
      </x:c>
      <x:c r="C16" s="79">
        <x:v>5</x:v>
      </x:c>
      <x:c r="D16" s="288" t="s">
        <x:v>117</x:v>
      </x:c>
      <x:c r="E16" s="289"/>
      <x:c r="F16" s="286">
        <x:v>9</x:v>
      </x:c>
      <x:c r="G16" s="286"/>
      <x:c r="H16" s="54"/>
      <x:c r="I16" s="58"/>
      <x:c r="J16" s="54" t="s">
        <x:v>97</x:v>
      </x:c>
      <x:c r="K16" s="58">
        <x:v>97000</x:v>
      </x:c>
      <x:c r="L16" s="60"/>
      <x:c r="M16" s="11"/>
    </x:row>
    <x:row r="17" spans="1:13" ht="21.949999999999999" customHeight="1">
      <x:c r="A17" s="59" t="s">
        <x:v>96</x:v>
      </x:c>
      <x:c r="B17" s="299"/>
      <x:c r="C17" s="134">
        <x:f>SUM('1:9'!$C$16)</x:f>
        <x:v>34</x:v>
      </x:c>
      <x:c r="D17" s="280"/>
      <x:c r="E17" s="281"/>
      <x:c r="F17" s="287">
        <x:f>SUM('1:9'!$F$16)</x:f>
        <x:v>102</x:v>
      </x:c>
      <x:c r="G17" s="287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8" t="s">
        <x:v>91</x:v>
      </x:c>
      <x:c r="C18" s="79">
        <x:v>1</x:v>
      </x:c>
      <x:c r="D18" s="288" t="s">
        <x:v>130</x:v>
      </x:c>
      <x:c r="E18" s="289"/>
      <x:c r="F18" s="296">
        <x:v>8</x:v>
      </x:c>
      <x:c r="G18" s="297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9"/>
      <x:c r="C19" s="134">
        <x:f>SUM('1:9'!$C$18)</x:f>
        <x:v>78</x:v>
      </x:c>
      <x:c r="D19" s="280"/>
      <x:c r="E19" s="281"/>
      <x:c r="F19" s="287">
        <x:f>SUM('1:9'!$F$18)</x:f>
        <x:v>37</x:v>
      </x:c>
      <x:c r="G19" s="287"/>
      <x:c r="H19" s="58"/>
      <x:c r="I19" s="58"/>
      <x:c r="J19" s="54"/>
      <x:c r="K19" s="58"/>
      <x:c r="L19" s="60"/>
      <x:c r="M19" s="11"/>
    </x:row>
    <x:row r="20" spans="2:13" ht="21.949999999999999" customHeight="1">
      <x:c r="B20" s="52" t="s">
        <x:v>151</x:v>
      </x:c>
      <x:c r="D20" s="261" t="s">
        <x:v>113</x:v>
      </x:c>
      <x:c r="E20" s="261"/>
      <x:c r="F20" s="286">
        <x:v>55</x:v>
      </x:c>
      <x:c r="G20" s="286"/>
      <x:c r="H20" s="58"/>
      <x:c r="J20" s="54"/>
      <x:c r="K20" s="58"/>
      <x:c r="L20" s="60"/>
      <x:c r="M20" s="11"/>
    </x:row>
    <x:row r="21" spans="4:13" ht="21.949999999999999" customHeight="1">
      <x:c r="D21" s="261" t="s">
        <x:v>114</x:v>
      </x:c>
      <x:c r="E21" s="261"/>
      <x:c r="F21" s="287">
        <x:f>SUM('1:9'!$F$20)</x:f>
        <x:v>526</x:v>
      </x:c>
      <x:c r="G21" s="287"/>
      <x:c r="H21" s="58"/>
      <x:c r="J21" s="54"/>
      <x:c r="K21" s="58"/>
      <x:c r="L21" s="60"/>
      <x:c r="M21" s="11"/>
    </x:row>
    <x:row r="22" spans="1:13" ht="32.100000000000001" customHeight="1">
      <x:c r="A22" s="260" t="s">
        <x:v>83</x:v>
      </x:c>
      <x:c r="B22" s="261"/>
      <x:c r="C22" s="285"/>
      <x:c r="D22" s="285"/>
      <x:c r="E22" s="285"/>
      <x:c r="F22" s="285"/>
      <x:c r="G22" s="285"/>
      <x:c r="H22" s="54"/>
      <x:c r="J22" s="54"/>
      <x:c r="K22" s="58"/>
      <x:c r="L22" s="60"/>
      <x:c r="M22" s="11"/>
    </x:row>
    <x:row r="23" spans="1:15" ht="34.149999999999999" customHeight="1">
      <x:c r="A23" s="260" t="s">
        <x:v>124</x:v>
      </x:c>
      <x:c r="B23" s="261"/>
      <x:c r="C23" s="316"/>
      <x:c r="D23" s="317"/>
      <x:c r="E23" s="317"/>
      <x:c r="F23" s="317"/>
      <x:c r="G23" s="317"/>
      <x:c r="H23" s="107" t="s">
        <x:v>94</x:v>
      </x:c>
      <x:c r="I23" s="108">
        <x:f>SUM(I4:I22)</x:f>
        <x:v>3944793</x:v>
      </x:c>
      <x:c r="J23" s="61" t="s">
        <x:v>119</x:v>
      </x:c>
      <x:c r="K23" s="62">
        <x:f>SUM(K4:K22)</x:f>
        <x:v>97000</x:v>
      </x:c>
      <x:c r="M23" s="88" t="s">
        <x:v>93</x:v>
      </x:c>
      <x:c r="N23" s="283">
        <x:f>C5+C6</x:f>
        <x:v>545000</x:v>
      </x:c>
      <x:c r="O23" s="284"/>
    </x:row>
    <x:row r="24" spans="1:11" ht="34.149999999999999" customHeight="1">
      <x:c r="A24" s="260" t="s">
        <x:v>8</x:v>
      </x:c>
      <x:c r="B24" s="261"/>
      <x:c r="C24" s="261" t="s">
        <x:v>86</x:v>
      </x:c>
      <x:c r="D24" s="261"/>
      <x:c r="E24" s="261" t="s">
        <x:v>101</x:v>
      </x:c>
      <x:c r="F24" s="261"/>
      <x:c r="G24" s="261"/>
      <x:c r="H24" s="107" t="s">
        <x:v>8</x:v>
      </x:c>
      <x:c r="I24" s="109">
        <x:f>I23/A25</x:f>
        <x:v>1.2491428119062697</x:v>
      </x:c>
      <x:c r="J24" s="61" t="s">
        <x:v>8</x:v>
      </x:c>
      <x:c r="K24" s="63">
        <x:f>K23/A25</x:f>
        <x:v>0.030715642811906269</x:v>
      </x:c>
    </x:row>
    <x:row r="25" spans="1:11" ht="34.149999999999999" customHeight="1">
      <x:c r="A25" s="312">
        <x:f>C2</x:f>
        <x:v>3158000</x:v>
      </x:c>
      <x:c r="B25" s="276"/>
      <x:c r="C25" s="276">
        <x:f>E25/I1</x:f>
        <x:v>4045888.888888889</x:v>
      </x:c>
      <x:c r="D25" s="276"/>
      <x:c r="E25" s="276">
        <x:f>SUM('1:9'!$A$25)</x:f>
        <x:v>36413000</x:v>
      </x:c>
      <x:c r="F25" s="276"/>
      <x:c r="G25" s="276"/>
      <x:c r="H25" s="107" t="s">
        <x:v>33</x:v>
      </x:c>
      <x:c r="I25" s="108">
        <x:f>SUM('1'!$I$23)</x:f>
        <x:v>2230104</x:v>
      </x:c>
      <x:c r="J25" s="61" t="s">
        <x:v>33</x:v>
      </x:c>
      <x:c r="K25" s="62">
        <x:f>SUM('1:9'!$K$23)</x:f>
        <x:v>534480</x:v>
      </x:c>
    </x:row>
    <x:row r="26" spans="1:11" ht="34.149999999999999" customHeight="1">
      <x:c r="A26" s="260" t="s">
        <x:v>142</x:v>
      </x:c>
      <x:c r="B26" s="261"/>
      <x:c r="C26" s="261"/>
      <x:c r="D26" s="261"/>
      <x:c r="E26" s="262"/>
      <x:c r="F26" s="262"/>
      <x:c r="G26" s="262"/>
      <x:c r="H26" s="107" t="s">
        <x:v>128</x:v>
      </x:c>
      <x:c r="I26" s="110">
        <x:f>I25/$E$25</x:f>
        <x:v>0.061244720292203333</x:v>
      </x:c>
      <x:c r="J26" s="64" t="s">
        <x:v>128</x:v>
      </x:c>
      <x:c r="K26" s="65">
        <x:f>K25/$E$25</x:f>
        <x:v>0.014678274242715514</x:v>
      </x:c>
    </x:row>
    <x:row r="27" spans="1:13" ht="30.949999999999999" customHeight="1">
      <x:c r="A27" s="318" t="s">
        <x:v>141</x:v>
      </x:c>
      <x:c r="B27" s="54" t="s">
        <x:v>44</x:v>
      </x:c>
      <x:c r="C27" s="276">
        <x:f>4000000/30</x:f>
        <x:v>133333.33333333334</x:v>
      </x:c>
      <x:c r="D27" s="276"/>
      <x:c r="E27" s="55" t="s">
        <x:v>147</x:v>
      </x:c>
      <x:c r="F27" s="262">
        <x:f>13000*3.5</x:f>
        <x:v>45500</x:v>
      </x:c>
      <x:c r="G27" s="262"/>
      <x:c r="H27" s="111" t="s">
        <x:v>118</x:v>
      </x:c>
      <x:c r="I27" s="112">
        <x:f>SUM(C27:D34,F27:G32)</x:f>
        <x:v>785933.33333333337</x:v>
      </x:c>
      <x:c r="M27" s="66"/>
    </x:row>
    <x:row r="28" spans="1:13" ht="30.949999999999999" customHeight="1">
      <x:c r="A28" s="319"/>
      <x:c r="B28" s="54" t="s">
        <x:v>23</x:v>
      </x:c>
      <x:c r="C28" s="276">
        <x:f>3800000/30</x:f>
        <x:v>126666.66666666667</x:v>
      </x:c>
      <x:c r="D28" s="276"/>
      <x:c r="E28" s="55" t="s">
        <x:v>149</x:v>
      </x:c>
      <x:c r="F28" s="276">
        <x:f>1500000/30</x:f>
        <x:v>50000</x:v>
      </x:c>
      <x:c r="G28" s="276"/>
      <x:c r="H28" s="111" t="s">
        <x:v>8</x:v>
      </x:c>
      <x:c r="I28" s="113">
        <x:f>I27/$A$25</x:f>
        <x:v>0.24887059320244881</x:v>
      </x:c>
      <x:c r="M28" s="66"/>
    </x:row>
    <x:row r="29" spans="1:13" ht="30.949999999999999" customHeight="1">
      <x:c r="A29" s="319"/>
      <x:c r="B29" s="54" t="s">
        <x:v>47</x:v>
      </x:c>
      <x:c r="C29" s="276">
        <x:f>3200000/30</x:f>
        <x:v>106666.66666666667</x:v>
      </x:c>
      <x:c r="D29" s="276"/>
      <x:c r="E29" s="54" t="s">
        <x:v>57</x:v>
      </x:c>
      <x:c r="F29" s="262">
        <x:v>35100</x:v>
      </x:c>
      <x:c r="G29" s="262"/>
      <x:c r="H29" s="111" t="s">
        <x:v>33</x:v>
      </x:c>
      <x:c r="I29" s="112">
        <x:f>SUM('1:9'!$I$27)</x:f>
        <x:v>7033849.9999999991</x:v>
      </x:c>
      <x:c r="M29" s="66"/>
    </x:row>
    <x:row r="30" spans="1:13" ht="30.949999999999999" customHeight="1">
      <x:c r="A30" s="319"/>
      <x:c r="B30" s="54"/>
      <x:c r="C30" s="315"/>
      <x:c r="D30" s="315"/>
      <x:c r="E30" s="55"/>
      <x:c r="F30" s="310"/>
      <x:c r="G30" s="311"/>
      <x:c r="H30" s="111" t="s">
        <x:v>128</x:v>
      </x:c>
      <x:c r="I30" s="113">
        <x:f>I29/$I$27</x:f>
        <x:v>8.9496776656204915</x:v>
      </x:c>
      <x:c r="M30" s="66"/>
    </x:row>
    <x:row r="31" spans="1:7" customHeight="1">
      <x:c r="A31" s="319"/>
      <x:c r="B31" s="54" t="s">
        <x:v>41</x:v>
      </x:c>
      <x:c r="C31" s="313">
        <x:f>3500000/30</x:f>
        <x:v>116666.66666666667</x:v>
      </x:c>
      <x:c r="D31" s="314"/>
      <x:c r="E31" s="55" t="s">
        <x:v>4</x:v>
      </x:c>
      <x:c r="F31" s="310">
        <x:v>120000</x:v>
      </x:c>
      <x:c r="G31" s="311"/>
    </x:row>
    <x:row r="32" spans="1:7" customHeight="1">
      <x:c r="A32" s="319"/>
      <x:c r="B32" s="54"/>
      <x:c r="C32" s="308"/>
      <x:c r="D32" s="309"/>
      <x:c r="E32" s="55" t="s">
        <x:v>138</x:v>
      </x:c>
      <x:c r="F32" s="310"/>
      <x:c r="G32" s="311"/>
    </x:row>
    <x:row r="33" spans="1:4" customHeight="1">
      <x:c r="A33" s="319"/>
      <x:c r="B33" s="54" t="s">
        <x:v>21</x:v>
      </x:c>
      <x:c r="C33" s="308">
        <x:f>13000*4</x:f>
        <x:v>52000</x:v>
      </x:c>
      <x:c r="D33" s="309"/>
    </x:row>
    <x:row r="34" spans="1:4" customHeight="1">
      <x:c r="A34" s="320"/>
      <x:c r="B34" s="54"/>
      <x:c r="C34" s="310"/>
      <x:c r="D34" s="311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/>
  <x:dimension ref="A1:O34"/>
  <x:sheetViews>
    <x:sheetView topLeftCell="A13" zoomScale="85" zoomScaleNormal="85" zoomScaleSheetLayoutView="75" workbookViewId="0">
      <x:selection activeCell="J34" activeCellId="0" sqref="J34:J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9.375" style="53" bestFit="1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152</x:v>
      </x:c>
      <x:c r="F1" s="68">
        <x:v>10</x:v>
      </x:c>
      <x:c r="G1" s="68" t="s">
        <x:v>27</x:v>
      </x:c>
      <x:c r="H1" s="52" t="s">
        <x:v>123</x:v>
      </x:c>
      <x:c r="I1" s="52">
        <x:f>F1-K1</x:f>
        <x:v>10</x:v>
      </x:c>
      <x:c r="J1" s="52" t="s">
        <x:v>98</x:v>
      </x:c>
      <x:c r="K1" s="52"/>
    </x:row>
    <x:row r="2" spans="1:11" ht="20.100000000000001" customHeight="1">
      <x:c r="A2" s="271" t="s">
        <x:v>9</x:v>
      </x:c>
      <x:c r="B2" s="272"/>
      <x:c r="C2" s="275">
        <x:f>SUM(C4:D7)</x:f>
        <x:v>4417000</x:v>
      </x:c>
      <x:c r="D2" s="275"/>
      <x:c r="E2" s="278" t="s">
        <x:v>40</x:v>
      </x:c>
      <x:c r="F2" s="279"/>
      <x:c r="G2" s="267">
        <x:v>89900</x:v>
      </x:c>
      <x:c r="H2" s="265" t="s">
        <x:v>6</x:v>
      </x:c>
      <x:c r="I2" s="266"/>
      <x:c r="J2" s="263" t="s">
        <x:v>74</x:v>
      </x:c>
      <x:c r="K2" s="264"/>
    </x:row>
    <x:row r="3" spans="1:11" ht="20.100000000000001" customHeight="1">
      <x:c r="A3" s="273"/>
      <x:c r="B3" s="274"/>
      <x:c r="C3" s="276"/>
      <x:c r="D3" s="276"/>
      <x:c r="E3" s="280"/>
      <x:c r="F3" s="281"/>
      <x:c r="G3" s="268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9" t="s">
        <x:v>22</x:v>
      </x:c>
      <x:c r="B4" s="270"/>
      <x:c r="C4" s="262">
        <x:v>3757500</x:v>
      </x:c>
      <x:c r="D4" s="262"/>
      <x:c r="E4" s="277" t="s">
        <x:v>146</x:v>
      </x:c>
      <x:c r="F4" s="277"/>
      <x:c r="G4" s="133">
        <x:f>INT(C4*0.0275)</x:f>
        <x:v>103331</x:v>
      </x:c>
      <x:c r="H4" s="54" t="s">
        <x:v>20</x:v>
      </x:c>
      <x:c r="I4" s="124">
        <x:v>649150</x:v>
      </x:c>
      <x:c r="J4" s="80" t="s">
        <x:v>36</x:v>
      </x:c>
      <x:c r="K4" s="58">
        <x:v>347000</x:v>
      </x:c>
    </x:row>
    <x:row r="5" spans="1:11" ht="30.949999999999999" customHeight="1">
      <x:c r="A5" s="269" t="s">
        <x:v>61</x:v>
      </x:c>
      <x:c r="B5" s="270"/>
      <x:c r="C5" s="262">
        <x:v>659500</x:v>
      </x:c>
      <x:c r="D5" s="262"/>
      <x:c r="E5" s="261" t="s">
        <x:v>70</x:v>
      </x:c>
      <x:c r="F5" s="261"/>
      <x:c r="G5" s="133">
        <x:f>INT(C5*0.01)</x:f>
        <x:v>6595</x:v>
      </x:c>
      <x:c r="H5" s="54" t="s">
        <x:v>6</x:v>
      </x:c>
      <x:c r="I5" s="124">
        <x:v>138660</x:v>
      </x:c>
      <x:c r="J5" s="81"/>
      <x:c r="K5" s="58"/>
    </x:row>
    <x:row r="6" spans="1:11" ht="21.949999999999999" customHeight="1">
      <x:c r="A6" s="256" t="s">
        <x:v>84</x:v>
      </x:c>
      <x:c r="B6" s="257"/>
      <x:c r="C6" s="301"/>
      <x:c r="D6" s="302"/>
      <x:c r="E6" s="288" t="s">
        <x:v>131</x:v>
      </x:c>
      <x:c r="F6" s="289"/>
      <x:c r="G6" s="282">
        <x:v>650000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8"/>
      <x:c r="B7" s="259"/>
      <x:c r="C7" s="303"/>
      <x:c r="D7" s="304"/>
      <x:c r="E7" s="280"/>
      <x:c r="F7" s="281"/>
      <x:c r="G7" s="268"/>
      <x:c r="H7" s="54" t="s">
        <x:v>24</x:v>
      </x:c>
      <x:c r="I7" s="124"/>
      <x:c r="J7" s="81" t="s">
        <x:v>116</x:v>
      </x:c>
      <x:c r="K7" s="58">
        <x:v>12500</x:v>
      </x:c>
    </x:row>
    <x:row r="8" spans="1:11" ht="21.949999999999999" customHeight="1">
      <x:c r="A8" s="260" t="s">
        <x:v>134</x:v>
      </x:c>
      <x:c r="B8" s="261"/>
      <x:c r="C8" s="262">
        <x:v>99400</x:v>
      </x:c>
      <x:c r="D8" s="262"/>
      <x:c r="E8" s="288" t="s">
        <x:v>110</x:v>
      </x:c>
      <x:c r="F8" s="289"/>
      <x:c r="G8" s="294">
        <x:f>C5+G2-G6-C22</x:f>
        <x:v>99400</x:v>
      </x:c>
      <x:c r="H8" s="54" t="s">
        <x:v>45</x:v>
      </x:c>
      <x:c r="I8" s="124"/>
      <x:c r="J8" s="81"/>
      <x:c r="K8" s="58"/>
    </x:row>
    <x:row r="9" spans="1:11" ht="21.949999999999999" customHeight="1">
      <x:c r="A9" s="260"/>
      <x:c r="B9" s="261"/>
      <x:c r="C9" s="262"/>
      <x:c r="D9" s="262"/>
      <x:c r="E9" s="280"/>
      <x:c r="F9" s="281"/>
      <x:c r="G9" s="295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143</x:v>
      </x:c>
      <x:c r="B10" s="261"/>
      <x:c r="C10" s="262">
        <x:v>56000</x:v>
      </x:c>
      <x:c r="D10" s="262"/>
      <x:c r="E10" s="261" t="s">
        <x:v>87</x:v>
      </x:c>
      <x:c r="F10" s="261"/>
      <x:c r="G10" s="55"/>
      <x:c r="H10" s="54"/>
      <x:c r="I10" s="124"/>
      <x:c r="J10" s="54" t="s">
        <x:v>53</x:v>
      </x:c>
      <x:c r="K10" s="58"/>
    </x:row>
    <x:row r="11" spans="1:11" ht="33" customHeight="1">
      <x:c r="A11" s="260" t="s">
        <x:v>103</x:v>
      </x:c>
      <x:c r="B11" s="261"/>
      <x:c r="C11" s="300"/>
      <x:c r="D11" s="300"/>
      <x:c r="E11" s="300"/>
      <x:c r="F11" s="300"/>
      <x:c r="G11" s="300"/>
      <x:c r="H11" s="54" t="s">
        <x:v>58</x:v>
      </x:c>
      <x:c r="I11" s="58"/>
      <x:c r="J11" s="54" t="s">
        <x:v>82</x:v>
      </x:c>
      <x:c r="K11" s="151"/>
    </x:row>
    <x:row r="12" spans="1:13" ht="21.949999999999999" customHeight="1">
      <x:c r="A12" s="59" t="s">
        <x:v>48</x:v>
      </x:c>
      <x:c r="B12" s="298" t="s">
        <x:v>42</x:v>
      </x:c>
      <x:c r="C12" s="79">
        <x:v>8</x:v>
      </x:c>
      <x:c r="D12" s="288" t="s">
        <x:v>133</x:v>
      </x:c>
      <x:c r="E12" s="289"/>
      <x:c r="F12" s="292">
        <x:v>7</x:v>
      </x:c>
      <x:c r="G12" s="293"/>
      <x:c r="H12" s="54" t="s">
        <x:v>102</x:v>
      </x:c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9"/>
      <x:c r="C13" s="134">
        <x:f>SUM('1:10'!$C$12)</x:f>
        <x:v>77</x:v>
      </x:c>
      <x:c r="D13" s="280"/>
      <x:c r="E13" s="281"/>
      <x:c r="F13" s="290">
        <x:f>SUM('1:10'!$F$12)</x:f>
        <x:v>50</x:v>
      </x:c>
      <x:c r="G13" s="291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8" t="s">
        <x:v>64</x:v>
      </x:c>
      <x:c r="C14" s="79">
        <x:v>22</x:v>
      </x:c>
      <x:c r="D14" s="288" t="s">
        <x:v>95</x:v>
      </x:c>
      <x:c r="E14" s="289"/>
      <x:c r="F14" s="292">
        <x:v>8</x:v>
      </x:c>
      <x:c r="G14" s="293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9"/>
      <x:c r="C15" s="134">
        <x:f>SUM('1:10'!$C$14)</x:f>
        <x:v>220</x:v>
      </x:c>
      <x:c r="D15" s="280"/>
      <x:c r="E15" s="281"/>
      <x:c r="F15" s="290">
        <x:f>SUM('1:10'!$F$14)</x:f>
        <x:v>92</x:v>
      </x:c>
      <x:c r="G15" s="291"/>
      <x:c r="H15" s="54" t="s">
        <x:v>106</x:v>
      </x:c>
      <x:c r="I15" s="58">
        <x:v>145800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8" t="s">
        <x:v>51</x:v>
      </x:c>
      <x:c r="C16" s="79">
        <x:v>3</x:v>
      </x:c>
      <x:c r="D16" s="288" t="s">
        <x:v>117</x:v>
      </x:c>
      <x:c r="E16" s="289"/>
      <x:c r="F16" s="286">
        <x:v>3</x:v>
      </x:c>
      <x:c r="G16" s="286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9"/>
      <x:c r="C17" s="134">
        <x:f>SUM('1:10'!$C$16)</x:f>
        <x:v>37</x:v>
      </x:c>
      <x:c r="D17" s="280"/>
      <x:c r="E17" s="281"/>
      <x:c r="F17" s="287">
        <x:f>F19</x:f>
        <x:v>38</x:v>
      </x:c>
      <x:c r="G17" s="287"/>
      <x:c r="H17" s="54" t="s">
        <x:v>7</x:v>
      </x:c>
      <x:c r="I17" s="58"/>
      <x:c r="J17" s="54" t="s">
        <x:v>90</x:v>
      </x:c>
      <x:c r="K17" s="58">
        <x:v>13000</x:v>
      </x:c>
      <x:c r="L17" s="60"/>
      <x:c r="M17" s="11"/>
    </x:row>
    <x:row r="18" spans="1:13" ht="21.949999999999999" customHeight="1">
      <x:c r="A18" s="59" t="s">
        <x:v>48</x:v>
      </x:c>
      <x:c r="B18" s="298" t="s">
        <x:v>91</x:v>
      </x:c>
      <x:c r="C18" s="79">
        <x:v>9</x:v>
      </x:c>
      <x:c r="D18" s="288" t="s">
        <x:v>130</x:v>
      </x:c>
      <x:c r="E18" s="289"/>
      <x:c r="F18" s="296">
        <x:v>1</x:v>
      </x:c>
      <x:c r="G18" s="297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9"/>
      <x:c r="C19" s="134">
        <x:f>SUM('1:10'!$C$18)</x:f>
        <x:v>87</x:v>
      </x:c>
      <x:c r="D19" s="280"/>
      <x:c r="E19" s="281"/>
      <x:c r="F19" s="287">
        <x:f>SUM('1:10'!$F$18)</x:f>
        <x:v>38</x:v>
      </x:c>
      <x:c r="G19" s="287"/>
      <x:c r="H19" s="58"/>
      <x:c r="I19" s="58"/>
      <x:c r="J19" s="54"/>
      <x:c r="K19" s="58"/>
      <x:c r="L19" s="60"/>
      <x:c r="M19" s="11"/>
    </x:row>
    <x:row r="20" spans="2:13" ht="21.949999999999999" customHeight="1">
      <x:c r="B20" s="52" t="s">
        <x:v>151</x:v>
      </x:c>
      <x:c r="D20" s="261" t="s">
        <x:v>113</x:v>
      </x:c>
      <x:c r="E20" s="261"/>
      <x:c r="F20" s="286">
        <x:v>58</x:v>
      </x:c>
      <x:c r="G20" s="286"/>
      <x:c r="H20" s="58"/>
      <x:c r="J20" s="54"/>
      <x:c r="K20" s="58"/>
      <x:c r="L20" s="60"/>
      <x:c r="M20" s="11"/>
    </x:row>
    <x:row r="21" spans="4:13" ht="21.949999999999999" customHeight="1">
      <x:c r="D21" s="261" t="s">
        <x:v>114</x:v>
      </x:c>
      <x:c r="E21" s="261"/>
      <x:c r="F21" s="287">
        <x:f>SUM('1:10'!$F$20)</x:f>
        <x:v>584</x:v>
      </x:c>
      <x:c r="G21" s="287"/>
      <x:c r="H21" s="58"/>
      <x:c r="J21" s="54"/>
      <x:c r="K21" s="58"/>
      <x:c r="L21" s="60"/>
      <x:c r="M21" s="11"/>
    </x:row>
    <x:row r="22" spans="1:13" ht="32.100000000000001" customHeight="1">
      <x:c r="A22" s="260" t="s">
        <x:v>83</x:v>
      </x:c>
      <x:c r="B22" s="261"/>
      <x:c r="C22" s="285"/>
      <x:c r="D22" s="285"/>
      <x:c r="E22" s="285"/>
      <x:c r="F22" s="285"/>
      <x:c r="G22" s="285"/>
      <x:c r="H22" s="54"/>
      <x:c r="J22" s="54"/>
      <x:c r="K22" s="58"/>
      <x:c r="L22" s="60"/>
      <x:c r="M22" s="11"/>
    </x:row>
    <x:row r="23" spans="1:15" ht="34.149999999999999" customHeight="1">
      <x:c r="A23" s="260" t="s">
        <x:v>124</x:v>
      </x:c>
      <x:c r="B23" s="261"/>
      <x:c r="C23" s="316"/>
      <x:c r="D23" s="317"/>
      <x:c r="E23" s="317"/>
      <x:c r="F23" s="317"/>
      <x:c r="G23" s="317"/>
      <x:c r="H23" s="107" t="s">
        <x:v>94</x:v>
      </x:c>
      <x:c r="I23" s="108">
        <x:f>SUM(I4:I22)</x:f>
        <x:v>933610</x:v>
      </x:c>
      <x:c r="J23" s="61" t="s">
        <x:v>119</x:v>
      </x:c>
      <x:c r="K23" s="62">
        <x:f>SUM(K4:K22)</x:f>
        <x:v>372500</x:v>
      </x:c>
      <x:c r="M23" s="88" t="s">
        <x:v>93</x:v>
      </x:c>
      <x:c r="N23" s="283">
        <x:f>C5+C6</x:f>
        <x:v>659500</x:v>
      </x:c>
      <x:c r="O23" s="284"/>
    </x:row>
    <x:row r="24" spans="1:11" ht="34.149999999999999" customHeight="1">
      <x:c r="A24" s="260" t="s">
        <x:v>8</x:v>
      </x:c>
      <x:c r="B24" s="261"/>
      <x:c r="C24" s="261" t="s">
        <x:v>86</x:v>
      </x:c>
      <x:c r="D24" s="261"/>
      <x:c r="E24" s="261" t="s">
        <x:v>101</x:v>
      </x:c>
      <x:c r="F24" s="261"/>
      <x:c r="G24" s="261"/>
      <x:c r="H24" s="107" t="s">
        <x:v>8</x:v>
      </x:c>
      <x:c r="I24" s="109">
        <x:f>I23/A25</x:f>
        <x:v>0.2113674439664931</x:v>
      </x:c>
      <x:c r="J24" s="61" t="s">
        <x:v>8</x:v>
      </x:c>
      <x:c r="K24" s="63">
        <x:f>K23/A25</x:f>
        <x:v>0.084333257867330771</x:v>
      </x:c>
    </x:row>
    <x:row r="25" spans="1:11" ht="34.149999999999999" customHeight="1">
      <x:c r="A25" s="312">
        <x:f>C2</x:f>
        <x:v>4417000</x:v>
      </x:c>
      <x:c r="B25" s="276"/>
      <x:c r="C25" s="276">
        <x:f>E25/I1</x:f>
        <x:v>4083000</x:v>
      </x:c>
      <x:c r="D25" s="276"/>
      <x:c r="E25" s="276">
        <x:f>SUM('1:10'!$A$25)</x:f>
        <x:v>40830000</x:v>
      </x:c>
      <x:c r="F25" s="276"/>
      <x:c r="G25" s="276"/>
      <x:c r="H25" s="107" t="s">
        <x:v>33</x:v>
      </x:c>
      <x:c r="I25" s="108">
        <x:f>SUM('1'!$I$23)</x:f>
        <x:v>2230104</x:v>
      </x:c>
      <x:c r="J25" s="61" t="s">
        <x:v>33</x:v>
      </x:c>
      <x:c r="K25" s="62">
        <x:f>SUM('1:10'!$K$21)</x:f>
        <x:v>0</x:v>
      </x:c>
    </x:row>
    <x:row r="26" spans="1:11" ht="34.149999999999999" customHeight="1">
      <x:c r="A26" s="260" t="s">
        <x:v>142</x:v>
      </x:c>
      <x:c r="B26" s="261"/>
      <x:c r="C26" s="261"/>
      <x:c r="D26" s="261"/>
      <x:c r="E26" s="262"/>
      <x:c r="F26" s="262"/>
      <x:c r="G26" s="262"/>
      <x:c r="H26" s="107" t="s">
        <x:v>128</x:v>
      </x:c>
      <x:c r="I26" s="110">
        <x:f>I25/$E$25</x:f>
        <x:v>0.054619250551065396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8" t="s">
        <x:v>141</x:v>
      </x:c>
      <x:c r="B27" s="54" t="s">
        <x:v>44</x:v>
      </x:c>
      <x:c r="C27" s="276">
        <x:f>4000000/30</x:f>
        <x:v>133333.33333333334</x:v>
      </x:c>
      <x:c r="D27" s="276"/>
      <x:c r="E27" s="55" t="s">
        <x:v>147</x:v>
      </x:c>
      <x:c r="F27" s="262">
        <x:f>13000*5</x:f>
        <x:v>65000</x:v>
      </x:c>
      <x:c r="G27" s="262"/>
      <x:c r="H27" s="111" t="s">
        <x:v>118</x:v>
      </x:c>
      <x:c r="I27" s="112">
        <x:f>SUM(C27:D34,F27:G32)</x:f>
        <x:v>765133.33333333337</x:v>
      </x:c>
      <x:c r="M27" s="66"/>
    </x:row>
    <x:row r="28" spans="1:13" ht="30.949999999999999" customHeight="1">
      <x:c r="A28" s="319"/>
      <x:c r="B28" s="54" t="s">
        <x:v>23</x:v>
      </x:c>
      <x:c r="C28" s="276">
        <x:f>3800000/30</x:f>
        <x:v>126666.66666666667</x:v>
      </x:c>
      <x:c r="D28" s="276"/>
      <x:c r="E28" s="55" t="s">
        <x:v>149</x:v>
      </x:c>
      <x:c r="F28" s="276">
        <x:f>1500000/30</x:f>
        <x:v>50000</x:v>
      </x:c>
      <x:c r="G28" s="276"/>
      <x:c r="H28" s="111" t="s">
        <x:v>8</x:v>
      </x:c>
      <x:c r="I28" s="113">
        <x:f>I27/$A$25</x:f>
        <x:v>0.17322466228963854</x:v>
      </x:c>
      <x:c r="M28" s="66"/>
    </x:row>
    <x:row r="29" spans="1:13" ht="30.949999999999999" customHeight="1">
      <x:c r="A29" s="319"/>
      <x:c r="B29" s="54" t="s">
        <x:v>47</x:v>
      </x:c>
      <x:c r="C29" s="276">
        <x:f>3200000/30</x:f>
        <x:v>106666.66666666667</x:v>
      </x:c>
      <x:c r="D29" s="276"/>
      <x:c r="E29" s="54" t="s">
        <x:v>57</x:v>
      </x:c>
      <x:c r="F29" s="262">
        <x:v>46800</x:v>
      </x:c>
      <x:c r="G29" s="262"/>
      <x:c r="H29" s="111" t="s">
        <x:v>33</x:v>
      </x:c>
      <x:c r="I29" s="112">
        <x:f>SUM('1:10'!$I$25)</x:f>
        <x:v>22301040</x:v>
      </x:c>
      <x:c r="M29" s="66"/>
    </x:row>
    <x:row r="30" spans="1:13" ht="30.949999999999999" customHeight="1">
      <x:c r="A30" s="319"/>
      <x:c r="B30" s="54"/>
      <x:c r="C30" s="315"/>
      <x:c r="D30" s="315"/>
      <x:c r="E30" s="55"/>
      <x:c r="F30" s="310"/>
      <x:c r="G30" s="311"/>
      <x:c r="H30" s="111" t="s">
        <x:v>128</x:v>
      </x:c>
      <x:c r="I30" s="113">
        <x:f>I29/$I$27</x:f>
        <x:v>29.146606255990239</x:v>
      </x:c>
      <x:c r="M30" s="66"/>
    </x:row>
    <x:row r="31" spans="1:7" customHeight="1">
      <x:c r="A31" s="319"/>
      <x:c r="B31" s="54" t="s">
        <x:v>41</x:v>
      </x:c>
      <x:c r="C31" s="313">
        <x:f>3500000/30</x:f>
        <x:v>116666.66666666667</x:v>
      </x:c>
      <x:c r="D31" s="314"/>
      <x:c r="E31" s="55" t="s">
        <x:v>4</x:v>
      </x:c>
      <x:c r="F31" s="310">
        <x:v>120000</x:v>
      </x:c>
      <x:c r="G31" s="311"/>
    </x:row>
    <x:row r="32" spans="1:7" customHeight="1">
      <x:c r="A32" s="319"/>
      <x:c r="B32" s="54"/>
      <x:c r="C32" s="308"/>
      <x:c r="D32" s="309"/>
      <x:c r="E32" s="55" t="s">
        <x:v>138</x:v>
      </x:c>
      <x:c r="F32" s="310"/>
      <x:c r="G32" s="311"/>
    </x:row>
    <x:row r="33" spans="1:4" customHeight="1">
      <x:c r="A33" s="319"/>
      <x:c r="B33" s="54" t="s">
        <x:v>21</x:v>
      </x:c>
      <x:c r="C33" s="308"/>
      <x:c r="D33" s="309"/>
    </x:row>
    <x:row r="34" spans="1:4" customHeight="1">
      <x:c r="A34" s="320"/>
      <x:c r="B34" s="54"/>
      <x:c r="C34" s="310"/>
      <x:c r="D34" s="311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/>
  <x:dimension ref="A1:P34"/>
  <x:sheetViews>
    <x:sheetView topLeftCell="A1" zoomScale="85" zoomScaleNormal="85" zoomScaleSheetLayoutView="75" workbookViewId="0">
      <x:selection activeCell="J34" activeCellId="0" sqref="J34:J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152</x:v>
      </x:c>
      <x:c r="F1" s="68">
        <x:v>11</x:v>
      </x:c>
      <x:c r="G1" s="68" t="s">
        <x:v>50</x:v>
      </x:c>
      <x:c r="H1" s="52" t="s">
        <x:v>123</x:v>
      </x:c>
      <x:c r="I1" s="52">
        <x:f>F1-K1</x:f>
        <x:v>11</x:v>
      </x:c>
      <x:c r="J1" s="52" t="s">
        <x:v>98</x:v>
      </x:c>
      <x:c r="K1" s="52"/>
    </x:row>
    <x:row r="2" spans="1:11" ht="20.100000000000001" customHeight="1">
      <x:c r="A2" s="271" t="s">
        <x:v>9</x:v>
      </x:c>
      <x:c r="B2" s="272"/>
      <x:c r="C2" s="275">
        <x:f>SUM(C4:D7)</x:f>
        <x:v>4855500</x:v>
      </x:c>
      <x:c r="D2" s="275"/>
      <x:c r="E2" s="278" t="s">
        <x:v>40</x:v>
      </x:c>
      <x:c r="F2" s="279"/>
      <x:c r="G2" s="267">
        <x:v>99400</x:v>
      </x:c>
      <x:c r="H2" s="265" t="s">
        <x:v>6</x:v>
      </x:c>
      <x:c r="I2" s="266"/>
      <x:c r="J2" s="263" t="s">
        <x:v>74</x:v>
      </x:c>
      <x:c r="K2" s="264"/>
    </x:row>
    <x:row r="3" spans="1:11" ht="20.100000000000001" customHeight="1">
      <x:c r="A3" s="273"/>
      <x:c r="B3" s="274"/>
      <x:c r="C3" s="276"/>
      <x:c r="D3" s="276"/>
      <x:c r="E3" s="280"/>
      <x:c r="F3" s="281"/>
      <x:c r="G3" s="268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9" t="s">
        <x:v>22</x:v>
      </x:c>
      <x:c r="B4" s="270"/>
      <x:c r="C4" s="262">
        <x:v>4449500</x:v>
      </x:c>
      <x:c r="D4" s="262"/>
      <x:c r="E4" s="277" t="s">
        <x:v>146</x:v>
      </x:c>
      <x:c r="F4" s="277"/>
      <x:c r="G4" s="133">
        <x:f>INT(C4*0.0275)</x:f>
        <x:v>122361</x:v>
      </x:c>
      <x:c r="H4" s="54" t="s">
        <x:v>20</x:v>
      </x:c>
      <x:c r="I4" s="124">
        <x:v>2309651</x:v>
      </x:c>
      <x:c r="J4" s="80" t="s">
        <x:v>36</x:v>
      </x:c>
      <x:c r="K4" s="58"/>
    </x:row>
    <x:row r="5" spans="1:11" ht="30.949999999999999" customHeight="1">
      <x:c r="A5" s="269" t="s">
        <x:v>61</x:v>
      </x:c>
      <x:c r="B5" s="270"/>
      <x:c r="C5" s="262">
        <x:v>406000</x:v>
      </x:c>
      <x:c r="D5" s="262"/>
      <x:c r="E5" s="261" t="s">
        <x:v>70</x:v>
      </x:c>
      <x:c r="F5" s="261"/>
      <x:c r="G5" s="133">
        <x:f>INT(C5*0.01)</x:f>
        <x:v>4060</x:v>
      </x:c>
      <x:c r="H5" s="54" t="s">
        <x:v>6</x:v>
      </x:c>
      <x:c r="I5" s="124">
        <x:v>352846</x:v>
      </x:c>
      <x:c r="J5" s="81"/>
      <x:c r="K5" s="58"/>
    </x:row>
    <x:row r="6" spans="1:11" ht="21.949999999999999" customHeight="1">
      <x:c r="A6" s="256" t="s">
        <x:v>84</x:v>
      </x:c>
      <x:c r="B6" s="257"/>
      <x:c r="C6" s="301"/>
      <x:c r="D6" s="302"/>
      <x:c r="E6" s="288" t="s">
        <x:v>131</x:v>
      </x:c>
      <x:c r="F6" s="289"/>
      <x:c r="G6" s="282">
        <x:v>430000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8"/>
      <x:c r="B7" s="259"/>
      <x:c r="C7" s="303"/>
      <x:c r="D7" s="304"/>
      <x:c r="E7" s="280"/>
      <x:c r="F7" s="281"/>
      <x:c r="G7" s="268"/>
      <x:c r="H7" s="54" t="s">
        <x:v>24</x:v>
      </x:c>
      <x:c r="I7" s="124">
        <x:v>377900</x:v>
      </x:c>
      <x:c r="J7" s="81" t="s">
        <x:v>116</x:v>
      </x:c>
      <x:c r="K7" s="58"/>
    </x:row>
    <x:row r="8" spans="1:11" ht="21.949999999999999" customHeight="1">
      <x:c r="A8" s="260" t="s">
        <x:v>134</x:v>
      </x:c>
      <x:c r="B8" s="261"/>
      <x:c r="C8" s="262">
        <x:v>75400</x:v>
      </x:c>
      <x:c r="D8" s="262"/>
      <x:c r="E8" s="288" t="s">
        <x:v>110</x:v>
      </x:c>
      <x:c r="F8" s="289"/>
      <x:c r="G8" s="294">
        <x:f>C5+G2-G6-C22</x:f>
        <x:v>75400</x:v>
      </x:c>
      <x:c r="H8" s="54" t="s">
        <x:v>45</x:v>
      </x:c>
      <x:c r="I8" s="124">
        <x:v>64000</x:v>
      </x:c>
      <x:c r="J8" s="81"/>
      <x:c r="K8" s="58"/>
    </x:row>
    <x:row r="9" spans="1:11" ht="21.949999999999999" customHeight="1">
      <x:c r="A9" s="260"/>
      <x:c r="B9" s="261"/>
      <x:c r="C9" s="262"/>
      <x:c r="D9" s="262"/>
      <x:c r="E9" s="280"/>
      <x:c r="F9" s="281"/>
      <x:c r="G9" s="295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143</x:v>
      </x:c>
      <x:c r="B10" s="261"/>
      <x:c r="C10" s="262"/>
      <x:c r="D10" s="262"/>
      <x:c r="E10" s="261" t="s">
        <x:v>87</x:v>
      </x:c>
      <x:c r="F10" s="261"/>
      <x:c r="G10" s="55"/>
      <x:c r="H10" s="54"/>
      <x:c r="I10" s="124"/>
      <x:c r="J10" s="54" t="s">
        <x:v>53</x:v>
      </x:c>
      <x:c r="K10" s="58"/>
    </x:row>
    <x:row r="11" spans="1:16" ht="33" customHeight="1">
      <x:c r="A11" s="260" t="s">
        <x:v>103</x:v>
      </x:c>
      <x:c r="B11" s="261"/>
      <x:c r="C11" s="300"/>
      <x:c r="D11" s="300"/>
      <x:c r="E11" s="300"/>
      <x:c r="F11" s="300"/>
      <x:c r="G11" s="300"/>
      <x:c r="H11" s="54" t="s">
        <x:v>58</x:v>
      </x:c>
      <x:c r="I11" s="58"/>
      <x:c r="J11" s="54" t="s">
        <x:v>82</x:v>
      </x:c>
      <x:c r="K11" s="151"/>
      <x:c r="M11" s="52"/>
      <x:c r="N11" s="52"/>
      <x:c r="O11" s="52"/>
      <x:c r="P11" s="52"/>
    </x:row>
    <x:row r="12" spans="1:12" ht="21.949999999999999" customHeight="1">
      <x:c r="A12" s="59" t="s">
        <x:v>48</x:v>
      </x:c>
      <x:c r="B12" s="298" t="s">
        <x:v>42</x:v>
      </x:c>
      <x:c r="C12" s="79">
        <x:v>5</x:v>
      </x:c>
      <x:c r="D12" s="288" t="s">
        <x:v>133</x:v>
      </x:c>
      <x:c r="E12" s="289"/>
      <x:c r="F12" s="292">
        <x:v>4</x:v>
      </x:c>
      <x:c r="G12" s="293"/>
      <x:c r="H12" s="54" t="s">
        <x:v>102</x:v>
      </x:c>
      <x:c r="I12" s="58"/>
      <x:c r="J12" s="54"/>
      <x:c r="K12" s="58"/>
      <x:c r="L12" s="60"/>
    </x:row>
    <x:row r="13" spans="1:12" ht="21.949999999999999" customHeight="1">
      <x:c r="A13" s="59" t="s">
        <x:v>96</x:v>
      </x:c>
      <x:c r="B13" s="299"/>
      <x:c r="C13" s="134">
        <x:f>SUM('1:11'!$C$12)</x:f>
        <x:v>82</x:v>
      </x:c>
      <x:c r="D13" s="280"/>
      <x:c r="E13" s="281"/>
      <x:c r="F13" s="290">
        <x:f>SUM('1:11'!$F$12)</x:f>
        <x:v>54</x:v>
      </x:c>
      <x:c r="G13" s="291"/>
      <x:c r="H13" s="54" t="s">
        <x:v>126</x:v>
      </x:c>
      <x:c r="I13" s="58"/>
      <x:c r="J13" s="54"/>
      <x:c r="K13" s="58"/>
      <x:c r="L13" s="60"/>
    </x:row>
    <x:row r="14" spans="1:13" ht="21.949999999999999" customHeight="1">
      <x:c r="A14" s="59" t="s">
        <x:v>48</x:v>
      </x:c>
      <x:c r="B14" s="298" t="s">
        <x:v>64</x:v>
      </x:c>
      <x:c r="C14" s="79">
        <x:v>18</x:v>
      </x:c>
      <x:c r="D14" s="288" t="s">
        <x:v>95</x:v>
      </x:c>
      <x:c r="E14" s="289"/>
      <x:c r="F14" s="292">
        <x:v>10</x:v>
      </x:c>
      <x:c r="G14" s="293"/>
      <x:c r="H14" s="54" t="s">
        <x:v>111</x:v>
      </x:c>
      <x:c r="I14" s="58"/>
      <x:c r="J14" s="54"/>
      <x:c r="K14" s="58"/>
      <x:c r="L14" s="60"/>
      <x:c r="M14" s="53" t="s">
        <x:v>148</x:v>
      </x:c>
    </x:row>
    <x:row r="15" spans="1:12" ht="21.949999999999999" customHeight="1">
      <x:c r="A15" s="59" t="s">
        <x:v>96</x:v>
      </x:c>
      <x:c r="B15" s="299"/>
      <x:c r="C15" s="134">
        <x:f>SUM('1:11'!$C$14)</x:f>
        <x:v>238</x:v>
      </x:c>
      <x:c r="D15" s="280"/>
      <x:c r="E15" s="281"/>
      <x:c r="F15" s="290">
        <x:f>SUM('1:11'!$F$14)</x:f>
        <x:v>102</x:v>
      </x:c>
      <x:c r="G15" s="291"/>
      <x:c r="H15" s="54" t="s">
        <x:v>106</x:v>
      </x:c>
      <x:c r="I15" s="58">
        <x:v>79000</x:v>
      </x:c>
      <x:c r="J15" s="54" t="s">
        <x:v>74</x:v>
      </x:c>
      <x:c r="K15" s="58"/>
      <x:c r="L15" s="60"/>
    </x:row>
    <x:row r="16" spans="1:12" ht="21.949999999999999" customHeight="1">
      <x:c r="A16" s="59" t="s">
        <x:v>48</x:v>
      </x:c>
      <x:c r="B16" s="298" t="s">
        <x:v>51</x:v>
      </x:c>
      <x:c r="C16" s="79">
        <x:v>6</x:v>
      </x:c>
      <x:c r="D16" s="288" t="s">
        <x:v>117</x:v>
      </x:c>
      <x:c r="E16" s="289"/>
      <x:c r="F16" s="286">
        <x:v>19</x:v>
      </x:c>
      <x:c r="G16" s="286"/>
      <x:c r="H16" s="54"/>
      <x:c r="I16" s="58"/>
      <x:c r="J16" s="54" t="s">
        <x:v>97</x:v>
      </x:c>
      <x:c r="K16" s="58"/>
      <x:c r="L16" s="60"/>
    </x:row>
    <x:row r="17" spans="1:12" ht="21.949999999999999" customHeight="1">
      <x:c r="A17" s="59" t="s">
        <x:v>96</x:v>
      </x:c>
      <x:c r="B17" s="299"/>
      <x:c r="C17" s="134">
        <x:f>SUM('1:11'!$C$16)</x:f>
        <x:v>43</x:v>
      </x:c>
      <x:c r="D17" s="280"/>
      <x:c r="E17" s="281"/>
      <x:c r="F17" s="287">
        <x:f>SUM('1:11'!$F$16)</x:f>
        <x:v>124</x:v>
      </x:c>
      <x:c r="G17" s="287"/>
      <x:c r="H17" s="54" t="s">
        <x:v>7</x:v>
      </x:c>
      <x:c r="I17" s="58"/>
      <x:c r="J17" s="54" t="s">
        <x:v>90</x:v>
      </x:c>
      <x:c r="K17" s="58">
        <x:v>94940</x:v>
      </x:c>
      <x:c r="L17" s="60"/>
    </x:row>
    <x:row r="18" spans="1:12" ht="21.949999999999999" customHeight="1">
      <x:c r="A18" s="59" t="s">
        <x:v>48</x:v>
      </x:c>
      <x:c r="B18" s="298" t="s">
        <x:v>91</x:v>
      </x:c>
      <x:c r="C18" s="79">
        <x:v>17</x:v>
      </x:c>
      <x:c r="D18" s="288" t="s">
        <x:v>130</x:v>
      </x:c>
      <x:c r="E18" s="289"/>
      <x:c r="F18" s="296">
        <x:v>4</x:v>
      </x:c>
      <x:c r="G18" s="297"/>
      <x:c r="H18" s="54"/>
      <x:c r="I18" s="58"/>
      <x:c r="J18" s="54"/>
      <x:c r="K18" s="58"/>
      <x:c r="L18" s="60"/>
    </x:row>
    <x:row r="19" spans="1:12" ht="21.949999999999999" customHeight="1">
      <x:c r="A19" s="59" t="s">
        <x:v>96</x:v>
      </x:c>
      <x:c r="B19" s="299"/>
      <x:c r="C19" s="134">
        <x:f>SUM('1:11'!$C$18)</x:f>
        <x:v>104</x:v>
      </x:c>
      <x:c r="D19" s="280"/>
      <x:c r="E19" s="281"/>
      <x:c r="F19" s="287">
        <x:f>SUM('1:11'!$F$18)</x:f>
        <x:v>42</x:v>
      </x:c>
      <x:c r="G19" s="287"/>
      <x:c r="H19" s="58"/>
      <x:c r="I19" s="58"/>
      <x:c r="J19" s="54"/>
      <x:c r="K19" s="58"/>
      <x:c r="L19" s="60"/>
    </x:row>
    <x:row r="20" spans="2:12" ht="21.949999999999999" customHeight="1">
      <x:c r="B20" s="52" t="s">
        <x:v>151</x:v>
      </x:c>
      <x:c r="D20" s="261" t="s">
        <x:v>113</x:v>
      </x:c>
      <x:c r="E20" s="261"/>
      <x:c r="F20" s="286">
        <x:v>61</x:v>
      </x:c>
      <x:c r="G20" s="286"/>
      <x:c r="H20" s="58"/>
      <x:c r="J20" s="54"/>
      <x:c r="K20" s="58"/>
      <x:c r="L20" s="60"/>
    </x:row>
    <x:row r="21" spans="4:12" ht="21.949999999999999" customHeight="1">
      <x:c r="D21" s="261" t="s">
        <x:v>114</x:v>
      </x:c>
      <x:c r="E21" s="261"/>
      <x:c r="F21" s="287">
        <x:f>SUM('1:11'!$F$20)</x:f>
        <x:v>645</x:v>
      </x:c>
      <x:c r="G21" s="287"/>
      <x:c r="H21" s="58"/>
      <x:c r="J21" s="54"/>
      <x:c r="K21" s="58"/>
      <x:c r="L21" s="60"/>
    </x:row>
    <x:row r="22" spans="1:12" ht="32.100000000000001" customHeight="1">
      <x:c r="A22" s="260" t="s">
        <x:v>83</x:v>
      </x:c>
      <x:c r="B22" s="261"/>
      <x:c r="C22" s="285"/>
      <x:c r="D22" s="285"/>
      <x:c r="E22" s="285"/>
      <x:c r="F22" s="285"/>
      <x:c r="G22" s="285"/>
      <x:c r="H22" s="54"/>
      <x:c r="J22" s="54"/>
      <x:c r="K22" s="58"/>
      <x:c r="L22" s="60"/>
    </x:row>
    <x:row r="23" spans="1:15" ht="34.149999999999999" customHeight="1">
      <x:c r="A23" s="260" t="s">
        <x:v>124</x:v>
      </x:c>
      <x:c r="B23" s="261"/>
      <x:c r="C23" s="316"/>
      <x:c r="D23" s="317"/>
      <x:c r="E23" s="317"/>
      <x:c r="F23" s="317"/>
      <x:c r="G23" s="317"/>
      <x:c r="H23" s="107" t="s">
        <x:v>94</x:v>
      </x:c>
      <x:c r="I23" s="108">
        <x:f>SUM(I4:I22)</x:f>
        <x:v>3183397</x:v>
      </x:c>
      <x:c r="J23" s="61" t="s">
        <x:v>119</x:v>
      </x:c>
      <x:c r="K23" s="62">
        <x:f>SUM(K4:K22)</x:f>
        <x:v>94940</x:v>
      </x:c>
      <x:c r="M23" s="88" t="s">
        <x:v>93</x:v>
      </x:c>
      <x:c r="N23" s="283">
        <x:f>C5+C6</x:f>
        <x:v>406000</x:v>
      </x:c>
      <x:c r="O23" s="284"/>
    </x:row>
    <x:row r="24" spans="1:11" ht="34.149999999999999" customHeight="1">
      <x:c r="A24" s="260" t="s">
        <x:v>8</x:v>
      </x:c>
      <x:c r="B24" s="261"/>
      <x:c r="C24" s="261" t="s">
        <x:v>86</x:v>
      </x:c>
      <x:c r="D24" s="261"/>
      <x:c r="E24" s="261" t="s">
        <x:v>101</x:v>
      </x:c>
      <x:c r="F24" s="261"/>
      <x:c r="G24" s="261"/>
      <x:c r="H24" s="107" t="s">
        <x:v>8</x:v>
      </x:c>
      <x:c r="I24" s="109">
        <x:f>I23/A25</x:f>
        <x:v>0.65562702090412939</x:v>
      </x:c>
      <x:c r="J24" s="61" t="s">
        <x:v>8</x:v>
      </x:c>
      <x:c r="K24" s="63">
        <x:f>K23/A25</x:f>
        <x:v>0.019553084131397384</x:v>
      </x:c>
    </x:row>
    <x:row r="25" spans="1:11" ht="34.149999999999999" customHeight="1">
      <x:c r="A25" s="312">
        <x:f>C2</x:f>
        <x:v>4855500</x:v>
      </x:c>
      <x:c r="B25" s="276"/>
      <x:c r="C25" s="276">
        <x:f>E25/I1</x:f>
        <x:v>4153227.2727272729</x:v>
      </x:c>
      <x:c r="D25" s="276"/>
      <x:c r="E25" s="276">
        <x:f>SUM('1:11'!$A$25)</x:f>
        <x:v>45685500</x:v>
      </x:c>
      <x:c r="F25" s="276"/>
      <x:c r="G25" s="276"/>
      <x:c r="H25" s="107" t="s">
        <x:v>33</x:v>
      </x:c>
      <x:c r="I25" s="108">
        <x:f>SUM('1'!$I$23)</x:f>
        <x:v>2230104</x:v>
      </x:c>
      <x:c r="J25" s="61" t="s">
        <x:v>33</x:v>
      </x:c>
      <x:c r="K25" s="62">
        <x:f>SUM('1:11'!$K$21)</x:f>
        <x:v>0</x:v>
      </x:c>
    </x:row>
    <x:row r="26" spans="1:11" ht="34.149999999999999" customHeight="1">
      <x:c r="A26" s="260" t="s">
        <x:v>142</x:v>
      </x:c>
      <x:c r="B26" s="261"/>
      <x:c r="C26" s="261"/>
      <x:c r="D26" s="261"/>
      <x:c r="E26" s="262"/>
      <x:c r="F26" s="262"/>
      <x:c r="G26" s="262"/>
      <x:c r="H26" s="107" t="s">
        <x:v>128</x:v>
      </x:c>
      <x:c r="I26" s="110">
        <x:f>I25/$E$25</x:f>
        <x:v>0.048814262731063464</x:v>
      </x:c>
      <x:c r="J26" s="64" t="s">
        <x:v>128</x:v>
      </x:c>
      <x:c r="K26" s="65">
        <x:f>K25/$E$25</x:f>
        <x:v>0</x:v>
      </x:c>
    </x:row>
    <x:row r="27" spans="1:9" ht="30.949999999999999" customHeight="1">
      <x:c r="A27" s="318" t="s">
        <x:v>141</x:v>
      </x:c>
      <x:c r="B27" s="54" t="s">
        <x:v>44</x:v>
      </x:c>
      <x:c r="C27" s="276">
        <x:f>4000000/30</x:f>
        <x:v>133333.33333333334</x:v>
      </x:c>
      <x:c r="D27" s="276"/>
      <x:c r="E27" s="55" t="s">
        <x:v>147</x:v>
      </x:c>
      <x:c r="F27" s="262">
        <x:f>13000*4.5</x:f>
        <x:v>58500</x:v>
      </x:c>
      <x:c r="G27" s="262"/>
      <x:c r="H27" s="111" t="s">
        <x:v>118</x:v>
      </x:c>
      <x:c r="I27" s="112">
        <x:f>SUM(C27:D34,F27:G32)</x:f>
        <x:v>758633.33333333337</x:v>
      </x:c>
    </x:row>
    <x:row r="28" spans="1:9" ht="30.949999999999999" customHeight="1">
      <x:c r="A28" s="319"/>
      <x:c r="B28" s="54" t="s">
        <x:v>23</x:v>
      </x:c>
      <x:c r="C28" s="276">
        <x:f>3800000/30</x:f>
        <x:v>126666.66666666667</x:v>
      </x:c>
      <x:c r="D28" s="276"/>
      <x:c r="E28" s="55" t="s">
        <x:v>149</x:v>
      </x:c>
      <x:c r="F28" s="276">
        <x:f>1500000/30</x:f>
        <x:v>50000</x:v>
      </x:c>
      <x:c r="G28" s="276"/>
      <x:c r="H28" s="111" t="s">
        <x:v>8</x:v>
      </x:c>
      <x:c r="I28" s="113">
        <x:f>I27/$A$25</x:f>
        <x:v>0.15624206226615867</x:v>
      </x:c>
    </x:row>
    <x:row r="29" spans="1:9" ht="30.949999999999999" customHeight="1">
      <x:c r="A29" s="319"/>
      <x:c r="B29" s="54" t="s">
        <x:v>47</x:v>
      </x:c>
      <x:c r="C29" s="276">
        <x:f>3200000/30</x:f>
        <x:v>106666.66666666667</x:v>
      </x:c>
      <x:c r="D29" s="276"/>
      <x:c r="E29" s="54" t="s">
        <x:v>57</x:v>
      </x:c>
      <x:c r="F29" s="262">
        <x:f>11700*4</x:f>
        <x:v>46800</x:v>
      </x:c>
      <x:c r="G29" s="262"/>
      <x:c r="H29" s="111" t="s">
        <x:v>33</x:v>
      </x:c>
      <x:c r="I29" s="112">
        <x:f>SUM('1:11'!$I$25)</x:f>
        <x:v>24531144</x:v>
      </x:c>
    </x:row>
    <x:row r="30" spans="1:9" ht="30.949999999999999" customHeight="1">
      <x:c r="A30" s="319"/>
      <x:c r="B30" s="54"/>
      <x:c r="C30" s="315"/>
      <x:c r="D30" s="315"/>
      <x:c r="E30" s="55"/>
      <x:c r="F30" s="310"/>
      <x:c r="G30" s="311"/>
      <x:c r="H30" s="111" t="s">
        <x:v>128</x:v>
      </x:c>
      <x:c r="I30" s="113">
        <x:f>I29/$I$27</x:f>
        <x:v>32.335969067182212</x:v>
      </x:c>
    </x:row>
    <x:row r="31" spans="1:7" customHeight="1">
      <x:c r="A31" s="319"/>
      <x:c r="B31" s="54" t="s">
        <x:v>41</x:v>
      </x:c>
      <x:c r="C31" s="313">
        <x:f>3500000/30</x:f>
        <x:v>116666.66666666667</x:v>
      </x:c>
      <x:c r="D31" s="314"/>
      <x:c r="E31" s="55" t="s">
        <x:v>4</x:v>
      </x:c>
      <x:c r="F31" s="310">
        <x:v>120000</x:v>
      </x:c>
      <x:c r="G31" s="311"/>
    </x:row>
    <x:row r="32" spans="1:7" customHeight="1">
      <x:c r="A32" s="319"/>
      <x:c r="B32" s="54"/>
      <x:c r="C32" s="308"/>
      <x:c r="D32" s="309"/>
      <x:c r="E32" s="55" t="s">
        <x:v>138</x:v>
      </x:c>
      <x:c r="F32" s="310"/>
      <x:c r="G32" s="311"/>
    </x:row>
    <x:row r="33" spans="1:3" customHeight="1">
      <x:c r="A33" s="319"/>
      <x:c r="B33" s="54" t="s">
        <x:v>21</x:v>
      </x:c>
      <x:c r="C33" s="132"/>
    </x:row>
    <x:row r="34" spans="1:4" customHeight="1">
      <x:c r="A34" s="320"/>
      <x:c r="B34" s="54"/>
      <x:c r="C34" s="308"/>
      <x:c r="D34" s="309"/>
    </x:row>
  </x:sheetData>
  <x:mergeCells count="73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4"/>
  <x:dimension ref="A1:O34"/>
  <x:sheetViews>
    <x:sheetView topLeftCell="A1" zoomScale="85" zoomScaleNormal="85" zoomScaleSheetLayoutView="75" workbookViewId="0">
      <x:selection activeCell="J34" activeCellId="0" sqref="J34:J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152</x:v>
      </x:c>
      <x:c r="F1" s="68">
        <x:v>12</x:v>
      </x:c>
      <x:c r="G1" s="68" t="s">
        <x:v>28</x:v>
      </x:c>
      <x:c r="H1" s="52" t="s">
        <x:v>123</x:v>
      </x:c>
      <x:c r="I1" s="52">
        <x:f>F1-K1</x:f>
        <x:v>12</x:v>
      </x:c>
      <x:c r="J1" s="52" t="s">
        <x:v>98</x:v>
      </x:c>
      <x:c r="K1" s="52"/>
    </x:row>
    <x:row r="2" spans="1:11" ht="20.100000000000001" customHeight="1">
      <x:c r="A2" s="271" t="s">
        <x:v>9</x:v>
      </x:c>
      <x:c r="B2" s="272"/>
      <x:c r="C2" s="275">
        <x:f>SUM(C4:D7)</x:f>
        <x:v>5135500</x:v>
      </x:c>
      <x:c r="D2" s="275"/>
      <x:c r="E2" s="278" t="s">
        <x:v>40</x:v>
      </x:c>
      <x:c r="F2" s="279"/>
      <x:c r="G2" s="267">
        <x:v>75400</x:v>
      </x:c>
      <x:c r="H2" s="265" t="s">
        <x:v>6</x:v>
      </x:c>
      <x:c r="I2" s="266"/>
      <x:c r="J2" s="263" t="s">
        <x:v>74</x:v>
      </x:c>
      <x:c r="K2" s="264"/>
    </x:row>
    <x:row r="3" spans="1:11" ht="20.100000000000001" customHeight="1">
      <x:c r="A3" s="273"/>
      <x:c r="B3" s="274"/>
      <x:c r="C3" s="276"/>
      <x:c r="D3" s="276"/>
      <x:c r="E3" s="280"/>
      <x:c r="F3" s="281"/>
      <x:c r="G3" s="268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9" t="s">
        <x:v>22</x:v>
      </x:c>
      <x:c r="B4" s="270"/>
      <x:c r="C4" s="262">
        <x:v>4374500</x:v>
      </x:c>
      <x:c r="D4" s="262"/>
      <x:c r="E4" s="277" t="s">
        <x:v>146</x:v>
      </x:c>
      <x:c r="F4" s="277"/>
      <x:c r="G4" s="133">
        <x:f>INT(C4*0.0275)</x:f>
        <x:v>120298</x:v>
      </x:c>
      <x:c r="H4" s="54" t="s">
        <x:v>20</x:v>
      </x:c>
      <x:c r="I4" s="124"/>
      <x:c r="J4" s="80" t="s">
        <x:v>36</x:v>
      </x:c>
      <x:c r="K4" s="58"/>
    </x:row>
    <x:row r="5" spans="1:11" ht="30.949999999999999" customHeight="1">
      <x:c r="A5" s="269" t="s">
        <x:v>61</x:v>
      </x:c>
      <x:c r="B5" s="270"/>
      <x:c r="C5" s="262">
        <x:v>761000</x:v>
      </x:c>
      <x:c r="D5" s="262"/>
      <x:c r="E5" s="261" t="s">
        <x:v>70</x:v>
      </x:c>
      <x:c r="F5" s="261"/>
      <x:c r="G5" s="133">
        <x:f>INT(C5*0.01)</x:f>
        <x:v>7610</x:v>
      </x:c>
      <x:c r="H5" s="54" t="s">
        <x:v>6</x:v>
      </x:c>
      <x:c r="I5" s="124"/>
      <x:c r="J5" s="81"/>
      <x:c r="K5" s="58"/>
    </x:row>
    <x:row r="6" spans="1:11" ht="21.949999999999999" customHeight="1">
      <x:c r="A6" s="256" t="s">
        <x:v>84</x:v>
      </x:c>
      <x:c r="B6" s="257"/>
      <x:c r="C6" s="301"/>
      <x:c r="D6" s="302"/>
      <x:c r="E6" s="288" t="s">
        <x:v>131</x:v>
      </x:c>
      <x:c r="F6" s="289"/>
      <x:c r="G6" s="282">
        <x:v>750000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8"/>
      <x:c r="B7" s="259"/>
      <x:c r="C7" s="303"/>
      <x:c r="D7" s="304"/>
      <x:c r="E7" s="280"/>
      <x:c r="F7" s="281"/>
      <x:c r="G7" s="268"/>
      <x:c r="H7" s="54" t="s">
        <x:v>24</x:v>
      </x:c>
      <x:c r="I7" s="124">
        <x:v>214400</x:v>
      </x:c>
      <x:c r="J7" s="81" t="s">
        <x:v>116</x:v>
      </x:c>
      <x:c r="K7" s="58"/>
    </x:row>
    <x:row r="8" spans="1:11" ht="21.949999999999999" customHeight="1">
      <x:c r="A8" s="260" t="s">
        <x:v>134</x:v>
      </x:c>
      <x:c r="B8" s="261"/>
      <x:c r="C8" s="262">
        <x:v>106000</x:v>
      </x:c>
      <x:c r="D8" s="262"/>
      <x:c r="E8" s="288" t="s">
        <x:v>110</x:v>
      </x:c>
      <x:c r="F8" s="289"/>
      <x:c r="G8" s="294">
        <x:f>C5+G2-G6-C22</x:f>
        <x:v>86400</x:v>
      </x:c>
      <x:c r="H8" s="54" t="s">
        <x:v>45</x:v>
      </x:c>
      <x:c r="I8" s="124">
        <x:v>64000</x:v>
      </x:c>
      <x:c r="J8" s="81"/>
      <x:c r="K8" s="58"/>
    </x:row>
    <x:row r="9" spans="1:11" ht="21.949999999999999" customHeight="1">
      <x:c r="A9" s="260"/>
      <x:c r="B9" s="261"/>
      <x:c r="C9" s="262"/>
      <x:c r="D9" s="262"/>
      <x:c r="E9" s="280"/>
      <x:c r="F9" s="281"/>
      <x:c r="G9" s="295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143</x:v>
      </x:c>
      <x:c r="B10" s="261"/>
      <x:c r="C10" s="262">
        <x:v>1000</x:v>
      </x:c>
      <x:c r="D10" s="262"/>
      <x:c r="E10" s="261" t="s">
        <x:v>87</x:v>
      </x:c>
      <x:c r="F10" s="261"/>
      <x:c r="G10" s="55"/>
      <x:c r="H10" s="54"/>
      <x:c r="I10" s="124"/>
      <x:c r="J10" s="54" t="s">
        <x:v>53</x:v>
      </x:c>
      <x:c r="K10" s="58"/>
    </x:row>
    <x:row r="11" spans="1:11" ht="33" customHeight="1">
      <x:c r="A11" s="260" t="s">
        <x:v>103</x:v>
      </x:c>
      <x:c r="B11" s="261"/>
      <x:c r="C11" s="358"/>
      <x:c r="D11" s="300"/>
      <x:c r="E11" s="300"/>
      <x:c r="F11" s="300"/>
      <x:c r="G11" s="300"/>
      <x:c r="H11" s="54" t="s">
        <x:v>58</x:v>
      </x:c>
      <x:c r="I11" s="58"/>
      <x:c r="J11" s="54" t="s">
        <x:v>82</x:v>
      </x:c>
      <x:c r="K11" s="151"/>
    </x:row>
    <x:row r="12" spans="1:13" ht="21.949999999999999" customHeight="1">
      <x:c r="A12" s="59" t="s">
        <x:v>48</x:v>
      </x:c>
      <x:c r="B12" s="298" t="s">
        <x:v>42</x:v>
      </x:c>
      <x:c r="C12" s="79">
        <x:v>8</x:v>
      </x:c>
      <x:c r="D12" s="288" t="s">
        <x:v>133</x:v>
      </x:c>
      <x:c r="E12" s="289"/>
      <x:c r="F12" s="292">
        <x:v>9</x:v>
      </x:c>
      <x:c r="G12" s="293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9"/>
      <x:c r="C13" s="134">
        <x:f>SUM('1:12'!$C$12)</x:f>
        <x:v>90</x:v>
      </x:c>
      <x:c r="D13" s="280"/>
      <x:c r="E13" s="281"/>
      <x:c r="F13" s="290">
        <x:f>SUM('1:12'!$F$12)</x:f>
        <x:v>63</x:v>
      </x:c>
      <x:c r="G13" s="291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8" t="s">
        <x:v>64</x:v>
      </x:c>
      <x:c r="C14" s="79">
        <x:v>31</x:v>
      </x:c>
      <x:c r="D14" s="288" t="s">
        <x:v>95</x:v>
      </x:c>
      <x:c r="E14" s="289"/>
      <x:c r="F14" s="292">
        <x:v>12</x:v>
      </x:c>
      <x:c r="G14" s="293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9"/>
      <x:c r="C15" s="134">
        <x:f>SUM('1:12'!$C$14)</x:f>
        <x:v>269</x:v>
      </x:c>
      <x:c r="D15" s="280"/>
      <x:c r="E15" s="281"/>
      <x:c r="F15" s="290">
        <x:f>SUM('1:12'!$F$14)</x:f>
        <x:v>114</x:v>
      </x:c>
      <x:c r="G15" s="291"/>
      <x:c r="H15" s="54" t="s">
        <x:v>106</x:v>
      </x:c>
      <x:c r="I15" s="58">
        <x:v>132900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8" t="s">
        <x:v>51</x:v>
      </x:c>
      <x:c r="C16" s="79">
        <x:v>2</x:v>
      </x:c>
      <x:c r="D16" s="288" t="s">
        <x:v>117</x:v>
      </x:c>
      <x:c r="E16" s="289"/>
      <x:c r="F16" s="286">
        <x:v>15</x:v>
      </x:c>
      <x:c r="G16" s="286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9"/>
      <x:c r="C17" s="134">
        <x:f>SUM('1:12'!$C$16)</x:f>
        <x:v>45</x:v>
      </x:c>
      <x:c r="D17" s="280"/>
      <x:c r="E17" s="281"/>
      <x:c r="F17" s="287">
        <x:f>SUM('1:12'!$F$16)</x:f>
        <x:v>139</x:v>
      </x:c>
      <x:c r="G17" s="287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8" t="s">
        <x:v>91</x:v>
      </x:c>
      <x:c r="C18" s="79">
        <x:v>12</x:v>
      </x:c>
      <x:c r="D18" s="288" t="s">
        <x:v>130</x:v>
      </x:c>
      <x:c r="E18" s="289"/>
      <x:c r="F18" s="296">
        <x:v>2</x:v>
      </x:c>
      <x:c r="G18" s="297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9"/>
      <x:c r="C19" s="134">
        <x:f>SUM('1:12'!$C$18)</x:f>
        <x:v>116</x:v>
      </x:c>
      <x:c r="D19" s="280"/>
      <x:c r="E19" s="281"/>
      <x:c r="F19" s="287">
        <x:f>SUM('1:12'!$F$18)</x:f>
        <x:v>44</x:v>
      </x:c>
      <x:c r="G19" s="287"/>
      <x:c r="H19" s="58"/>
      <x:c r="I19" s="58"/>
      <x:c r="J19" s="54"/>
      <x:c r="K19" s="58"/>
      <x:c r="L19" s="60"/>
      <x:c r="M19" s="11"/>
    </x:row>
    <x:row r="20" spans="2:13" ht="21.949999999999999" customHeight="1">
      <x:c r="B20" s="52" t="s">
        <x:v>151</x:v>
      </x:c>
      <x:c r="D20" s="261" t="s">
        <x:v>113</x:v>
      </x:c>
      <x:c r="E20" s="261"/>
      <x:c r="F20" s="328">
        <x:v>64</x:v>
      </x:c>
      <x:c r="G20" s="329"/>
      <x:c r="H20" s="58"/>
      <x:c r="J20" s="54"/>
      <x:c r="K20" s="58"/>
      <x:c r="L20" s="60"/>
      <x:c r="M20" s="11"/>
    </x:row>
    <x:row r="21" spans="4:13" ht="21.949999999999999" customHeight="1">
      <x:c r="D21" s="261" t="s">
        <x:v>114</x:v>
      </x:c>
      <x:c r="E21" s="261"/>
      <x:c r="F21" s="287">
        <x:f>SUM('1:12'!$F$20)</x:f>
        <x:v>709</x:v>
      </x:c>
      <x:c r="G21" s="287"/>
      <x:c r="H21" s="58"/>
      <x:c r="J21" s="54"/>
      <x:c r="K21" s="58"/>
      <x:c r="L21" s="60"/>
      <x:c r="M21" s="11"/>
    </x:row>
    <x:row r="22" spans="1:13" ht="32.100000000000001" customHeight="1">
      <x:c r="A22" s="260" t="s">
        <x:v>83</x:v>
      </x:c>
      <x:c r="B22" s="261"/>
      <x:c r="C22" s="285"/>
      <x:c r="D22" s="285"/>
      <x:c r="E22" s="285"/>
      <x:c r="F22" s="285"/>
      <x:c r="G22" s="285"/>
      <x:c r="H22" s="54"/>
      <x:c r="J22" s="54"/>
      <x:c r="K22" s="58"/>
      <x:c r="L22" s="60"/>
      <x:c r="M22" s="11"/>
    </x:row>
    <x:row r="23" spans="1:15" ht="34.149999999999999" customHeight="1">
      <x:c r="A23" s="260" t="s">
        <x:v>124</x:v>
      </x:c>
      <x:c r="B23" s="261"/>
      <x:c r="C23" s="316"/>
      <x:c r="D23" s="316"/>
      <x:c r="E23" s="316"/>
      <x:c r="F23" s="316"/>
      <x:c r="G23" s="316"/>
      <x:c r="H23" s="107" t="s">
        <x:v>94</x:v>
      </x:c>
      <x:c r="I23" s="108">
        <x:f>SUM(I4:I22)</x:f>
        <x:v>411300</x:v>
      </x:c>
      <x:c r="J23" s="61" t="s">
        <x:v>119</x:v>
      </x:c>
      <x:c r="K23" s="62">
        <x:f>SUM(K4:K22)</x:f>
        <x:v>0</x:v>
      </x:c>
      <x:c r="M23" s="88" t="s">
        <x:v>93</x:v>
      </x:c>
      <x:c r="N23" s="283">
        <x:f>C5+C6</x:f>
        <x:v>761000</x:v>
      </x:c>
      <x:c r="O23" s="284"/>
    </x:row>
    <x:row r="24" spans="1:11" ht="34.149999999999999" customHeight="1">
      <x:c r="A24" s="260" t="s">
        <x:v>8</x:v>
      </x:c>
      <x:c r="B24" s="261"/>
      <x:c r="C24" s="261" t="s">
        <x:v>86</x:v>
      </x:c>
      <x:c r="D24" s="261"/>
      <x:c r="E24" s="261" t="s">
        <x:v>101</x:v>
      </x:c>
      <x:c r="F24" s="261"/>
      <x:c r="G24" s="261"/>
      <x:c r="H24" s="107" t="s">
        <x:v>8</x:v>
      </x:c>
      <x:c r="I24" s="109">
        <x:f>I23/A25</x:f>
        <x:v>0.080089572583000687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12">
        <x:f>C2</x:f>
        <x:v>5135500</x:v>
      </x:c>
      <x:c r="B25" s="276"/>
      <x:c r="C25" s="276">
        <x:f>E25/I1</x:f>
        <x:v>4235083.333333333</x:v>
      </x:c>
      <x:c r="D25" s="276"/>
      <x:c r="E25" s="276">
        <x:f>SUM('1:12'!$A$25)</x:f>
        <x:v>50821000</x:v>
      </x:c>
      <x:c r="F25" s="276"/>
      <x:c r="G25" s="276"/>
      <x:c r="H25" s="107" t="s">
        <x:v>33</x:v>
      </x:c>
      <x:c r="I25" s="108">
        <x:f>SUM('1'!$I$23)</x:f>
        <x:v>2230104</x:v>
      </x:c>
      <x:c r="J25" s="61" t="s">
        <x:v>33</x:v>
      </x:c>
      <x:c r="K25" s="62">
        <x:f>SUM('1:12'!$K$21)</x:f>
        <x:v>0</x:v>
      </x:c>
    </x:row>
    <x:row r="26" spans="1:11" ht="34.149999999999999" customHeight="1">
      <x:c r="A26" s="260" t="s">
        <x:v>142</x:v>
      </x:c>
      <x:c r="B26" s="261"/>
      <x:c r="C26" s="261"/>
      <x:c r="D26" s="261"/>
      <x:c r="E26" s="262"/>
      <x:c r="F26" s="262"/>
      <x:c r="G26" s="262"/>
      <x:c r="H26" s="107" t="s">
        <x:v>128</x:v>
      </x:c>
      <x:c r="I26" s="110">
        <x:f>I25/$E$25</x:f>
        <x:v>0.043881545030597588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8" t="s">
        <x:v>141</x:v>
      </x:c>
      <x:c r="B27" s="54" t="s">
        <x:v>44</x:v>
      </x:c>
      <x:c r="C27" s="276">
        <x:f>4000000/30</x:f>
        <x:v>133333.33333333334</x:v>
      </x:c>
      <x:c r="D27" s="276"/>
      <x:c r="E27" s="55" t="s">
        <x:v>147</x:v>
      </x:c>
      <x:c r="F27" s="357">
        <x:f>13000*5</x:f>
        <x:v>65000</x:v>
      </x:c>
      <x:c r="G27" s="357"/>
      <x:c r="H27" s="111" t="s">
        <x:v>118</x:v>
      </x:c>
      <x:c r="I27" s="112">
        <x:f>SUM(C27:D34,F27:G32)</x:f>
        <x:v>765133.33333333337</x:v>
      </x:c>
      <x:c r="M27" s="66"/>
    </x:row>
    <x:row r="28" spans="1:13" ht="30.949999999999999" customHeight="1">
      <x:c r="A28" s="319"/>
      <x:c r="B28" s="54" t="s">
        <x:v>23</x:v>
      </x:c>
      <x:c r="C28" s="276">
        <x:f>3800000/30</x:f>
        <x:v>126666.66666666667</x:v>
      </x:c>
      <x:c r="D28" s="276"/>
      <x:c r="E28" s="55" t="s">
        <x:v>149</x:v>
      </x:c>
      <x:c r="F28" s="359">
        <x:f>1500000/30</x:f>
        <x:v>50000</x:v>
      </x:c>
      <x:c r="G28" s="359"/>
      <x:c r="H28" s="111" t="s">
        <x:v>8</x:v>
      </x:c>
      <x:c r="I28" s="113">
        <x:f>I27/$A$25</x:f>
        <x:v>0.1489890630578003</x:v>
      </x:c>
      <x:c r="M28" s="66"/>
    </x:row>
    <x:row r="29" spans="1:13" ht="30.949999999999999" customHeight="1">
      <x:c r="A29" s="319"/>
      <x:c r="B29" s="54" t="s">
        <x:v>47</x:v>
      </x:c>
      <x:c r="C29" s="276">
        <x:f>3200000/30</x:f>
        <x:v>106666.66666666667</x:v>
      </x:c>
      <x:c r="D29" s="276"/>
      <x:c r="E29" s="54" t="s">
        <x:v>57</x:v>
      </x:c>
      <x:c r="F29" s="262">
        <x:f>11700*4</x:f>
        <x:v>46800</x:v>
      </x:c>
      <x:c r="G29" s="262"/>
      <x:c r="H29" s="111" t="s">
        <x:v>33</x:v>
      </x:c>
      <x:c r="I29" s="112">
        <x:f>SUM('1:12'!$I$25)</x:f>
        <x:v>26761248</x:v>
      </x:c>
      <x:c r="M29" s="66"/>
    </x:row>
    <x:row r="30" spans="1:13" ht="30.949999999999999" customHeight="1">
      <x:c r="A30" s="319"/>
      <x:c r="B30" s="54"/>
      <x:c r="C30" s="315"/>
      <x:c r="D30" s="315"/>
      <x:c r="E30" s="55"/>
      <x:c r="F30" s="310"/>
      <x:c r="G30" s="311"/>
      <x:c r="H30" s="111" t="s">
        <x:v>128</x:v>
      </x:c>
      <x:c r="I30" s="113">
        <x:f>I29/$I$27</x:f>
        <x:v>34.975927507188288</x:v>
      </x:c>
      <x:c r="M30" s="66"/>
    </x:row>
    <x:row r="31" spans="1:7" customHeight="1">
      <x:c r="A31" s="319"/>
      <x:c r="B31" s="54" t="s">
        <x:v>41</x:v>
      </x:c>
      <x:c r="C31" s="313">
        <x:f>3500000/30</x:f>
        <x:v>116666.66666666667</x:v>
      </x:c>
      <x:c r="D31" s="314"/>
      <x:c r="E31" s="55" t="s">
        <x:v>4</x:v>
      </x:c>
      <x:c r="F31" s="310">
        <x:v>120000</x:v>
      </x:c>
      <x:c r="G31" s="311"/>
    </x:row>
    <x:row r="32" spans="1:7" customHeight="1">
      <x:c r="A32" s="319"/>
      <x:c r="B32" s="54"/>
      <x:c r="C32" s="308"/>
      <x:c r="D32" s="309"/>
      <x:c r="E32" s="55" t="s">
        <x:v>138</x:v>
      </x:c>
      <x:c r="F32" s="310"/>
      <x:c r="G32" s="311"/>
    </x:row>
    <x:row r="33" spans="1:4" customHeight="1">
      <x:c r="A33" s="319"/>
      <x:c r="B33" s="54" t="s">
        <x:v>21</x:v>
      </x:c>
      <x:c r="C33" s="308"/>
      <x:c r="D33" s="309"/>
    </x:row>
    <x:row r="34" spans="1:4" customHeight="1">
      <x:c r="A34" s="320"/>
      <x:c r="B34" s="54"/>
      <x:c r="C34" s="310"/>
      <x:c r="D34" s="311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A27:A34"/>
    <x:mergeCell ref="C32:D32"/>
    <x:mergeCell ref="C33:D33"/>
    <x:mergeCell ref="C34:D34"/>
    <x:mergeCell ref="F31:G31"/>
    <x:mergeCell ref="F30:G30"/>
    <x:mergeCell ref="C30:D30"/>
    <x:mergeCell ref="C31:D31"/>
    <x:mergeCell ref="C28:D28"/>
    <x:mergeCell ref="A23:B23"/>
    <x:mergeCell ref="C23:G23"/>
    <x:mergeCell ref="A24:B24"/>
    <x:mergeCell ref="C24:D24"/>
    <x:mergeCell ref="E24:G24"/>
    <x:mergeCell ref="A22:B22"/>
    <x:mergeCell ref="C22:G22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0:B10"/>
    <x:mergeCell ref="C10:D10"/>
    <x:mergeCell ref="E10:F10"/>
    <x:mergeCell ref="A11:B11"/>
    <x:mergeCell ref="E2:F3"/>
    <x:mergeCell ref="A4:B4"/>
    <x:mergeCell ref="C4:D4"/>
    <x:mergeCell ref="E4:F4"/>
    <x:mergeCell ref="A2:B3"/>
    <x:mergeCell ref="C2:D3"/>
    <x:mergeCell ref="A5:B5"/>
    <x:mergeCell ref="C5:D5"/>
    <x:mergeCell ref="E5:F5"/>
    <x:mergeCell ref="A8:B9"/>
    <x:mergeCell ref="C8:D9"/>
    <x:mergeCell ref="A6:B7"/>
    <x:mergeCell ref="N23:O23"/>
    <x:mergeCell ref="G6:G7"/>
    <x:mergeCell ref="G8:G9"/>
    <x:mergeCell ref="C11:G11"/>
    <x:mergeCell ref="F18:G18"/>
    <x:mergeCell ref="F19:G19"/>
    <x:mergeCell ref="D21:E21"/>
    <x:mergeCell ref="F21:G21"/>
    <x:mergeCell ref="C29:D29"/>
    <x:mergeCell ref="F29:G29"/>
    <x:mergeCell ref="C26:D26"/>
    <x:mergeCell ref="E26:G26"/>
    <x:mergeCell ref="J2:K2"/>
    <x:mergeCell ref="H2:I2"/>
    <x:mergeCell ref="G2:G3"/>
    <x:mergeCell ref="C6:D7"/>
    <x:mergeCell ref="E6:F7"/>
    <x:mergeCell ref="E8:F9"/>
    <x:mergeCell ref="F28:G28"/>
    <x:mergeCell ref="D14:E15"/>
    <x:mergeCell ref="D12:E13"/>
    <x:mergeCell ref="D18:E19"/>
    <x:mergeCell ref="D16:E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5"/>
  <x:dimension ref="A1:O34"/>
  <x:sheetViews>
    <x:sheetView topLeftCell="A1" zoomScale="85" zoomScaleNormal="85" zoomScaleSheetLayoutView="75" workbookViewId="0">
      <x:selection activeCell="J34" activeCellId="0" sqref="J34:J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152</x:v>
      </x:c>
      <x:c r="F1" s="68">
        <x:v>13</x:v>
      </x:c>
      <x:c r="G1" s="68" t="s">
        <x:v>18</x:v>
      </x:c>
      <x:c r="H1" s="52" t="s">
        <x:v>123</x:v>
      </x:c>
      <x:c r="I1" s="52">
        <x:f>F1-K1</x:f>
        <x:v>13</x:v>
      </x:c>
      <x:c r="J1" s="52" t="s">
        <x:v>98</x:v>
      </x:c>
      <x:c r="K1" s="52"/>
    </x:row>
    <x:row r="2" spans="1:11" ht="20.100000000000001" customHeight="1">
      <x:c r="A2" s="271" t="s">
        <x:v>9</x:v>
      </x:c>
      <x:c r="B2" s="272"/>
      <x:c r="C2" s="275">
        <x:f>SUM(C4:D7)</x:f>
        <x:v>4970000</x:v>
      </x:c>
      <x:c r="D2" s="275"/>
      <x:c r="E2" s="278" t="s">
        <x:v>40</x:v>
      </x:c>
      <x:c r="F2" s="279"/>
      <x:c r="G2" s="267">
        <x:v>106000</x:v>
      </x:c>
      <x:c r="H2" s="265" t="s">
        <x:v>6</x:v>
      </x:c>
      <x:c r="I2" s="266"/>
      <x:c r="J2" s="263" t="s">
        <x:v>74</x:v>
      </x:c>
      <x:c r="K2" s="264"/>
    </x:row>
    <x:row r="3" spans="1:11" ht="20.100000000000001" customHeight="1">
      <x:c r="A3" s="273"/>
      <x:c r="B3" s="274"/>
      <x:c r="C3" s="276"/>
      <x:c r="D3" s="276"/>
      <x:c r="E3" s="280"/>
      <x:c r="F3" s="281"/>
      <x:c r="G3" s="268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9" t="s">
        <x:v>22</x:v>
      </x:c>
      <x:c r="B4" s="270"/>
      <x:c r="C4" s="262">
        <x:v>4273000</x:v>
      </x:c>
      <x:c r="D4" s="262"/>
      <x:c r="E4" s="277" t="s">
        <x:v>146</x:v>
      </x:c>
      <x:c r="F4" s="277"/>
      <x:c r="G4" s="133">
        <x:f>INT(C4*0.0275)</x:f>
        <x:v>117507</x:v>
      </x:c>
      <x:c r="H4" s="54" t="s">
        <x:v>20</x:v>
      </x:c>
      <x:c r="I4" s="124">
        <x:v>1517772</x:v>
      </x:c>
      <x:c r="J4" s="80" t="s">
        <x:v>36</x:v>
      </x:c>
      <x:c r="K4" s="58"/>
    </x:row>
    <x:row r="5" spans="1:11" ht="30.949999999999999" customHeight="1">
      <x:c r="A5" s="269" t="s">
        <x:v>61</x:v>
      </x:c>
      <x:c r="B5" s="270"/>
      <x:c r="C5" s="262">
        <x:v>697000</x:v>
      </x:c>
      <x:c r="D5" s="262"/>
      <x:c r="E5" s="261" t="s">
        <x:v>70</x:v>
      </x:c>
      <x:c r="F5" s="261"/>
      <x:c r="G5" s="133">
        <x:f>INT(C5*0.01)</x:f>
        <x:v>6970</x:v>
      </x:c>
      <x:c r="H5" s="54" t="s">
        <x:v>6</x:v>
      </x:c>
      <x:c r="I5" s="124">
        <x:v>475711</x:v>
      </x:c>
      <x:c r="J5" s="81"/>
      <x:c r="K5" s="58"/>
    </x:row>
    <x:row r="6" spans="1:11" ht="21.949999999999999" customHeight="1">
      <x:c r="A6" s="256" t="s">
        <x:v>84</x:v>
      </x:c>
      <x:c r="B6" s="257"/>
      <x:c r="C6" s="301"/>
      <x:c r="D6" s="302"/>
      <x:c r="E6" s="288" t="s">
        <x:v>131</x:v>
      </x:c>
      <x:c r="F6" s="289"/>
      <x:c r="G6" s="282">
        <x:v>710000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8"/>
      <x:c r="B7" s="259"/>
      <x:c r="C7" s="303"/>
      <x:c r="D7" s="304"/>
      <x:c r="E7" s="280"/>
      <x:c r="F7" s="281"/>
      <x:c r="G7" s="268"/>
      <x:c r="H7" s="54" t="s">
        <x:v>24</x:v>
      </x:c>
      <x:c r="I7" s="124"/>
      <x:c r="J7" s="81" t="s">
        <x:v>116</x:v>
      </x:c>
      <x:c r="K7" s="58"/>
    </x:row>
    <x:row r="8" spans="1:11" ht="21.949999999999999" customHeight="1">
      <x:c r="A8" s="260" t="s">
        <x:v>134</x:v>
      </x:c>
      <x:c r="B8" s="261"/>
      <x:c r="C8" s="262">
        <x:v>93000</x:v>
      </x:c>
      <x:c r="D8" s="262"/>
      <x:c r="E8" s="288" t="s">
        <x:v>110</x:v>
      </x:c>
      <x:c r="F8" s="289"/>
      <x:c r="G8" s="294">
        <x:f>C5+G2-G6-C22</x:f>
        <x:v>93000</x:v>
      </x:c>
      <x:c r="H8" s="54" t="s">
        <x:v>45</x:v>
      </x:c>
      <x:c r="I8" s="124"/>
      <x:c r="J8" s="81"/>
      <x:c r="K8" s="58"/>
    </x:row>
    <x:row r="9" spans="1:11" ht="21.949999999999999" customHeight="1">
      <x:c r="A9" s="260"/>
      <x:c r="B9" s="261"/>
      <x:c r="C9" s="262"/>
      <x:c r="D9" s="262"/>
      <x:c r="E9" s="280"/>
      <x:c r="F9" s="281"/>
      <x:c r="G9" s="295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143</x:v>
      </x:c>
      <x:c r="B10" s="261"/>
      <x:c r="C10" s="262"/>
      <x:c r="D10" s="262"/>
      <x:c r="E10" s="261" t="s">
        <x:v>87</x:v>
      </x:c>
      <x:c r="F10" s="261"/>
      <x:c r="G10" s="55"/>
      <x:c r="H10" s="54"/>
      <x:c r="I10" s="124"/>
      <x:c r="J10" s="54" t="s">
        <x:v>53</x:v>
      </x:c>
      <x:c r="K10" s="58"/>
    </x:row>
    <x:row r="11" spans="1:11" ht="33" customHeight="1">
      <x:c r="A11" s="260" t="s">
        <x:v>103</x:v>
      </x:c>
      <x:c r="B11" s="261"/>
      <x:c r="C11" s="300"/>
      <x:c r="D11" s="300"/>
      <x:c r="E11" s="300"/>
      <x:c r="F11" s="300"/>
      <x:c r="G11" s="300"/>
      <x:c r="H11" s="54" t="s">
        <x:v>58</x:v>
      </x:c>
      <x:c r="I11" s="58"/>
      <x:c r="J11" s="54" t="s">
        <x:v>82</x:v>
      </x:c>
      <x:c r="K11" s="151"/>
    </x:row>
    <x:row r="12" spans="1:13" ht="21.949999999999999" customHeight="1">
      <x:c r="A12" s="59" t="s">
        <x:v>48</x:v>
      </x:c>
      <x:c r="B12" s="298" t="s">
        <x:v>42</x:v>
      </x:c>
      <x:c r="C12" s="79">
        <x:v>16</x:v>
      </x:c>
      <x:c r="D12" s="288" t="s">
        <x:v>133</x:v>
      </x:c>
      <x:c r="E12" s="289"/>
      <x:c r="F12" s="292">
        <x:v>5</x:v>
      </x:c>
      <x:c r="G12" s="293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9"/>
      <x:c r="C13" s="134">
        <x:f>SUM('1:13'!$C$12)</x:f>
        <x:v>106</x:v>
      </x:c>
      <x:c r="D13" s="280"/>
      <x:c r="E13" s="281"/>
      <x:c r="F13" s="290">
        <x:f>SUM('1:13'!$F$12)</x:f>
        <x:v>68</x:v>
      </x:c>
      <x:c r="G13" s="291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8" t="s">
        <x:v>64</x:v>
      </x:c>
      <x:c r="C14" s="79">
        <x:v>15</x:v>
      </x:c>
      <x:c r="D14" s="288" t="s">
        <x:v>95</x:v>
      </x:c>
      <x:c r="E14" s="289"/>
      <x:c r="F14" s="292">
        <x:v>15</x:v>
      </x:c>
      <x:c r="G14" s="293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9"/>
      <x:c r="C15" s="134">
        <x:f>SUM('1:13'!$C$14)</x:f>
        <x:v>284</x:v>
      </x:c>
      <x:c r="D15" s="280"/>
      <x:c r="E15" s="281"/>
      <x:c r="F15" s="290">
        <x:f>SUM('1:13'!$F$14)</x:f>
        <x:v>129</x:v>
      </x:c>
      <x:c r="G15" s="291"/>
      <x:c r="H15" s="54" t="s">
        <x:v>106</x:v>
      </x:c>
      <x:c r="I15" s="58">
        <x:v>446150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8" t="s">
        <x:v>51</x:v>
      </x:c>
      <x:c r="C16" s="79">
        <x:v>6</x:v>
      </x:c>
      <x:c r="D16" s="288" t="s">
        <x:v>117</x:v>
      </x:c>
      <x:c r="E16" s="289"/>
      <x:c r="F16" s="286">
        <x:v>11</x:v>
      </x:c>
      <x:c r="G16" s="286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9"/>
      <x:c r="C17" s="134">
        <x:f>SUM('1:13'!$C$16)</x:f>
        <x:v>51</x:v>
      </x:c>
      <x:c r="D17" s="280"/>
      <x:c r="E17" s="281"/>
      <x:c r="F17" s="287">
        <x:f>SUM('1:13'!$F$16)</x:f>
        <x:v>150</x:v>
      </x:c>
      <x:c r="G17" s="287"/>
      <x:c r="H17" s="54" t="s">
        <x:v>7</x:v>
      </x:c>
      <x:c r="I17" s="58">
        <x:v>8000</x:v>
      </x:c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8" t="s">
        <x:v>91</x:v>
      </x:c>
      <x:c r="C18" s="79">
        <x:v>10</x:v>
      </x:c>
      <x:c r="D18" s="288" t="s">
        <x:v>130</x:v>
      </x:c>
      <x:c r="E18" s="289"/>
      <x:c r="F18" s="296">
        <x:v>3</x:v>
      </x:c>
      <x:c r="G18" s="297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9"/>
      <x:c r="C19" s="134">
        <x:f>SUM('1:13'!$C$18)</x:f>
        <x:v>126</x:v>
      </x:c>
      <x:c r="D19" s="280"/>
      <x:c r="E19" s="281"/>
      <x:c r="F19" s="287">
        <x:f>SUM('1:13'!$F$18)</x:f>
        <x:v>47</x:v>
      </x:c>
      <x:c r="G19" s="287"/>
      <x:c r="H19" s="58"/>
      <x:c r="I19" s="58"/>
      <x:c r="J19" s="54"/>
      <x:c r="K19" s="58"/>
      <x:c r="L19" s="60"/>
      <x:c r="M19" s="11"/>
    </x:row>
    <x:row r="20" spans="2:13" ht="21.949999999999999" customHeight="1">
      <x:c r="B20" s="52" t="s">
        <x:v>151</x:v>
      </x:c>
      <x:c r="D20" s="261" t="s">
        <x:v>113</x:v>
      </x:c>
      <x:c r="E20" s="261"/>
      <x:c r="F20" s="286">
        <x:v>61</x:v>
      </x:c>
      <x:c r="G20" s="286"/>
      <x:c r="H20" s="58"/>
      <x:c r="J20" s="54"/>
      <x:c r="K20" s="58"/>
      <x:c r="L20" s="60"/>
      <x:c r="M20" s="11"/>
    </x:row>
    <x:row r="21" spans="4:13" ht="21.949999999999999" customHeight="1">
      <x:c r="D21" s="261" t="s">
        <x:v>114</x:v>
      </x:c>
      <x:c r="E21" s="261"/>
      <x:c r="F21" s="287">
        <x:f>SUM('1:13'!$F$20)</x:f>
        <x:v>770</x:v>
      </x:c>
      <x:c r="G21" s="287"/>
      <x:c r="H21" s="58"/>
      <x:c r="J21" s="54"/>
      <x:c r="K21" s="58"/>
      <x:c r="L21" s="60"/>
      <x:c r="M21" s="11"/>
    </x:row>
    <x:row r="22" spans="1:13" ht="32.100000000000001" customHeight="1">
      <x:c r="A22" s="260" t="s">
        <x:v>83</x:v>
      </x:c>
      <x:c r="B22" s="261"/>
      <x:c r="C22" s="285"/>
      <x:c r="D22" s="285"/>
      <x:c r="E22" s="285"/>
      <x:c r="F22" s="285"/>
      <x:c r="G22" s="285"/>
      <x:c r="H22" s="54"/>
      <x:c r="J22" s="54"/>
      <x:c r="K22" s="58"/>
      <x:c r="L22" s="60"/>
      <x:c r="M22" s="11"/>
    </x:row>
    <x:row r="23" spans="1:15" ht="34.149999999999999" customHeight="1">
      <x:c r="A23" s="260" t="s">
        <x:v>124</x:v>
      </x:c>
      <x:c r="B23" s="261"/>
      <x:c r="C23" s="316"/>
      <x:c r="D23" s="317"/>
      <x:c r="E23" s="317"/>
      <x:c r="F23" s="317"/>
      <x:c r="G23" s="317"/>
      <x:c r="H23" s="107" t="s">
        <x:v>94</x:v>
      </x:c>
      <x:c r="I23" s="108">
        <x:f>SUM(I4:I22)</x:f>
        <x:v>2447633</x:v>
      </x:c>
      <x:c r="J23" s="61" t="s">
        <x:v>119</x:v>
      </x:c>
      <x:c r="K23" s="62">
        <x:f>SUM(K4:K22)</x:f>
        <x:v>0</x:v>
      </x:c>
      <x:c r="M23" s="88" t="s">
        <x:v>93</x:v>
      </x:c>
      <x:c r="N23" s="283">
        <x:f>C5+C6</x:f>
        <x:v>697000</x:v>
      </x:c>
      <x:c r="O23" s="284"/>
    </x:row>
    <x:row r="24" spans="1:11" ht="34.149999999999999" customHeight="1">
      <x:c r="A24" s="260" t="s">
        <x:v>8</x:v>
      </x:c>
      <x:c r="B24" s="261"/>
      <x:c r="C24" s="261" t="s">
        <x:v>86</x:v>
      </x:c>
      <x:c r="D24" s="261"/>
      <x:c r="E24" s="261" t="s">
        <x:v>101</x:v>
      </x:c>
      <x:c r="F24" s="261"/>
      <x:c r="G24" s="261"/>
      <x:c r="H24" s="107" t="s">
        <x:v>8</x:v>
      </x:c>
      <x:c r="I24" s="109">
        <x:f>I23/A25</x:f>
        <x:v>0.49248148893360161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12">
        <x:f>C2</x:f>
        <x:v>4970000</x:v>
      </x:c>
      <x:c r="B25" s="276"/>
      <x:c r="C25" s="276">
        <x:f>E25/I1</x:f>
        <x:v>4291615.384615385</x:v>
      </x:c>
      <x:c r="D25" s="276"/>
      <x:c r="E25" s="276">
        <x:f>SUM('1:13'!$A$25)</x:f>
        <x:v>55791000</x:v>
      </x:c>
      <x:c r="F25" s="276"/>
      <x:c r="G25" s="276"/>
      <x:c r="H25" s="107" t="s">
        <x:v>33</x:v>
      </x:c>
      <x:c r="I25" s="108">
        <x:f>SUM('1'!$I$23)</x:f>
        <x:v>2230104</x:v>
      </x:c>
      <x:c r="J25" s="61" t="s">
        <x:v>33</x:v>
      </x:c>
      <x:c r="K25" s="62">
        <x:f>SUM('1:13'!$K$21)</x:f>
        <x:v>0</x:v>
      </x:c>
    </x:row>
    <x:row r="26" spans="1:11" ht="34.149999999999999" customHeight="1">
      <x:c r="A26" s="260" t="s">
        <x:v>142</x:v>
      </x:c>
      <x:c r="B26" s="261"/>
      <x:c r="C26" s="261"/>
      <x:c r="D26" s="261"/>
      <x:c r="E26" s="262"/>
      <x:c r="F26" s="262"/>
      <x:c r="G26" s="262"/>
      <x:c r="H26" s="107" t="s">
        <x:v>128</x:v>
      </x:c>
      <x:c r="I26" s="110">
        <x:f>I25/$E$25</x:f>
        <x:v>0.039972468677743719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8" t="s">
        <x:v>141</x:v>
      </x:c>
      <x:c r="B27" s="54" t="s">
        <x:v>44</x:v>
      </x:c>
      <x:c r="C27" s="276">
        <x:f>4000000/30</x:f>
        <x:v>133333.33333333334</x:v>
      </x:c>
      <x:c r="D27" s="276"/>
      <x:c r="E27" s="55" t="s">
        <x:v>147</x:v>
      </x:c>
      <x:c r="F27" s="262"/>
      <x:c r="G27" s="262"/>
      <x:c r="H27" s="111" t="s">
        <x:v>118</x:v>
      </x:c>
      <x:c r="I27" s="112">
        <x:f>SUM(C27:D34,F27:G32)</x:f>
        <x:v>797333.33333333337</x:v>
      </x:c>
      <x:c r="M27" s="66"/>
    </x:row>
    <x:row r="28" spans="1:13" ht="30.949999999999999" customHeight="1">
      <x:c r="A28" s="319"/>
      <x:c r="B28" s="54" t="s">
        <x:v>23</x:v>
      </x:c>
      <x:c r="C28" s="276">
        <x:f>3800000/30</x:f>
        <x:v>126666.66666666667</x:v>
      </x:c>
      <x:c r="D28" s="276"/>
      <x:c r="E28" s="55" t="s">
        <x:v>149</x:v>
      </x:c>
      <x:c r="F28" s="276">
        <x:f>1500000/30</x:f>
        <x:v>50000</x:v>
      </x:c>
      <x:c r="G28" s="276"/>
      <x:c r="H28" s="111" t="s">
        <x:v>8</x:v>
      </x:c>
      <x:c r="I28" s="113">
        <x:f>I27/$A$25</x:f>
        <x:v>0.16042924211938298</x:v>
      </x:c>
      <x:c r="M28" s="66"/>
    </x:row>
    <x:row r="29" spans="1:13" ht="30.949999999999999" customHeight="1">
      <x:c r="A29" s="319"/>
      <x:c r="B29" s="54" t="s">
        <x:v>47</x:v>
      </x:c>
      <x:c r="C29" s="276">
        <x:f>3200000/30</x:f>
        <x:v>106666.66666666667</x:v>
      </x:c>
      <x:c r="D29" s="276"/>
      <x:c r="E29" s="54" t="s">
        <x:v>57</x:v>
      </x:c>
      <x:c r="F29" s="262"/>
      <x:c r="G29" s="262"/>
      <x:c r="H29" s="111" t="s">
        <x:v>33</x:v>
      </x:c>
      <x:c r="I29" s="112">
        <x:f>SUM('1:13'!$I$25)</x:f>
        <x:v>28991352</x:v>
      </x:c>
      <x:c r="M29" s="66"/>
    </x:row>
    <x:row r="30" spans="1:13" ht="30.949999999999999" customHeight="1">
      <x:c r="A30" s="319"/>
      <x:c r="B30" s="54"/>
      <x:c r="C30" s="315"/>
      <x:c r="D30" s="315"/>
      <x:c r="E30" s="55"/>
      <x:c r="F30" s="310"/>
      <x:c r="G30" s="311"/>
      <x:c r="H30" s="111" t="s">
        <x:v>128</x:v>
      </x:c>
      <x:c r="I30" s="113">
        <x:f>I29/$I$27</x:f>
        <x:v>36.360391304347822</x:v>
      </x:c>
      <x:c r="M30" s="66"/>
    </x:row>
    <x:row r="31" spans="1:7" customHeight="1">
      <x:c r="A31" s="319"/>
      <x:c r="B31" s="54" t="s">
        <x:v>41</x:v>
      </x:c>
      <x:c r="C31" s="313">
        <x:f>3500000/30</x:f>
        <x:v>116666.66666666667</x:v>
      </x:c>
      <x:c r="D31" s="314"/>
      <x:c r="E31" s="55" t="s">
        <x:v>4</x:v>
      </x:c>
      <x:c r="F31" s="310">
        <x:v>130000</x:v>
      </x:c>
      <x:c r="G31" s="311"/>
    </x:row>
    <x:row r="32" spans="1:7" customHeight="1">
      <x:c r="A32" s="319"/>
      <x:c r="B32" s="54"/>
      <x:c r="C32" s="308"/>
      <x:c r="D32" s="309"/>
      <x:c r="E32" s="55" t="s">
        <x:v>138</x:v>
      </x:c>
      <x:c r="F32" s="310">
        <x:v>82000</x:v>
      </x:c>
      <x:c r="G32" s="311"/>
    </x:row>
    <x:row r="33" spans="1:4" customHeight="1">
      <x:c r="A33" s="319"/>
      <x:c r="B33" s="54" t="s">
        <x:v>21</x:v>
      </x:c>
      <x:c r="C33" s="308">
        <x:f>13000*4</x:f>
        <x:v>52000</x:v>
      </x:c>
      <x:c r="D33" s="309"/>
    </x:row>
    <x:row r="34" spans="1:4" customHeight="1">
      <x:c r="A34" s="320"/>
      <x:c r="B34" s="54"/>
      <x:c r="C34" s="310"/>
      <x:c r="D34" s="311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6"/>
  <x:dimension ref="A1:O34"/>
  <x:sheetViews>
    <x:sheetView topLeftCell="A1" zoomScale="85" zoomScaleNormal="85" zoomScaleSheetLayoutView="75" workbookViewId="0">
      <x:selection activeCell="J34" activeCellId="0" sqref="J34:J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152</x:v>
      </x:c>
      <x:c r="F1" s="68">
        <x:v>14</x:v>
      </x:c>
      <x:c r="G1" s="68" t="s">
        <x:v>19</x:v>
      </x:c>
      <x:c r="H1" s="52" t="s">
        <x:v>123</x:v>
      </x:c>
      <x:c r="I1" s="52">
        <x:f>F1-K1</x:f>
        <x:v>14</x:v>
      </x:c>
      <x:c r="J1" s="52" t="s">
        <x:v>98</x:v>
      </x:c>
      <x:c r="K1" s="52"/>
    </x:row>
    <x:row r="2" spans="1:11" ht="20.100000000000001" customHeight="1">
      <x:c r="A2" s="271" t="s">
        <x:v>9</x:v>
      </x:c>
      <x:c r="B2" s="272"/>
      <x:c r="C2" s="275">
        <x:f>SUM(C4:D7)</x:f>
        <x:v>5096000</x:v>
      </x:c>
      <x:c r="D2" s="275"/>
      <x:c r="E2" s="278" t="s">
        <x:v>40</x:v>
      </x:c>
      <x:c r="F2" s="279"/>
      <x:c r="G2" s="267">
        <x:v>93000</x:v>
      </x:c>
      <x:c r="H2" s="265" t="s">
        <x:v>6</x:v>
      </x:c>
      <x:c r="I2" s="266"/>
      <x:c r="J2" s="263" t="s">
        <x:v>74</x:v>
      </x:c>
      <x:c r="K2" s="264"/>
    </x:row>
    <x:row r="3" spans="1:11" ht="20.100000000000001" customHeight="1">
      <x:c r="A3" s="273"/>
      <x:c r="B3" s="274"/>
      <x:c r="C3" s="276"/>
      <x:c r="D3" s="276"/>
      <x:c r="E3" s="280"/>
      <x:c r="F3" s="281"/>
      <x:c r="G3" s="268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9" t="s">
        <x:v>22</x:v>
      </x:c>
      <x:c r="B4" s="270"/>
      <x:c r="C4" s="262">
        <x:v>4753000</x:v>
      </x:c>
      <x:c r="D4" s="262"/>
      <x:c r="E4" s="277" t="s">
        <x:v>146</x:v>
      </x:c>
      <x:c r="F4" s="277"/>
      <x:c r="G4" s="133">
        <x:f>INT(C4*0.0275)</x:f>
        <x:v>130707</x:v>
      </x:c>
      <x:c r="H4" s="54" t="s">
        <x:v>20</x:v>
      </x:c>
      <x:c r="I4" s="124"/>
      <x:c r="J4" s="80" t="s">
        <x:v>36</x:v>
      </x:c>
      <x:c r="K4" s="58"/>
    </x:row>
    <x:row r="5" spans="1:11" ht="30.949999999999999" customHeight="1">
      <x:c r="A5" s="269" t="s">
        <x:v>61</x:v>
      </x:c>
      <x:c r="B5" s="270"/>
      <x:c r="C5" s="262">
        <x:v>343000</x:v>
      </x:c>
      <x:c r="D5" s="262"/>
      <x:c r="E5" s="261" t="s">
        <x:v>70</x:v>
      </x:c>
      <x:c r="F5" s="261"/>
      <x:c r="G5" s="133">
        <x:f>INT(C5*0.01)</x:f>
        <x:v>3430</x:v>
      </x:c>
      <x:c r="H5" s="54" t="s">
        <x:v>6</x:v>
      </x:c>
      <x:c r="I5" s="124"/>
      <x:c r="J5" s="81"/>
      <x:c r="K5" s="58"/>
    </x:row>
    <x:row r="6" spans="1:11" ht="21.949999999999999" customHeight="1">
      <x:c r="A6" s="256" t="s">
        <x:v>84</x:v>
      </x:c>
      <x:c r="B6" s="257"/>
      <x:c r="C6" s="301"/>
      <x:c r="D6" s="302"/>
      <x:c r="E6" s="288" t="s">
        <x:v>131</x:v>
      </x:c>
      <x:c r="F6" s="289"/>
      <x:c r="G6" s="282">
        <x:v>380000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8"/>
      <x:c r="B7" s="259"/>
      <x:c r="C7" s="303"/>
      <x:c r="D7" s="304"/>
      <x:c r="E7" s="280"/>
      <x:c r="F7" s="281"/>
      <x:c r="G7" s="268"/>
      <x:c r="H7" s="54" t="s">
        <x:v>24</x:v>
      </x:c>
      <x:c r="I7" s="124"/>
      <x:c r="J7" s="81" t="s">
        <x:v>116</x:v>
      </x:c>
      <x:c r="K7" s="58"/>
    </x:row>
    <x:row r="8" spans="1:11" ht="21.949999999999999" customHeight="1">
      <x:c r="A8" s="260" t="s">
        <x:v>134</x:v>
      </x:c>
      <x:c r="B8" s="261"/>
      <x:c r="C8" s="262">
        <x:v>56000</x:v>
      </x:c>
      <x:c r="D8" s="262"/>
      <x:c r="E8" s="288" t="s">
        <x:v>110</x:v>
      </x:c>
      <x:c r="F8" s="289"/>
      <x:c r="G8" s="294">
        <x:f>C5+G2-G6-C22</x:f>
        <x:v>56000</x:v>
      </x:c>
      <x:c r="H8" s="54" t="s">
        <x:v>45</x:v>
      </x:c>
      <x:c r="I8" s="124"/>
      <x:c r="J8" s="81"/>
      <x:c r="K8" s="58"/>
    </x:row>
    <x:row r="9" spans="1:11" ht="21.949999999999999" customHeight="1">
      <x:c r="A9" s="260"/>
      <x:c r="B9" s="261"/>
      <x:c r="C9" s="262"/>
      <x:c r="D9" s="262"/>
      <x:c r="E9" s="280"/>
      <x:c r="F9" s="281"/>
      <x:c r="G9" s="295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143</x:v>
      </x:c>
      <x:c r="B10" s="261"/>
      <x:c r="C10" s="262">
        <x:v>98000</x:v>
      </x:c>
      <x:c r="D10" s="262"/>
      <x:c r="E10" s="261" t="s">
        <x:v>87</x:v>
      </x:c>
      <x:c r="F10" s="261"/>
      <x:c r="G10" s="55"/>
      <x:c r="H10" s="54"/>
      <x:c r="I10" s="124"/>
      <x:c r="J10" s="54" t="s">
        <x:v>53</x:v>
      </x:c>
      <x:c r="K10" s="58"/>
    </x:row>
    <x:row r="11" spans="1:11" ht="33" customHeight="1">
      <x:c r="A11" s="260" t="s">
        <x:v>103</x:v>
      </x:c>
      <x:c r="B11" s="261"/>
      <x:c r="C11" s="300"/>
      <x:c r="D11" s="300"/>
      <x:c r="E11" s="300"/>
      <x:c r="F11" s="300"/>
      <x:c r="G11" s="300"/>
      <x:c r="H11" s="54" t="s">
        <x:v>58</x:v>
      </x:c>
      <x:c r="I11" s="58"/>
      <x:c r="J11" s="54" t="s">
        <x:v>82</x:v>
      </x:c>
      <x:c r="K11" s="151"/>
    </x:row>
    <x:row r="12" spans="1:13" ht="21.949999999999999" customHeight="1">
      <x:c r="A12" s="59" t="s">
        <x:v>48</x:v>
      </x:c>
      <x:c r="B12" s="298" t="s">
        <x:v>42</x:v>
      </x:c>
      <x:c r="C12" s="79">
        <x:v>10</x:v>
      </x:c>
      <x:c r="D12" s="288" t="s">
        <x:v>133</x:v>
      </x:c>
      <x:c r="E12" s="289"/>
      <x:c r="F12" s="292">
        <x:v>4</x:v>
      </x:c>
      <x:c r="G12" s="293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9"/>
      <x:c r="C13" s="134">
        <x:f>SUM('1:14'!$C$12)</x:f>
        <x:v>116</x:v>
      </x:c>
      <x:c r="D13" s="280"/>
      <x:c r="E13" s="281"/>
      <x:c r="F13" s="290">
        <x:f>SUM('1:14'!$F$12)</x:f>
        <x:v>72</x:v>
      </x:c>
      <x:c r="G13" s="291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8" t="s">
        <x:v>64</x:v>
      </x:c>
      <x:c r="C14" s="79">
        <x:v>46</x:v>
      </x:c>
      <x:c r="D14" s="288" t="s">
        <x:v>95</x:v>
      </x:c>
      <x:c r="E14" s="289"/>
      <x:c r="F14" s="292">
        <x:v>16</x:v>
      </x:c>
      <x:c r="G14" s="293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9"/>
      <x:c r="C15" s="134">
        <x:f>SUM('1:14'!$C$14)</x:f>
        <x:v>330</x:v>
      </x:c>
      <x:c r="D15" s="280"/>
      <x:c r="E15" s="281"/>
      <x:c r="F15" s="290">
        <x:f>SUM('1:14'!$F$14)</x:f>
        <x:v>145</x:v>
      </x:c>
      <x:c r="G15" s="291"/>
      <x:c r="H15" s="54" t="s">
        <x:v>106</x:v>
      </x:c>
      <x:c r="I15" s="58"/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8" t="s">
        <x:v>51</x:v>
      </x:c>
      <x:c r="C16" s="79">
        <x:v>9</x:v>
      </x:c>
      <x:c r="D16" s="288" t="s">
        <x:v>117</x:v>
      </x:c>
      <x:c r="E16" s="289"/>
      <x:c r="F16" s="286">
        <x:v>7</x:v>
      </x:c>
      <x:c r="G16" s="286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9"/>
      <x:c r="C17" s="134">
        <x:f>SUM('1:14'!$C$16)</x:f>
        <x:v>60</x:v>
      </x:c>
      <x:c r="D17" s="280"/>
      <x:c r="E17" s="281"/>
      <x:c r="F17" s="287">
        <x:f>SUM('1:14'!$F$16)</x:f>
        <x:v>157</x:v>
      </x:c>
      <x:c r="G17" s="287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8" t="s">
        <x:v>91</x:v>
      </x:c>
      <x:c r="C18" s="79">
        <x:v>12</x:v>
      </x:c>
      <x:c r="D18" s="288" t="s">
        <x:v>130</x:v>
      </x:c>
      <x:c r="E18" s="289"/>
      <x:c r="F18" s="296">
        <x:v>3</x:v>
      </x:c>
      <x:c r="G18" s="297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9"/>
      <x:c r="C19" s="134">
        <x:f>SUM('1:14'!$C$18)</x:f>
        <x:v>138</x:v>
      </x:c>
      <x:c r="D19" s="280"/>
      <x:c r="E19" s="281"/>
      <x:c r="F19" s="287">
        <x:f>SUM('1:14'!$F$18)</x:f>
        <x:v>50</x:v>
      </x:c>
      <x:c r="G19" s="287"/>
      <x:c r="H19" s="58"/>
      <x:c r="I19" s="58"/>
      <x:c r="J19" s="54"/>
      <x:c r="K19" s="58"/>
      <x:c r="L19" s="60"/>
      <x:c r="M19" s="11"/>
    </x:row>
    <x:row r="20" spans="2:13" ht="21.949999999999999" customHeight="1">
      <x:c r="B20" s="52" t="s">
        <x:v>151</x:v>
      </x:c>
      <x:c r="D20" s="261" t="s">
        <x:v>113</x:v>
      </x:c>
      <x:c r="E20" s="261"/>
      <x:c r="F20" s="286">
        <x:v>63</x:v>
      </x:c>
      <x:c r="G20" s="286"/>
      <x:c r="H20" s="58"/>
      <x:c r="J20" s="54"/>
      <x:c r="K20" s="58"/>
      <x:c r="L20" s="60"/>
      <x:c r="M20" s="11"/>
    </x:row>
    <x:row r="21" spans="4:13" ht="21.949999999999999" customHeight="1">
      <x:c r="D21" s="261" t="s">
        <x:v>114</x:v>
      </x:c>
      <x:c r="E21" s="261"/>
      <x:c r="F21" s="287">
        <x:f>SUM('1:14'!$F$20)</x:f>
        <x:v>833</x:v>
      </x:c>
      <x:c r="G21" s="287"/>
      <x:c r="H21" s="58"/>
      <x:c r="J21" s="54"/>
      <x:c r="K21" s="58"/>
      <x:c r="L21" s="60"/>
      <x:c r="M21" s="11"/>
    </x:row>
    <x:row r="22" spans="1:13" ht="32.100000000000001" customHeight="1">
      <x:c r="A22" s="260" t="s">
        <x:v>83</x:v>
      </x:c>
      <x:c r="B22" s="261"/>
      <x:c r="C22" s="285"/>
      <x:c r="D22" s="285"/>
      <x:c r="E22" s="285"/>
      <x:c r="F22" s="285"/>
      <x:c r="G22" s="285"/>
      <x:c r="H22" s="54"/>
      <x:c r="J22" s="54"/>
      <x:c r="K22" s="58"/>
      <x:c r="L22" s="60"/>
      <x:c r="M22" s="11"/>
    </x:row>
    <x:row r="23" spans="1:15" ht="34.149999999999999" customHeight="1">
      <x:c r="A23" s="260" t="s">
        <x:v>124</x:v>
      </x:c>
      <x:c r="B23" s="261"/>
      <x:c r="C23" s="316"/>
      <x:c r="D23" s="317"/>
      <x:c r="E23" s="317"/>
      <x:c r="F23" s="317"/>
      <x:c r="G23" s="317"/>
      <x:c r="H23" s="107" t="s">
        <x:v>94</x:v>
      </x:c>
      <x:c r="I23" s="108">
        <x:f>SUM(I4:I22)</x:f>
        <x:v>0</x:v>
      </x:c>
      <x:c r="J23" s="61" t="s">
        <x:v>119</x:v>
      </x:c>
      <x:c r="K23" s="62">
        <x:f>SUM(K4:K22)</x:f>
        <x:v>0</x:v>
      </x:c>
      <x:c r="M23" s="88" t="s">
        <x:v>93</x:v>
      </x:c>
      <x:c r="N23" s="283">
        <x:f>C5+C6</x:f>
        <x:v>343000</x:v>
      </x:c>
      <x:c r="O23" s="284"/>
    </x:row>
    <x:row r="24" spans="1:11" ht="34.149999999999999" customHeight="1">
      <x:c r="A24" s="260" t="s">
        <x:v>8</x:v>
      </x:c>
      <x:c r="B24" s="261"/>
      <x:c r="C24" s="261" t="s">
        <x:v>86</x:v>
      </x:c>
      <x:c r="D24" s="261"/>
      <x:c r="E24" s="261" t="s">
        <x:v>101</x:v>
      </x:c>
      <x:c r="F24" s="261"/>
      <x:c r="G24" s="261"/>
      <x:c r="H24" s="107" t="s">
        <x:v>8</x:v>
      </x:c>
      <x:c r="I24" s="109">
        <x:f>I23/A25</x:f>
        <x:v>0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12">
        <x:f>C2</x:f>
        <x:v>5096000</x:v>
      </x:c>
      <x:c r="B25" s="276"/>
      <x:c r="C25" s="276">
        <x:f>E25/I1</x:f>
        <x:v>4349071.4285714282</x:v>
      </x:c>
      <x:c r="D25" s="276"/>
      <x:c r="E25" s="276">
        <x:f>SUM('1:14'!$A$25)</x:f>
        <x:v>60887000</x:v>
      </x:c>
      <x:c r="F25" s="276"/>
      <x:c r="G25" s="276"/>
      <x:c r="H25" s="107" t="s">
        <x:v>33</x:v>
      </x:c>
      <x:c r="I25" s="108">
        <x:f>SUM('1'!$I$23)</x:f>
        <x:v>2230104</x:v>
      </x:c>
      <x:c r="J25" s="61" t="s">
        <x:v>33</x:v>
      </x:c>
      <x:c r="K25" s="62">
        <x:f>SUM('1:14'!$K$21)</x:f>
        <x:v>0</x:v>
      </x:c>
    </x:row>
    <x:row r="26" spans="1:11" ht="34.149999999999999" customHeight="1">
      <x:c r="A26" s="260" t="s">
        <x:v>142</x:v>
      </x:c>
      <x:c r="B26" s="261"/>
      <x:c r="C26" s="261"/>
      <x:c r="D26" s="261"/>
      <x:c r="E26" s="262"/>
      <x:c r="F26" s="262"/>
      <x:c r="G26" s="262"/>
      <x:c r="H26" s="107" t="s">
        <x:v>128</x:v>
      </x:c>
      <x:c r="I26" s="110">
        <x:f>I25/$E$25</x:f>
        <x:v>0.036626931857375138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8" t="s">
        <x:v>141</x:v>
      </x:c>
      <x:c r="B27" s="54" t="s">
        <x:v>44</x:v>
      </x:c>
      <x:c r="C27" s="276">
        <x:f>4000000/30</x:f>
        <x:v>133333.33333333334</x:v>
      </x:c>
      <x:c r="D27" s="276"/>
      <x:c r="E27" s="55" t="s">
        <x:v>147</x:v>
      </x:c>
      <x:c r="F27" s="262"/>
      <x:c r="G27" s="262"/>
      <x:c r="H27" s="111" t="s">
        <x:v>118</x:v>
      </x:c>
      <x:c r="I27" s="112">
        <x:f>SUM(C27:D34,F27:G32)</x:f>
        <x:v>792333.33333333337</x:v>
      </x:c>
      <x:c r="M27" s="66"/>
    </x:row>
    <x:row r="28" spans="1:13" ht="30.949999999999999" customHeight="1">
      <x:c r="A28" s="319"/>
      <x:c r="B28" s="54" t="s">
        <x:v>23</x:v>
      </x:c>
      <x:c r="C28" s="276">
        <x:f>3800000/30</x:f>
        <x:v>126666.66666666667</x:v>
      </x:c>
      <x:c r="D28" s="276"/>
      <x:c r="E28" s="55" t="s">
        <x:v>149</x:v>
      </x:c>
      <x:c r="F28" s="276">
        <x:f>1500000/30</x:f>
        <x:v>50000</x:v>
      </x:c>
      <x:c r="G28" s="276"/>
      <x:c r="H28" s="111" t="s">
        <x:v>8</x:v>
      </x:c>
      <x:c r="I28" s="113">
        <x:f>I27/$A$25</x:f>
        <x:v>0.15548142333856621</x:v>
      </x:c>
      <x:c r="M28" s="66"/>
    </x:row>
    <x:row r="29" spans="1:13" ht="30.949999999999999" customHeight="1">
      <x:c r="A29" s="319"/>
      <x:c r="B29" s="54" t="s">
        <x:v>47</x:v>
      </x:c>
      <x:c r="C29" s="276">
        <x:f>3200000/30</x:f>
        <x:v>106666.66666666667</x:v>
      </x:c>
      <x:c r="D29" s="276"/>
      <x:c r="E29" s="54" t="s">
        <x:v>57</x:v>
      </x:c>
      <x:c r="F29" s="262"/>
      <x:c r="G29" s="262"/>
      <x:c r="H29" s="111" t="s">
        <x:v>33</x:v>
      </x:c>
      <x:c r="I29" s="112">
        <x:f>SUM('1:14'!$I$25)</x:f>
        <x:v>31221456</x:v>
      </x:c>
      <x:c r="M29" s="66" t="s">
        <x:v>63</x:v>
      </x:c>
    </x:row>
    <x:row r="30" spans="1:13" ht="30.949999999999999" customHeight="1">
      <x:c r="A30" s="319"/>
      <x:c r="B30" s="54"/>
      <x:c r="C30" s="315"/>
      <x:c r="D30" s="315"/>
      <x:c r="E30" s="55"/>
      <x:c r="F30" s="310"/>
      <x:c r="G30" s="311"/>
      <x:c r="H30" s="111" t="s">
        <x:v>128</x:v>
      </x:c>
      <x:c r="I30" s="113">
        <x:f>I29/$I$27</x:f>
        <x:v>39.404445940260828</x:v>
      </x:c>
      <x:c r="M30" s="66"/>
    </x:row>
    <x:row r="31" spans="1:7" customHeight="1">
      <x:c r="A31" s="319"/>
      <x:c r="B31" s="54" t="s">
        <x:v>41</x:v>
      </x:c>
      <x:c r="C31" s="313">
        <x:f>3500000/30</x:f>
        <x:v>116666.66666666667</x:v>
      </x:c>
      <x:c r="D31" s="314"/>
      <x:c r="E31" s="55" t="s">
        <x:v>4</x:v>
      </x:c>
      <x:c r="F31" s="310">
        <x:v>130000</x:v>
      </x:c>
      <x:c r="G31" s="311"/>
    </x:row>
    <x:row r="32" spans="1:7" customHeight="1">
      <x:c r="A32" s="319"/>
      <x:c r="B32" s="54"/>
      <x:c r="C32" s="308"/>
      <x:c r="D32" s="309"/>
      <x:c r="E32" s="55" t="s">
        <x:v>138</x:v>
      </x:c>
      <x:c r="F32" s="310">
        <x:v>77000</x:v>
      </x:c>
      <x:c r="G32" s="311"/>
    </x:row>
    <x:row r="33" spans="1:4" customHeight="1">
      <x:c r="A33" s="319"/>
      <x:c r="B33" s="54" t="s">
        <x:v>21</x:v>
      </x:c>
      <x:c r="C33" s="308">
        <x:v>52000</x:v>
      </x:c>
      <x:c r="D33" s="309"/>
    </x:row>
    <x:row r="34" spans="1:4" customHeight="1">
      <x:c r="A34" s="320"/>
      <x:c r="B34" s="54"/>
      <x:c r="C34" s="310"/>
      <x:c r="D34" s="311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7"/>
  <x:dimension ref="A1:O34"/>
  <x:sheetViews>
    <x:sheetView topLeftCell="A5" zoomScale="85" zoomScaleNormal="85" zoomScaleSheetLayoutView="75" workbookViewId="0">
      <x:selection activeCell="J34" activeCellId="0" sqref="J34:J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4" width="8.625" style="53" bestFit="1" customWidth="1"/>
    <x:col min="15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152</x:v>
      </x:c>
      <x:c r="F1" s="68">
        <x:v>15</x:v>
      </x:c>
      <x:c r="G1" s="68" t="s">
        <x:v>49</x:v>
      </x:c>
      <x:c r="H1" s="52" t="s">
        <x:v>123</x:v>
      </x:c>
      <x:c r="I1" s="52">
        <x:f>F1-K1</x:f>
        <x:v>15</x:v>
      </x:c>
      <x:c r="J1" s="52" t="s">
        <x:v>98</x:v>
      </x:c>
      <x:c r="K1" s="52"/>
    </x:row>
    <x:row r="2" spans="1:11" ht="20.100000000000001" customHeight="1">
      <x:c r="A2" s="271" t="s">
        <x:v>9</x:v>
      </x:c>
      <x:c r="B2" s="272"/>
      <x:c r="C2" s="275">
        <x:f>SUM(C4:D7)</x:f>
        <x:v>4381000</x:v>
      </x:c>
      <x:c r="D2" s="275"/>
      <x:c r="E2" s="278" t="s">
        <x:v>40</x:v>
      </x:c>
      <x:c r="F2" s="279"/>
      <x:c r="G2" s="267">
        <x:v>56000</x:v>
      </x:c>
      <x:c r="H2" s="265" t="s">
        <x:v>6</x:v>
      </x:c>
      <x:c r="I2" s="266"/>
      <x:c r="J2" s="263" t="s">
        <x:v>74</x:v>
      </x:c>
      <x:c r="K2" s="264"/>
    </x:row>
    <x:row r="3" spans="1:11" ht="20.100000000000001" customHeight="1">
      <x:c r="A3" s="273"/>
      <x:c r="B3" s="274"/>
      <x:c r="C3" s="276"/>
      <x:c r="D3" s="276"/>
      <x:c r="E3" s="280"/>
      <x:c r="F3" s="281"/>
      <x:c r="G3" s="268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9" t="s">
        <x:v>22</x:v>
      </x:c>
      <x:c r="B4" s="270"/>
      <x:c r="C4" s="262">
        <x:v>3877000</x:v>
      </x:c>
      <x:c r="D4" s="262"/>
      <x:c r="E4" s="277" t="s">
        <x:v>146</x:v>
      </x:c>
      <x:c r="F4" s="277"/>
      <x:c r="G4" s="133">
        <x:f>INT(C4*0.0275)</x:f>
        <x:v>106617</x:v>
      </x:c>
      <x:c r="H4" s="54" t="s">
        <x:v>20</x:v>
      </x:c>
      <x:c r="I4" s="124">
        <x:v>1700406</x:v>
      </x:c>
      <x:c r="J4" s="80" t="s">
        <x:v>36</x:v>
      </x:c>
      <x:c r="K4" s="58"/>
    </x:row>
    <x:row r="5" spans="1:13" ht="30.949999999999999" customHeight="1">
      <x:c r="A5" s="269" t="s">
        <x:v>61</x:v>
      </x:c>
      <x:c r="B5" s="270"/>
      <x:c r="C5" s="262">
        <x:v>504000</x:v>
      </x:c>
      <x:c r="D5" s="262"/>
      <x:c r="E5" s="261" t="s">
        <x:v>70</x:v>
      </x:c>
      <x:c r="F5" s="261"/>
      <x:c r="G5" s="133">
        <x:f>INT(C5*0.01)</x:f>
        <x:v>5040</x:v>
      </x:c>
      <x:c r="H5" s="54" t="s">
        <x:v>6</x:v>
      </x:c>
      <x:c r="I5" s="124"/>
      <x:c r="J5" s="81"/>
      <x:c r="K5" s="58"/>
      <x:c r="M5" s="135"/>
    </x:row>
    <x:row r="6" spans="1:11" ht="21.949999999999999" customHeight="1">
      <x:c r="A6" s="256" t="s">
        <x:v>84</x:v>
      </x:c>
      <x:c r="B6" s="257"/>
      <x:c r="C6" s="301"/>
      <x:c r="D6" s="302"/>
      <x:c r="E6" s="288" t="s">
        <x:v>131</x:v>
      </x:c>
      <x:c r="F6" s="289"/>
      <x:c r="G6" s="282">
        <x:v>500000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8"/>
      <x:c r="B7" s="259"/>
      <x:c r="C7" s="303"/>
      <x:c r="D7" s="304"/>
      <x:c r="E7" s="280"/>
      <x:c r="F7" s="281"/>
      <x:c r="G7" s="268"/>
      <x:c r="H7" s="54" t="s">
        <x:v>24</x:v>
      </x:c>
      <x:c r="I7" s="124">
        <x:v>386750</x:v>
      </x:c>
      <x:c r="J7" s="81" t="s">
        <x:v>116</x:v>
      </x:c>
      <x:c r="K7" s="58"/>
    </x:row>
    <x:row r="8" spans="1:11" ht="21.949999999999999" customHeight="1">
      <x:c r="A8" s="260" t="s">
        <x:v>134</x:v>
      </x:c>
      <x:c r="B8" s="261"/>
      <x:c r="C8" s="262">
        <x:v>60000</x:v>
      </x:c>
      <x:c r="D8" s="262"/>
      <x:c r="E8" s="288" t="s">
        <x:v>110</x:v>
      </x:c>
      <x:c r="F8" s="289"/>
      <x:c r="G8" s="294">
        <x:v>60000</x:v>
      </x:c>
      <x:c r="H8" s="54" t="s">
        <x:v>45</x:v>
      </x:c>
      <x:c r="I8" s="124"/>
      <x:c r="J8" s="81"/>
      <x:c r="K8" s="58"/>
    </x:row>
    <x:row r="9" spans="1:11" ht="21.949999999999999" customHeight="1">
      <x:c r="A9" s="260"/>
      <x:c r="B9" s="261"/>
      <x:c r="C9" s="262"/>
      <x:c r="D9" s="262"/>
      <x:c r="E9" s="280"/>
      <x:c r="F9" s="281"/>
      <x:c r="G9" s="295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143</x:v>
      </x:c>
      <x:c r="B10" s="261"/>
      <x:c r="C10" s="262"/>
      <x:c r="D10" s="262"/>
      <x:c r="E10" s="261" t="s">
        <x:v>87</x:v>
      </x:c>
      <x:c r="F10" s="261"/>
      <x:c r="G10" s="55"/>
      <x:c r="H10" s="54"/>
      <x:c r="I10" s="124"/>
      <x:c r="J10" s="54" t="s">
        <x:v>53</x:v>
      </x:c>
      <x:c r="K10" s="58"/>
    </x:row>
    <x:row r="11" spans="1:11" ht="33" customHeight="1">
      <x:c r="A11" s="260" t="s">
        <x:v>103</x:v>
      </x:c>
      <x:c r="B11" s="261"/>
      <x:c r="C11" s="300"/>
      <x:c r="D11" s="300"/>
      <x:c r="E11" s="300"/>
      <x:c r="F11" s="300"/>
      <x:c r="G11" s="300"/>
      <x:c r="H11" s="54" t="s">
        <x:v>58</x:v>
      </x:c>
      <x:c r="I11" s="58"/>
      <x:c r="J11" s="54" t="s">
        <x:v>82</x:v>
      </x:c>
      <x:c r="K11" s="151"/>
    </x:row>
    <x:row r="12" spans="1:13" ht="21.949999999999999" customHeight="1">
      <x:c r="A12" s="59" t="s">
        <x:v>48</x:v>
      </x:c>
      <x:c r="B12" s="298" t="s">
        <x:v>42</x:v>
      </x:c>
      <x:c r="C12" s="79">
        <x:v>6</x:v>
      </x:c>
      <x:c r="D12" s="288" t="s">
        <x:v>133</x:v>
      </x:c>
      <x:c r="E12" s="289"/>
      <x:c r="F12" s="292">
        <x:v>2</x:v>
      </x:c>
      <x:c r="G12" s="293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9"/>
      <x:c r="C13" s="134">
        <x:f>SUM('1:15'!$C$12)</x:f>
        <x:v>122</x:v>
      </x:c>
      <x:c r="D13" s="280"/>
      <x:c r="E13" s="281"/>
      <x:c r="F13" s="290">
        <x:f>SUM('1:15'!$F$12)</x:f>
        <x:v>74</x:v>
      </x:c>
      <x:c r="G13" s="291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8" t="s">
        <x:v>64</x:v>
      </x:c>
      <x:c r="C14" s="79">
        <x:v>13</x:v>
      </x:c>
      <x:c r="D14" s="288" t="s">
        <x:v>95</x:v>
      </x:c>
      <x:c r="E14" s="289"/>
      <x:c r="F14" s="292">
        <x:v>2</x:v>
      </x:c>
      <x:c r="G14" s="293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9"/>
      <x:c r="C15" s="134">
        <x:f>SUM('1:15'!$C$14)</x:f>
        <x:v>343</x:v>
      </x:c>
      <x:c r="D15" s="280"/>
      <x:c r="E15" s="281"/>
      <x:c r="F15" s="290">
        <x:f>SUM('1:15'!$F$14)</x:f>
        <x:v>147</x:v>
      </x:c>
      <x:c r="G15" s="291"/>
      <x:c r="H15" s="54" t="s">
        <x:v>106</x:v>
      </x:c>
      <x:c r="I15" s="58">
        <x:v>113000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8" t="s">
        <x:v>51</x:v>
      </x:c>
      <x:c r="C16" s="79">
        <x:v>8</x:v>
      </x:c>
      <x:c r="D16" s="288" t="s">
        <x:v>117</x:v>
      </x:c>
      <x:c r="E16" s="289"/>
      <x:c r="F16" s="286">
        <x:v>10</x:v>
      </x:c>
      <x:c r="G16" s="286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9"/>
      <x:c r="C17" s="134">
        <x:f>SUM('1:15'!$C$16)</x:f>
        <x:v>68</x:v>
      </x:c>
      <x:c r="D17" s="280"/>
      <x:c r="E17" s="281"/>
      <x:c r="F17" s="287">
        <x:f>SUM('1:15'!$F$16)</x:f>
        <x:v>167</x:v>
      </x:c>
      <x:c r="G17" s="287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8" t="s">
        <x:v>91</x:v>
      </x:c>
      <x:c r="C18" s="79">
        <x:v>17</x:v>
      </x:c>
      <x:c r="D18" s="288" t="s">
        <x:v>130</x:v>
      </x:c>
      <x:c r="E18" s="289"/>
      <x:c r="F18" s="296">
        <x:v>6</x:v>
      </x:c>
      <x:c r="G18" s="297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9"/>
      <x:c r="C19" s="134">
        <x:f>SUM('1:15'!$C$18)</x:f>
        <x:v>155</x:v>
      </x:c>
      <x:c r="D19" s="280"/>
      <x:c r="E19" s="281"/>
      <x:c r="F19" s="287">
        <x:f>SUM('1:15'!$F$18)</x:f>
        <x:v>56</x:v>
      </x:c>
      <x:c r="G19" s="287"/>
      <x:c r="H19" s="58"/>
      <x:c r="I19" s="58"/>
      <x:c r="J19" s="54"/>
      <x:c r="K19" s="58"/>
      <x:c r="L19" s="60"/>
      <x:c r="M19" s="11"/>
    </x:row>
    <x:row r="20" spans="2:13" ht="21.949999999999999" customHeight="1">
      <x:c r="B20" s="52" t="s">
        <x:v>151</x:v>
      </x:c>
      <x:c r="D20" s="261" t="s">
        <x:v>113</x:v>
      </x:c>
      <x:c r="E20" s="261"/>
      <x:c r="F20" s="286">
        <x:v>61</x:v>
      </x:c>
      <x:c r="G20" s="286"/>
      <x:c r="H20" s="58"/>
      <x:c r="J20" s="54"/>
      <x:c r="K20" s="58"/>
      <x:c r="L20" s="60"/>
      <x:c r="M20" s="11"/>
    </x:row>
    <x:row r="21" spans="4:13" ht="21.949999999999999" customHeight="1">
      <x:c r="D21" s="261" t="s">
        <x:v>114</x:v>
      </x:c>
      <x:c r="E21" s="261"/>
      <x:c r="F21" s="287">
        <x:f>SUM('1:15'!$F$20)</x:f>
        <x:v>894</x:v>
      </x:c>
      <x:c r="G21" s="287"/>
      <x:c r="H21" s="58"/>
      <x:c r="J21" s="54"/>
      <x:c r="K21" s="58"/>
      <x:c r="L21" s="60"/>
      <x:c r="M21" s="11"/>
    </x:row>
    <x:row r="22" spans="1:13" ht="32.100000000000001" customHeight="1">
      <x:c r="A22" s="260" t="s">
        <x:v>83</x:v>
      </x:c>
      <x:c r="B22" s="261"/>
      <x:c r="C22" s="285"/>
      <x:c r="D22" s="285"/>
      <x:c r="E22" s="285"/>
      <x:c r="F22" s="285"/>
      <x:c r="G22" s="285"/>
      <x:c r="H22" s="54"/>
      <x:c r="J22" s="54"/>
      <x:c r="K22" s="58"/>
      <x:c r="L22" s="60"/>
      <x:c r="M22" s="11"/>
    </x:row>
    <x:row r="23" spans="1:15" ht="34.149999999999999" customHeight="1">
      <x:c r="A23" s="260" t="s">
        <x:v>124</x:v>
      </x:c>
      <x:c r="B23" s="261"/>
      <x:c r="C23" s="316"/>
      <x:c r="D23" s="317"/>
      <x:c r="E23" s="317"/>
      <x:c r="F23" s="317"/>
      <x:c r="G23" s="317"/>
      <x:c r="H23" s="107" t="s">
        <x:v>94</x:v>
      </x:c>
      <x:c r="I23" s="108">
        <x:f>SUM(I4:I22)</x:f>
        <x:v>2200156</x:v>
      </x:c>
      <x:c r="J23" s="61" t="s">
        <x:v>119</x:v>
      </x:c>
      <x:c r="K23" s="62">
        <x:f>SUM(K4:K22)</x:f>
        <x:v>0</x:v>
      </x:c>
      <x:c r="M23" s="88" t="s">
        <x:v>93</x:v>
      </x:c>
      <x:c r="N23" s="283">
        <x:f>C5+C6</x:f>
        <x:v>504000</x:v>
      </x:c>
      <x:c r="O23" s="284"/>
    </x:row>
    <x:row r="24" spans="1:11" ht="34.149999999999999" customHeight="1">
      <x:c r="A24" s="260" t="s">
        <x:v>8</x:v>
      </x:c>
      <x:c r="B24" s="261"/>
      <x:c r="C24" s="261" t="s">
        <x:v>86</x:v>
      </x:c>
      <x:c r="D24" s="261"/>
      <x:c r="E24" s="261" t="s">
        <x:v>101</x:v>
      </x:c>
      <x:c r="F24" s="261"/>
      <x:c r="G24" s="261"/>
      <x:c r="H24" s="107" t="s">
        <x:v>8</x:v>
      </x:c>
      <x:c r="I24" s="109">
        <x:f>I23/A25</x:f>
        <x:v>0.50220406299931519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12">
        <x:f>C2</x:f>
        <x:v>4381000</x:v>
      </x:c>
      <x:c r="B25" s="276"/>
      <x:c r="C25" s="276">
        <x:f>E25/I1</x:f>
        <x:v>4351200</x:v>
      </x:c>
      <x:c r="D25" s="276"/>
      <x:c r="E25" s="276">
        <x:f>SUM('1:15'!$A$25)</x:f>
        <x:v>65268000</x:v>
      </x:c>
      <x:c r="F25" s="276"/>
      <x:c r="G25" s="276"/>
      <x:c r="H25" s="107" t="s">
        <x:v>33</x:v>
      </x:c>
      <x:c r="I25" s="108">
        <x:f>SUM('1'!$I$23)</x:f>
        <x:v>2230104</x:v>
      </x:c>
      <x:c r="J25" s="61" t="s">
        <x:v>33</x:v>
      </x:c>
      <x:c r="K25" s="62">
        <x:f>SUM('1:15'!$K$21)</x:f>
        <x:v>0</x:v>
      </x:c>
    </x:row>
    <x:row r="26" spans="1:11" ht="34.149999999999999" customHeight="1">
      <x:c r="A26" s="260" t="s">
        <x:v>142</x:v>
      </x:c>
      <x:c r="B26" s="261"/>
      <x:c r="C26" s="261"/>
      <x:c r="D26" s="261"/>
      <x:c r="E26" s="262"/>
      <x:c r="F26" s="262"/>
      <x:c r="G26" s="262"/>
      <x:c r="H26" s="107" t="s">
        <x:v>128</x:v>
      </x:c>
      <x:c r="I26" s="110">
        <x:f>I25/$E$25</x:f>
        <x:v>0.034168413311270456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8" t="s">
        <x:v>141</x:v>
      </x:c>
      <x:c r="B27" s="54" t="s">
        <x:v>44</x:v>
      </x:c>
      <x:c r="C27" s="276">
        <x:f>4000000/30</x:f>
        <x:v>133333.33333333334</x:v>
      </x:c>
      <x:c r="D27" s="276"/>
      <x:c r="E27" s="55" t="s">
        <x:v>147</x:v>
      </x:c>
      <x:c r="F27" s="262">
        <x:f>13000*4.5</x:f>
        <x:v>58500</x:v>
      </x:c>
      <x:c r="G27" s="262"/>
      <x:c r="H27" s="111" t="s">
        <x:v>118</x:v>
      </x:c>
      <x:c r="I27" s="112">
        <x:f>SUM(C27:D34,F27:G32)</x:f>
        <x:v>785833.33333333337</x:v>
      </x:c>
      <x:c r="M27" s="66"/>
    </x:row>
    <x:row r="28" spans="1:13" ht="30.949999999999999" customHeight="1">
      <x:c r="A28" s="319"/>
      <x:c r="B28" s="54" t="s">
        <x:v>23</x:v>
      </x:c>
      <x:c r="C28" s="276">
        <x:f>3800000/30</x:f>
        <x:v>126666.66666666667</x:v>
      </x:c>
      <x:c r="D28" s="276"/>
      <x:c r="E28" s="55" t="s">
        <x:v>149</x:v>
      </x:c>
      <x:c r="F28" s="276">
        <x:f>1500000/30</x:f>
        <x:v>50000</x:v>
      </x:c>
      <x:c r="G28" s="276"/>
      <x:c r="H28" s="111" t="s">
        <x:v>8</x:v>
      </x:c>
      <x:c r="I28" s="113">
        <x:f>I27/$A$25</x:f>
        <x:v>0.1793730502929316</x:v>
      </x:c>
      <x:c r="M28" s="66"/>
    </x:row>
    <x:row r="29" spans="1:13" ht="30.949999999999999" customHeight="1">
      <x:c r="A29" s="319"/>
      <x:c r="B29" s="54" t="s">
        <x:v>47</x:v>
      </x:c>
      <x:c r="C29" s="276">
        <x:f>3200000/30</x:f>
        <x:v>106666.66666666667</x:v>
      </x:c>
      <x:c r="D29" s="276"/>
      <x:c r="E29" s="54" t="s">
        <x:v>57</x:v>
      </x:c>
      <x:c r="F29" s="262"/>
      <x:c r="G29" s="262"/>
      <x:c r="H29" s="111" t="s">
        <x:v>33</x:v>
      </x:c>
      <x:c r="I29" s="112">
        <x:f>SUM('1:15'!$I$25)</x:f>
        <x:v>33451560</x:v>
      </x:c>
      <x:c r="M29" s="66"/>
    </x:row>
    <x:row r="30" spans="1:13" ht="30.949999999999999" customHeight="1">
      <x:c r="A30" s="319"/>
      <x:c r="B30" s="54"/>
      <x:c r="C30" s="315"/>
      <x:c r="D30" s="315"/>
      <x:c r="E30" s="55"/>
      <x:c r="F30" s="310"/>
      <x:c r="G30" s="311"/>
      <x:c r="H30" s="111" t="s">
        <x:v>128</x:v>
      </x:c>
      <x:c r="I30" s="113">
        <x:f>I29/$I$27</x:f>
        <x:v>42.568262990455992</x:v>
      </x:c>
      <x:c r="M30" s="66"/>
    </x:row>
    <x:row r="31" spans="1:7" customHeight="1">
      <x:c r="A31" s="319"/>
      <x:c r="B31" s="54" t="s">
        <x:v>41</x:v>
      </x:c>
      <x:c r="C31" s="313">
        <x:f>3500000/30</x:f>
        <x:v>116666.66666666667</x:v>
      </x:c>
      <x:c r="D31" s="314"/>
      <x:c r="E31" s="55" t="s">
        <x:v>4</x:v>
      </x:c>
      <x:c r="F31" s="310">
        <x:v>142000</x:v>
      </x:c>
      <x:c r="G31" s="311"/>
    </x:row>
    <x:row r="32" spans="1:7" customHeight="1">
      <x:c r="A32" s="319"/>
      <x:c r="B32" s="54"/>
      <x:c r="C32" s="308"/>
      <x:c r="D32" s="309"/>
      <x:c r="E32" s="55" t="s">
        <x:v>138</x:v>
      </x:c>
      <x:c r="F32" s="310"/>
      <x:c r="G32" s="311"/>
    </x:row>
    <x:row r="33" spans="1:4" customHeight="1">
      <x:c r="A33" s="319"/>
      <x:c r="B33" s="54" t="s">
        <x:v>21</x:v>
      </x:c>
      <x:c r="C33" s="308">
        <x:v>52000</x:v>
      </x:c>
      <x:c r="D33" s="309"/>
    </x:row>
    <x:row r="34" spans="1:4" customHeight="1">
      <x:c r="A34" s="320"/>
      <x:c r="B34" s="54"/>
      <x:c r="C34" s="310"/>
      <x:c r="D34" s="311"/>
    </x:row>
  </x:sheetData>
  <x:mergeCells count="74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32:G32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8"/>
  <x:dimension ref="A1:O34"/>
  <x:sheetViews>
    <x:sheetView topLeftCell="A1" zoomScale="85" zoomScaleNormal="85" zoomScaleSheetLayoutView="75" workbookViewId="0">
      <x:selection activeCell="J34" activeCellId="0" sqref="J34:J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12" style="53" bestFit="1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152</x:v>
      </x:c>
      <x:c r="F1" s="68">
        <x:v>16</x:v>
      </x:c>
      <x:c r="G1" s="68" t="s">
        <x:v>62</x:v>
      </x:c>
      <x:c r="H1" s="52" t="s">
        <x:v>123</x:v>
      </x:c>
      <x:c r="I1" s="52">
        <x:f>F1-K1</x:f>
        <x:v>16</x:v>
      </x:c>
      <x:c r="J1" s="52" t="s">
        <x:v>98</x:v>
      </x:c>
      <x:c r="K1" s="52"/>
    </x:row>
    <x:row r="2" spans="1:11" ht="20.100000000000001" customHeight="1">
      <x:c r="A2" s="271" t="s">
        <x:v>9</x:v>
      </x:c>
      <x:c r="B2" s="272"/>
      <x:c r="C2" s="275">
        <x:f>SUM(C4:D7)</x:f>
        <x:v>3754000</x:v>
      </x:c>
      <x:c r="D2" s="275"/>
      <x:c r="E2" s="278" t="s">
        <x:v>40</x:v>
      </x:c>
      <x:c r="F2" s="279"/>
      <x:c r="G2" s="267">
        <x:v>60000</x:v>
      </x:c>
      <x:c r="H2" s="265" t="s">
        <x:v>6</x:v>
      </x:c>
      <x:c r="I2" s="266"/>
      <x:c r="J2" s="263" t="s">
        <x:v>74</x:v>
      </x:c>
      <x:c r="K2" s="264"/>
    </x:row>
    <x:row r="3" spans="1:11" ht="20.100000000000001" customHeight="1">
      <x:c r="A3" s="273"/>
      <x:c r="B3" s="274"/>
      <x:c r="C3" s="276"/>
      <x:c r="D3" s="276"/>
      <x:c r="E3" s="280"/>
      <x:c r="F3" s="281"/>
      <x:c r="G3" s="268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2" ht="30.949999999999999" customHeight="1">
      <x:c r="A4" s="269" t="s">
        <x:v>22</x:v>
      </x:c>
      <x:c r="B4" s="270"/>
      <x:c r="C4" s="262">
        <x:v>3545000</x:v>
      </x:c>
      <x:c r="D4" s="262"/>
      <x:c r="E4" s="277" t="s">
        <x:v>146</x:v>
      </x:c>
      <x:c r="F4" s="277"/>
      <x:c r="G4" s="133">
        <x:f>INT(C4*0.0275)</x:f>
        <x:v>97487</x:v>
      </x:c>
      <x:c r="H4" s="54" t="s">
        <x:v>20</x:v>
      </x:c>
      <x:c r="I4" s="124">
        <x:v>904000</x:v>
      </x:c>
      <x:c r="J4" s="80" t="s">
        <x:v>36</x:v>
      </x:c>
      <x:c r="K4" s="58"/>
      <x:c r="L4" s="97"/>
    </x:row>
    <x:row r="5" spans="1:11" ht="30.949999999999999" customHeight="1">
      <x:c r="A5" s="269" t="s">
        <x:v>61</x:v>
      </x:c>
      <x:c r="B5" s="270"/>
      <x:c r="C5" s="262">
        <x:v>209000</x:v>
      </x:c>
      <x:c r="D5" s="262"/>
      <x:c r="E5" s="261" t="s">
        <x:v>70</x:v>
      </x:c>
      <x:c r="F5" s="261"/>
      <x:c r="G5" s="133">
        <x:f>INT(C5*0.01)</x:f>
        <x:v>2090</x:v>
      </x:c>
      <x:c r="H5" s="54" t="s">
        <x:v>6</x:v>
      </x:c>
      <x:c r="I5" s="124">
        <x:v>394895</x:v>
      </x:c>
      <x:c r="J5" s="81"/>
      <x:c r="K5" s="58"/>
    </x:row>
    <x:row r="6" spans="1:11" ht="21.949999999999999" customHeight="1">
      <x:c r="A6" s="256" t="s">
        <x:v>84</x:v>
      </x:c>
      <x:c r="B6" s="257"/>
      <x:c r="C6" s="301"/>
      <x:c r="D6" s="302"/>
      <x:c r="E6" s="288" t="s">
        <x:v>131</x:v>
      </x:c>
      <x:c r="F6" s="289"/>
      <x:c r="G6" s="282">
        <x:v>200000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8"/>
      <x:c r="B7" s="259"/>
      <x:c r="C7" s="303"/>
      <x:c r="D7" s="304"/>
      <x:c r="E7" s="280"/>
      <x:c r="F7" s="281"/>
      <x:c r="G7" s="268"/>
      <x:c r="H7" s="54" t="s">
        <x:v>24</x:v>
      </x:c>
      <x:c r="I7" s="124"/>
      <x:c r="J7" s="81" t="s">
        <x:v>116</x:v>
      </x:c>
      <x:c r="K7" s="58"/>
    </x:row>
    <x:row r="8" spans="1:11" ht="21.949999999999999" customHeight="1">
      <x:c r="A8" s="260" t="s">
        <x:v>134</x:v>
      </x:c>
      <x:c r="B8" s="261"/>
      <x:c r="C8" s="262">
        <x:v>69000</x:v>
      </x:c>
      <x:c r="D8" s="262"/>
      <x:c r="E8" s="288" t="s">
        <x:v>110</x:v>
      </x:c>
      <x:c r="F8" s="289"/>
      <x:c r="G8" s="294">
        <x:f>C5+G2-G6-C22</x:f>
        <x:v>69000</x:v>
      </x:c>
      <x:c r="H8" s="54" t="s">
        <x:v>45</x:v>
      </x:c>
      <x:c r="I8" s="124">
        <x:v>65000</x:v>
      </x:c>
      <x:c r="J8" s="81"/>
      <x:c r="K8" s="58"/>
    </x:row>
    <x:row r="9" spans="1:11" ht="21.949999999999999" customHeight="1">
      <x:c r="A9" s="260"/>
      <x:c r="B9" s="261"/>
      <x:c r="C9" s="262"/>
      <x:c r="D9" s="262"/>
      <x:c r="E9" s="280"/>
      <x:c r="F9" s="281"/>
      <x:c r="G9" s="295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143</x:v>
      </x:c>
      <x:c r="B10" s="261"/>
      <x:c r="C10" s="262"/>
      <x:c r="D10" s="262"/>
      <x:c r="E10" s="261" t="s">
        <x:v>87</x:v>
      </x:c>
      <x:c r="F10" s="261"/>
      <x:c r="G10" s="55"/>
      <x:c r="H10" s="54"/>
      <x:c r="I10" s="124"/>
      <x:c r="J10" s="54" t="s">
        <x:v>53</x:v>
      </x:c>
      <x:c r="K10" s="58"/>
    </x:row>
    <x:row r="11" spans="1:11" ht="33" customHeight="1">
      <x:c r="A11" s="260" t="s">
        <x:v>103</x:v>
      </x:c>
      <x:c r="B11" s="261"/>
      <x:c r="C11" s="300"/>
      <x:c r="D11" s="300"/>
      <x:c r="E11" s="300"/>
      <x:c r="F11" s="300"/>
      <x:c r="G11" s="300"/>
      <x:c r="H11" s="54" t="s">
        <x:v>58</x:v>
      </x:c>
      <x:c r="I11" s="58"/>
      <x:c r="J11" s="54" t="s">
        <x:v>82</x:v>
      </x:c>
      <x:c r="K11" s="151"/>
    </x:row>
    <x:row r="12" spans="1:13" ht="21.949999999999999" customHeight="1">
      <x:c r="A12" s="59" t="s">
        <x:v>48</x:v>
      </x:c>
      <x:c r="B12" s="298" t="s">
        <x:v>42</x:v>
      </x:c>
      <x:c r="C12" s="79">
        <x:v>7</x:v>
      </x:c>
      <x:c r="D12" s="288" t="s">
        <x:v>133</x:v>
      </x:c>
      <x:c r="E12" s="289"/>
      <x:c r="F12" s="292">
        <x:v>9</x:v>
      </x:c>
      <x:c r="G12" s="293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9"/>
      <x:c r="C13" s="134">
        <x:f>SUM('1:16'!$C$12)</x:f>
        <x:v>129</x:v>
      </x:c>
      <x:c r="D13" s="280"/>
      <x:c r="E13" s="281"/>
      <x:c r="F13" s="290">
        <x:f>SUM('1:16'!$F$12)</x:f>
        <x:v>83</x:v>
      </x:c>
      <x:c r="G13" s="291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8" t="s">
        <x:v>64</x:v>
      </x:c>
      <x:c r="C14" s="79">
        <x:v>7</x:v>
      </x:c>
      <x:c r="D14" s="288" t="s">
        <x:v>95</x:v>
      </x:c>
      <x:c r="E14" s="289"/>
      <x:c r="F14" s="292">
        <x:v>13</x:v>
      </x:c>
      <x:c r="G14" s="293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9"/>
      <x:c r="C15" s="134">
        <x:f>SUM('1:16'!$C$14)</x:f>
        <x:v>350</x:v>
      </x:c>
      <x:c r="D15" s="280"/>
      <x:c r="E15" s="281"/>
      <x:c r="F15" s="290">
        <x:f>SUM('1:16'!$F$14)</x:f>
        <x:v>160</x:v>
      </x:c>
      <x:c r="G15" s="291"/>
      <x:c r="H15" s="54" t="s">
        <x:v>106</x:v>
      </x:c>
      <x:c r="I15" s="58">
        <x:v>125700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8" t="s">
        <x:v>51</x:v>
      </x:c>
      <x:c r="C16" s="79">
        <x:v>5</x:v>
      </x:c>
      <x:c r="D16" s="288" t="s">
        <x:v>117</x:v>
      </x:c>
      <x:c r="E16" s="289"/>
      <x:c r="F16" s="286">
        <x:v>6</x:v>
      </x:c>
      <x:c r="G16" s="286"/>
      <x:c r="H16" s="54"/>
      <x:c r="I16" s="58"/>
      <x:c r="J16" s="54" t="s">
        <x:v>97</x:v>
      </x:c>
      <x:c r="K16" s="58">
        <x:v>157040</x:v>
      </x:c>
      <x:c r="L16" s="60"/>
      <x:c r="M16" s="11"/>
    </x:row>
    <x:row r="17" spans="1:13" ht="21.949999999999999" customHeight="1">
      <x:c r="A17" s="59" t="s">
        <x:v>96</x:v>
      </x:c>
      <x:c r="B17" s="299"/>
      <x:c r="C17" s="134">
        <x:f>SUM('1:16'!$C$16)</x:f>
        <x:v>73</x:v>
      </x:c>
      <x:c r="D17" s="280"/>
      <x:c r="E17" s="281"/>
      <x:c r="F17" s="287">
        <x:f>SUM('1:16'!$F$16)</x:f>
        <x:v>173</x:v>
      </x:c>
      <x:c r="G17" s="287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8" t="s">
        <x:v>91</x:v>
      </x:c>
      <x:c r="C18" s="79">
        <x:v>9</x:v>
      </x:c>
      <x:c r="D18" s="288" t="s">
        <x:v>130</x:v>
      </x:c>
      <x:c r="E18" s="289"/>
      <x:c r="F18" s="296">
        <x:v>9</x:v>
      </x:c>
      <x:c r="G18" s="297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9"/>
      <x:c r="C19" s="134">
        <x:f>SUM('1:16'!$C$18)</x:f>
        <x:v>164</x:v>
      </x:c>
      <x:c r="D19" s="280"/>
      <x:c r="E19" s="281"/>
      <x:c r="F19" s="287">
        <x:f>SUM('1:16'!$F$18)</x:f>
        <x:v>65</x:v>
      </x:c>
      <x:c r="G19" s="287"/>
      <x:c r="H19" s="58"/>
      <x:c r="I19" s="58"/>
      <x:c r="J19" s="54"/>
      <x:c r="K19" s="58"/>
      <x:c r="L19" s="60"/>
      <x:c r="M19" s="11"/>
    </x:row>
    <x:row r="20" spans="2:13" ht="21.949999999999999" customHeight="1">
      <x:c r="B20" s="52" t="s">
        <x:v>151</x:v>
      </x:c>
      <x:c r="D20" s="261" t="s">
        <x:v>113</x:v>
      </x:c>
      <x:c r="E20" s="261"/>
      <x:c r="F20" s="286">
        <x:v>44</x:v>
      </x:c>
      <x:c r="G20" s="286"/>
      <x:c r="H20" s="58"/>
      <x:c r="J20" s="54"/>
      <x:c r="K20" s="58"/>
      <x:c r="L20" s="60"/>
      <x:c r="M20" s="11"/>
    </x:row>
    <x:row r="21" spans="4:13" ht="21.949999999999999" customHeight="1">
      <x:c r="D21" s="261" t="s">
        <x:v>114</x:v>
      </x:c>
      <x:c r="E21" s="261"/>
      <x:c r="F21" s="287">
        <x:f>SUM('1:16'!$F$20)</x:f>
        <x:v>938</x:v>
      </x:c>
      <x:c r="G21" s="287"/>
      <x:c r="H21" s="58"/>
      <x:c r="J21" s="54"/>
      <x:c r="K21" s="58"/>
      <x:c r="L21" s="60"/>
      <x:c r="M21" s="11"/>
    </x:row>
    <x:row r="22" spans="1:13" ht="32.100000000000001" customHeight="1">
      <x:c r="A22" s="260" t="s">
        <x:v>83</x:v>
      </x:c>
      <x:c r="B22" s="261"/>
      <x:c r="C22" s="285"/>
      <x:c r="D22" s="285"/>
      <x:c r="E22" s="285"/>
      <x:c r="F22" s="285"/>
      <x:c r="G22" s="285"/>
      <x:c r="H22" s="54"/>
      <x:c r="J22" s="54"/>
      <x:c r="K22" s="58"/>
      <x:c r="L22" s="60"/>
      <x:c r="M22" s="11"/>
    </x:row>
    <x:row r="23" spans="1:15" ht="34.149999999999999" customHeight="1">
      <x:c r="A23" s="260" t="s">
        <x:v>124</x:v>
      </x:c>
      <x:c r="B23" s="261"/>
      <x:c r="C23" s="316"/>
      <x:c r="D23" s="317"/>
      <x:c r="E23" s="317"/>
      <x:c r="F23" s="317"/>
      <x:c r="G23" s="317"/>
      <x:c r="H23" s="107" t="s">
        <x:v>94</x:v>
      </x:c>
      <x:c r="I23" s="108">
        <x:f>SUM(I4:I22)</x:f>
        <x:v>1489595</x:v>
      </x:c>
      <x:c r="J23" s="61" t="s">
        <x:v>119</x:v>
      </x:c>
      <x:c r="K23" s="62">
        <x:f>SUM(K4:K22)</x:f>
        <x:v>157040</x:v>
      </x:c>
      <x:c r="M23" s="88" t="s">
        <x:v>93</x:v>
      </x:c>
      <x:c r="N23" s="283">
        <x:f>C5+C6</x:f>
        <x:v>209000</x:v>
      </x:c>
      <x:c r="O23" s="284"/>
    </x:row>
    <x:row r="24" spans="1:11" ht="34.149999999999999" customHeight="1">
      <x:c r="A24" s="260" t="s">
        <x:v>8</x:v>
      </x:c>
      <x:c r="B24" s="261"/>
      <x:c r="C24" s="261" t="s">
        <x:v>86</x:v>
      </x:c>
      <x:c r="D24" s="261"/>
      <x:c r="E24" s="261" t="s">
        <x:v>101</x:v>
      </x:c>
      <x:c r="F24" s="261"/>
      <x:c r="G24" s="261"/>
      <x:c r="H24" s="107" t="s">
        <x:v>8</x:v>
      </x:c>
      <x:c r="I24" s="109">
        <x:f>I23/A25</x:f>
        <x:v>0.39680207778369742</x:v>
      </x:c>
      <x:c r="J24" s="61" t="s">
        <x:v>8</x:v>
      </x:c>
      <x:c r="K24" s="63">
        <x:f>K23/A25</x:f>
        <x:v>0.04183271177410762</x:v>
      </x:c>
    </x:row>
    <x:row r="25" spans="1:11" ht="34.149999999999999" customHeight="1">
      <x:c r="A25" s="312">
        <x:f>C2</x:f>
        <x:v>3754000</x:v>
      </x:c>
      <x:c r="B25" s="276"/>
      <x:c r="C25" s="276">
        <x:f>E25/I1</x:f>
        <x:v>4313875</x:v>
      </x:c>
      <x:c r="D25" s="276"/>
      <x:c r="E25" s="276">
        <x:f>SUM('1:16'!$A$25)</x:f>
        <x:v>69022000</x:v>
      </x:c>
      <x:c r="F25" s="276"/>
      <x:c r="G25" s="276"/>
      <x:c r="H25" s="107" t="s">
        <x:v>33</x:v>
      </x:c>
      <x:c r="I25" s="108">
        <x:f>SUM('1'!$I$23)</x:f>
        <x:v>2230104</x:v>
      </x:c>
      <x:c r="J25" s="61" t="s">
        <x:v>33</x:v>
      </x:c>
      <x:c r="K25" s="62">
        <x:f>SUM('1:16'!$K$21)</x:f>
        <x:v>0</x:v>
      </x:c>
    </x:row>
    <x:row r="26" spans="1:11" ht="34.149999999999999" customHeight="1">
      <x:c r="A26" s="260" t="s">
        <x:v>142</x:v>
      </x:c>
      <x:c r="B26" s="261"/>
      <x:c r="C26" s="261"/>
      <x:c r="D26" s="261"/>
      <x:c r="E26" s="262"/>
      <x:c r="F26" s="262"/>
      <x:c r="G26" s="262"/>
      <x:c r="H26" s="107" t="s">
        <x:v>128</x:v>
      </x:c>
      <x:c r="I26" s="110">
        <x:f>I25/$E$25</x:f>
        <x:v>0.032310046072266813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8" t="s">
        <x:v>141</x:v>
      </x:c>
      <x:c r="B27" s="54" t="s">
        <x:v>44</x:v>
      </x:c>
      <x:c r="C27" s="276">
        <x:f>4000000/30</x:f>
        <x:v>133333.33333333334</x:v>
      </x:c>
      <x:c r="D27" s="276"/>
      <x:c r="E27" s="55" t="s">
        <x:v>147</x:v>
      </x:c>
      <x:c r="F27" s="262">
        <x:f>13000*3.5</x:f>
        <x:v>45500</x:v>
      </x:c>
      <x:c r="G27" s="262"/>
      <x:c r="H27" s="111" t="s">
        <x:v>118</x:v>
      </x:c>
      <x:c r="I27" s="112">
        <x:f>SUM(C27:D34,F27:G32)</x:f>
        <x:v>750833.33333333337</x:v>
      </x:c>
      <x:c r="M27" s="66"/>
    </x:row>
    <x:row r="28" spans="1:13" ht="30.949999999999999" customHeight="1">
      <x:c r="A28" s="319"/>
      <x:c r="B28" s="54" t="s">
        <x:v>23</x:v>
      </x:c>
      <x:c r="C28" s="276">
        <x:f>3800000/30</x:f>
        <x:v>126666.66666666667</x:v>
      </x:c>
      <x:c r="D28" s="276"/>
      <x:c r="E28" s="55" t="s">
        <x:v>149</x:v>
      </x:c>
      <x:c r="F28" s="276">
        <x:f>1500000/30</x:f>
        <x:v>50000</x:v>
      </x:c>
      <x:c r="G28" s="276"/>
      <x:c r="H28" s="111" t="s">
        <x:v>8</x:v>
      </x:c>
      <x:c r="I28" s="113">
        <x:f>I27/$A$25</x:f>
        <x:v>0.20000887941751022</x:v>
      </x:c>
      <x:c r="M28" s="66"/>
    </x:row>
    <x:row r="29" spans="1:13" ht="30.949999999999999" customHeight="1">
      <x:c r="A29" s="319"/>
      <x:c r="B29" s="54" t="s">
        <x:v>47</x:v>
      </x:c>
      <x:c r="C29" s="276">
        <x:f>3200000/30</x:f>
        <x:v>106666.66666666667</x:v>
      </x:c>
      <x:c r="D29" s="276"/>
      <x:c r="E29" s="54" t="s">
        <x:v>57</x:v>
      </x:c>
      <x:c r="F29" s="262"/>
      <x:c r="G29" s="262"/>
      <x:c r="H29" s="111" t="s">
        <x:v>33</x:v>
      </x:c>
      <x:c r="I29" s="112">
        <x:f>SUM('1:16'!$I$25)</x:f>
        <x:v>35681664</x:v>
      </x:c>
      <x:c r="M29" s="66"/>
    </x:row>
    <x:row r="30" spans="1:13" ht="30.949999999999999" customHeight="1">
      <x:c r="A30" s="319"/>
      <x:c r="B30" s="54"/>
      <x:c r="C30" s="315"/>
      <x:c r="D30" s="315"/>
      <x:c r="E30" s="55"/>
      <x:c r="F30" s="310"/>
      <x:c r="G30" s="311"/>
      <x:c r="H30" s="111" t="s">
        <x:v>128</x:v>
      </x:c>
      <x:c r="I30" s="113">
        <x:f>I29/$I$27</x:f>
        <x:v>47.52274894561598</x:v>
      </x:c>
      <x:c r="M30" s="66"/>
    </x:row>
    <x:row r="31" spans="1:7" customHeight="1">
      <x:c r="A31" s="319"/>
      <x:c r="B31" s="54" t="s">
        <x:v>41</x:v>
      </x:c>
      <x:c r="C31" s="313">
        <x:f>3500000/30</x:f>
        <x:v>116666.66666666667</x:v>
      </x:c>
      <x:c r="D31" s="314"/>
      <x:c r="E31" s="55" t="s">
        <x:v>4</x:v>
      </x:c>
      <x:c r="F31" s="310">
        <x:v>120000</x:v>
      </x:c>
      <x:c r="G31" s="311"/>
    </x:row>
    <x:row r="32" spans="1:7" customHeight="1">
      <x:c r="A32" s="319"/>
      <x:c r="B32" s="54"/>
      <x:c r="C32" s="308"/>
      <x:c r="D32" s="309"/>
      <x:c r="E32" s="55" t="s">
        <x:v>138</x:v>
      </x:c>
      <x:c r="F32" s="310"/>
      <x:c r="G32" s="311"/>
    </x:row>
    <x:row r="33" spans="1:4" customHeight="1">
      <x:c r="A33" s="319"/>
      <x:c r="B33" s="54" t="s">
        <x:v>21</x:v>
      </x:c>
      <x:c r="C33" s="308">
        <x:f>13000*4</x:f>
        <x:v>52000</x:v>
      </x:c>
      <x:c r="D33" s="309"/>
    </x:row>
    <x:row r="34" spans="1:4" customHeight="1">
      <x:c r="A34" s="320"/>
      <x:c r="B34" s="54"/>
      <x:c r="C34" s="310"/>
      <x:c r="D34" s="311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9"/>
  <x:dimension ref="A1:O34"/>
  <x:sheetViews>
    <x:sheetView topLeftCell="A13" zoomScale="85" zoomScaleNormal="85" zoomScaleSheetLayoutView="75" workbookViewId="0">
      <x:selection activeCell="J34" activeCellId="0" sqref="J34:J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152</x:v>
      </x:c>
      <x:c r="F1" s="68">
        <x:v>17</x:v>
      </x:c>
      <x:c r="G1" s="68" t="s">
        <x:v>27</x:v>
      </x:c>
      <x:c r="H1" s="52" t="s">
        <x:v>123</x:v>
      </x:c>
      <x:c r="I1" s="52">
        <x:f>F1-K1</x:f>
        <x:v>17</x:v>
      </x:c>
      <x:c r="J1" s="52" t="s">
        <x:v>98</x:v>
      </x:c>
      <x:c r="K1" s="52"/>
    </x:row>
    <x:row r="2" spans="1:11" ht="20.100000000000001" customHeight="1">
      <x:c r="A2" s="330" t="s">
        <x:v>9</x:v>
      </x:c>
      <x:c r="B2" s="331"/>
      <x:c r="C2" s="334">
        <x:f>SUM(C4:D7)</x:f>
        <x:v>3765500</x:v>
      </x:c>
      <x:c r="D2" s="335"/>
      <x:c r="E2" s="278" t="s">
        <x:v>40</x:v>
      </x:c>
      <x:c r="F2" s="279"/>
      <x:c r="G2" s="267">
        <x:v>69000</x:v>
      </x:c>
      <x:c r="H2" s="338" t="s">
        <x:v>6</x:v>
      </x:c>
      <x:c r="I2" s="339"/>
      <x:c r="J2" s="263" t="s">
        <x:v>74</x:v>
      </x:c>
      <x:c r="K2" s="327"/>
    </x:row>
    <x:row r="3" spans="1:11" ht="20.100000000000001" customHeight="1">
      <x:c r="A3" s="332"/>
      <x:c r="B3" s="333"/>
      <x:c r="C3" s="336"/>
      <x:c r="D3" s="337"/>
      <x:c r="E3" s="280"/>
      <x:c r="F3" s="281"/>
      <x:c r="G3" s="268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341" t="s">
        <x:v>22</x:v>
      </x:c>
      <x:c r="B4" s="342"/>
      <x:c r="C4" s="310">
        <x:v>3366500</x:v>
      </x:c>
      <x:c r="D4" s="311"/>
      <x:c r="E4" s="343" t="s">
        <x:v>146</x:v>
      </x:c>
      <x:c r="F4" s="344"/>
      <x:c r="G4" s="133">
        <x:f>INT(C4*0.0275)</x:f>
        <x:v>92578</x:v>
      </x:c>
      <x:c r="H4" s="54" t="s">
        <x:v>20</x:v>
      </x:c>
      <x:c r="I4" s="124">
        <x:v>1046660</x:v>
      </x:c>
      <x:c r="J4" s="80" t="s">
        <x:v>36</x:v>
      </x:c>
      <x:c r="K4" s="58">
        <x:v>305000</x:v>
      </x:c>
    </x:row>
    <x:row r="5" spans="1:11" ht="30.949999999999999" customHeight="1">
      <x:c r="A5" s="341" t="s">
        <x:v>61</x:v>
      </x:c>
      <x:c r="B5" s="342"/>
      <x:c r="C5" s="310">
        <x:v>399000</x:v>
      </x:c>
      <x:c r="D5" s="311"/>
      <x:c r="E5" s="292" t="s">
        <x:v>70</x:v>
      </x:c>
      <x:c r="F5" s="293"/>
      <x:c r="G5" s="133">
        <x:f>INT(C5*0.01)</x:f>
        <x:v>3990</x:v>
      </x:c>
      <x:c r="H5" s="54" t="s">
        <x:v>6</x:v>
      </x:c>
      <x:c r="I5" s="124">
        <x:v>87220</x:v>
      </x:c>
      <x:c r="J5" s="81"/>
      <x:c r="K5" s="58"/>
    </x:row>
    <x:row r="6" spans="1:11" ht="21.949999999999999" customHeight="1">
      <x:c r="A6" s="256" t="s">
        <x:v>84</x:v>
      </x:c>
      <x:c r="B6" s="257"/>
      <x:c r="C6" s="301"/>
      <x:c r="D6" s="302"/>
      <x:c r="E6" s="288" t="s">
        <x:v>131</x:v>
      </x:c>
      <x:c r="F6" s="289"/>
      <x:c r="G6" s="282">
        <x:v>380000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8"/>
      <x:c r="B7" s="259"/>
      <x:c r="C7" s="303"/>
      <x:c r="D7" s="304"/>
      <x:c r="E7" s="280"/>
      <x:c r="F7" s="281"/>
      <x:c r="G7" s="268"/>
      <x:c r="H7" s="54" t="s">
        <x:v>24</x:v>
      </x:c>
      <x:c r="I7" s="124">
        <x:v>310400</x:v>
      </x:c>
      <x:c r="J7" s="81" t="s">
        <x:v>116</x:v>
      </x:c>
      <x:c r="K7" s="58"/>
    </x:row>
    <x:row r="8" spans="1:11" ht="21.949999999999999" customHeight="1">
      <x:c r="A8" s="348" t="s">
        <x:v>134</x:v>
      </x:c>
      <x:c r="B8" s="289"/>
      <x:c r="C8" s="301">
        <x:v>88000</x:v>
      </x:c>
      <x:c r="D8" s="302"/>
      <x:c r="E8" s="288" t="s">
        <x:v>110</x:v>
      </x:c>
      <x:c r="F8" s="289"/>
      <x:c r="G8" s="294">
        <x:f>C5+G2-G6-C22</x:f>
        <x:v>88000</x:v>
      </x:c>
      <x:c r="H8" s="54" t="s">
        <x:v>45</x:v>
      </x:c>
      <x:c r="I8" s="124"/>
      <x:c r="J8" s="81"/>
      <x:c r="K8" s="58"/>
    </x:row>
    <x:row r="9" spans="1:11" ht="21.949999999999999" customHeight="1">
      <x:c r="A9" s="349"/>
      <x:c r="B9" s="281"/>
      <x:c r="C9" s="303"/>
      <x:c r="D9" s="304"/>
      <x:c r="E9" s="280"/>
      <x:c r="F9" s="281"/>
      <x:c r="G9" s="295"/>
      <x:c r="H9" s="54"/>
      <x:c r="I9" s="124"/>
      <x:c r="J9" s="54" t="s">
        <x:v>16</x:v>
      </x:c>
      <x:c r="K9" s="58"/>
    </x:row>
    <x:row r="10" spans="1:11" ht="30.949999999999999" customHeight="1">
      <x:c r="A10" s="340" t="s">
        <x:v>143</x:v>
      </x:c>
      <x:c r="B10" s="293"/>
      <x:c r="C10" s="310"/>
      <x:c r="D10" s="311"/>
      <x:c r="E10" s="292" t="s">
        <x:v>87</x:v>
      </x:c>
      <x:c r="F10" s="293"/>
      <x:c r="G10" s="55"/>
      <x:c r="H10" s="54"/>
      <x:c r="I10" s="124"/>
      <x:c r="J10" s="54" t="s">
        <x:v>53</x:v>
      </x:c>
      <x:c r="K10" s="58"/>
    </x:row>
    <x:row r="11" spans="1:11" ht="33" customHeight="1">
      <x:c r="A11" s="340" t="s">
        <x:v>103</x:v>
      </x:c>
      <x:c r="B11" s="293"/>
      <x:c r="C11" s="345"/>
      <x:c r="D11" s="346"/>
      <x:c r="E11" s="346"/>
      <x:c r="F11" s="346"/>
      <x:c r="G11" s="347"/>
      <x:c r="H11" s="54" t="s">
        <x:v>58</x:v>
      </x:c>
      <x:c r="I11" s="58"/>
      <x:c r="J11" s="54" t="s">
        <x:v>82</x:v>
      </x:c>
      <x:c r="K11" s="151"/>
    </x:row>
    <x:row r="12" spans="1:13" ht="21.949999999999999" customHeight="1">
      <x:c r="A12" s="59" t="s">
        <x:v>48</x:v>
      </x:c>
      <x:c r="B12" s="298" t="s">
        <x:v>42</x:v>
      </x:c>
      <x:c r="C12" s="79">
        <x:v>12</x:v>
      </x:c>
      <x:c r="D12" s="288" t="s">
        <x:v>133</x:v>
      </x:c>
      <x:c r="E12" s="289"/>
      <x:c r="F12" s="292">
        <x:v>1</x:v>
      </x:c>
      <x:c r="G12" s="293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9"/>
      <x:c r="C13" s="134">
        <x:f>SUM('1:17'!$C$12)</x:f>
        <x:v>141</x:v>
      </x:c>
      <x:c r="D13" s="280"/>
      <x:c r="E13" s="281"/>
      <x:c r="F13" s="290">
        <x:f>SUM('1:17'!$F$12)</x:f>
        <x:v>84</x:v>
      </x:c>
      <x:c r="G13" s="291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8" t="s">
        <x:v>64</x:v>
      </x:c>
      <x:c r="C14" s="79">
        <x:v>16</x:v>
      </x:c>
      <x:c r="D14" s="288" t="s">
        <x:v>95</x:v>
      </x:c>
      <x:c r="E14" s="289"/>
      <x:c r="F14" s="292">
        <x:v>6</x:v>
      </x:c>
      <x:c r="G14" s="293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9"/>
      <x:c r="C15" s="134">
        <x:f>SUM('1:17'!$C$14)</x:f>
        <x:v>366</x:v>
      </x:c>
      <x:c r="D15" s="280"/>
      <x:c r="E15" s="281"/>
      <x:c r="F15" s="290">
        <x:f>SUM('1:17'!$F$14)</x:f>
        <x:v>166</x:v>
      </x:c>
      <x:c r="G15" s="291"/>
      <x:c r="H15" s="54" t="s">
        <x:v>106</x:v>
      </x:c>
      <x:c r="I15" s="58">
        <x:v>221950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8" t="s">
        <x:v>51</x:v>
      </x:c>
      <x:c r="C16" s="79">
        <x:v>3</x:v>
      </x:c>
      <x:c r="D16" s="288" t="s">
        <x:v>117</x:v>
      </x:c>
      <x:c r="E16" s="289"/>
      <x:c r="F16" s="328">
        <x:v>3</x:v>
      </x:c>
      <x:c r="G16" s="329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9"/>
      <x:c r="C17" s="134">
        <x:f>SUM('1:17'!$C$16)</x:f>
        <x:v>76</x:v>
      </x:c>
      <x:c r="D17" s="280"/>
      <x:c r="E17" s="281"/>
      <x:c r="F17" s="290">
        <x:f>SUM('1:17'!$F$16)</x:f>
        <x:v>176</x:v>
      </x:c>
      <x:c r="G17" s="291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8" t="s">
        <x:v>91</x:v>
      </x:c>
      <x:c r="C18" s="79">
        <x:v>2</x:v>
      </x:c>
      <x:c r="D18" s="288" t="s">
        <x:v>130</x:v>
      </x:c>
      <x:c r="E18" s="289"/>
      <x:c r="F18" s="328">
        <x:v>1</x:v>
      </x:c>
      <x:c r="G18" s="32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9"/>
      <x:c r="C19" s="134">
        <x:f>SUM('1:17'!$C$18)</x:f>
        <x:v>166</x:v>
      </x:c>
      <x:c r="D19" s="280"/>
      <x:c r="E19" s="281"/>
      <x:c r="F19" s="290">
        <x:f>SUM('1:17'!$F$18)</x:f>
        <x:v>66</x:v>
      </x:c>
      <x:c r="G19" s="291"/>
      <x:c r="H19" s="58"/>
      <x:c r="I19" s="58"/>
      <x:c r="J19" s="54"/>
      <x:c r="K19" s="58"/>
      <x:c r="L19" s="60"/>
      <x:c r="M19" s="11"/>
    </x:row>
    <x:row r="20" spans="2:13" ht="21.949999999999999" customHeight="1">
      <x:c r="B20" s="52" t="s">
        <x:v>151</x:v>
      </x:c>
      <x:c r="D20" s="292" t="s">
        <x:v>113</x:v>
      </x:c>
      <x:c r="E20" s="293"/>
      <x:c r="F20" s="328">
        <x:v>53</x:v>
      </x:c>
      <x:c r="G20" s="329"/>
      <x:c r="H20" s="58"/>
      <x:c r="J20" s="54"/>
      <x:c r="K20" s="58"/>
      <x:c r="L20" s="60"/>
      <x:c r="M20" s="11"/>
    </x:row>
    <x:row r="21" spans="4:13" ht="21.949999999999999" customHeight="1">
      <x:c r="D21" s="292" t="s">
        <x:v>114</x:v>
      </x:c>
      <x:c r="E21" s="293"/>
      <x:c r="F21" s="290">
        <x:f>SUM('1:17'!$F$20)</x:f>
        <x:v>991</x:v>
      </x:c>
      <x:c r="G21" s="291"/>
      <x:c r="H21" s="58"/>
      <x:c r="J21" s="54"/>
      <x:c r="K21" s="58"/>
      <x:c r="L21" s="60"/>
      <x:c r="M21" s="11"/>
    </x:row>
    <x:row r="22" spans="1:13" ht="32.100000000000001" customHeight="1">
      <x:c r="A22" s="340" t="s">
        <x:v>83</x:v>
      </x:c>
      <x:c r="B22" s="293"/>
      <x:c r="C22" s="360"/>
      <x:c r="D22" s="361"/>
      <x:c r="E22" s="361"/>
      <x:c r="F22" s="361"/>
      <x:c r="G22" s="362"/>
      <x:c r="H22" s="54"/>
      <x:c r="J22" s="54"/>
      <x:c r="K22" s="58"/>
      <x:c r="L22" s="60"/>
      <x:c r="M22" s="11"/>
    </x:row>
    <x:row r="23" spans="1:15" ht="34.149999999999999" customHeight="1">
      <x:c r="A23" s="340" t="s">
        <x:v>124</x:v>
      </x:c>
      <x:c r="B23" s="293"/>
      <x:c r="C23" s="324"/>
      <x:c r="D23" s="325"/>
      <x:c r="E23" s="325"/>
      <x:c r="F23" s="325"/>
      <x:c r="G23" s="326"/>
      <x:c r="H23" s="107" t="s">
        <x:v>94</x:v>
      </x:c>
      <x:c r="I23" s="108">
        <x:f>SUM(I4:I22)</x:f>
        <x:v>1666230</x:v>
      </x:c>
      <x:c r="J23" s="61" t="s">
        <x:v>119</x:v>
      </x:c>
      <x:c r="K23" s="62">
        <x:f>SUM(K4:K22)</x:f>
        <x:v>305000</x:v>
      </x:c>
      <x:c r="M23" s="88" t="s">
        <x:v>93</x:v>
      </x:c>
      <x:c r="N23" s="283">
        <x:f>C5+C6</x:f>
        <x:v>399000</x:v>
      </x:c>
      <x:c r="O23" s="284"/>
    </x:row>
    <x:row r="24" spans="1:11" ht="34.149999999999999" customHeight="1">
      <x:c r="A24" s="340" t="s">
        <x:v>8</x:v>
      </x:c>
      <x:c r="B24" s="293"/>
      <x:c r="C24" s="292" t="s">
        <x:v>86</x:v>
      </x:c>
      <x:c r="D24" s="293"/>
      <x:c r="E24" s="292" t="s">
        <x:v>101</x:v>
      </x:c>
      <x:c r="F24" s="323"/>
      <x:c r="G24" s="293"/>
      <x:c r="H24" s="107" t="s">
        <x:v>8</x:v>
      </x:c>
      <x:c r="I24" s="109">
        <x:f>I23/A25</x:f>
        <x:v>0.44249900411631921</x:v>
      </x:c>
      <x:c r="J24" s="61" t="s">
        <x:v>8</x:v>
      </x:c>
      <x:c r="K24" s="63">
        <x:f>K23/A25</x:f>
        <x:v>0.080998539370601516</x:v>
      </x:c>
    </x:row>
    <x:row r="25" spans="1:11" ht="34.149999999999999" customHeight="1">
      <x:c r="A25" s="354">
        <x:f>C2</x:f>
        <x:v>3765500</x:v>
      </x:c>
      <x:c r="B25" s="314"/>
      <x:c r="C25" s="313">
        <x:f>E25/I1</x:f>
        <x:v>4281617.6470588231</x:v>
      </x:c>
      <x:c r="D25" s="314"/>
      <x:c r="E25" s="313">
        <x:f>SUM('1:17'!$A$25)</x:f>
        <x:v>72787500</x:v>
      </x:c>
      <x:c r="F25" s="322"/>
      <x:c r="G25" s="314"/>
      <x:c r="H25" s="107" t="s">
        <x:v>33</x:v>
      </x:c>
      <x:c r="I25" s="108">
        <x:f>SUM('1'!$I$23)</x:f>
        <x:v>2230104</x:v>
      </x:c>
      <x:c r="J25" s="61" t="s">
        <x:v>33</x:v>
      </x:c>
      <x:c r="K25" s="62">
        <x:f>SUM('1:17'!$K$21)</x:f>
        <x:v>0</x:v>
      </x:c>
    </x:row>
    <x:row r="26" spans="1:11" ht="34.149999999999999" customHeight="1">
      <x:c r="A26" s="340" t="s">
        <x:v>142</x:v>
      </x:c>
      <x:c r="B26" s="293"/>
      <x:c r="C26" s="292"/>
      <x:c r="D26" s="293"/>
      <x:c r="E26" s="310"/>
      <x:c r="F26" s="353"/>
      <x:c r="G26" s="311"/>
      <x:c r="H26" s="107" t="s">
        <x:v>128</x:v>
      </x:c>
      <x:c r="I26" s="110">
        <x:f>I25/$E$25</x:f>
        <x:v>0.030638557444616177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05" t="s">
        <x:v>141</x:v>
      </x:c>
      <x:c r="B27" s="54" t="s">
        <x:v>44</x:v>
      </x:c>
      <x:c r="C27" s="313">
        <x:f>4000000/30</x:f>
        <x:v>133333.33333333334</x:v>
      </x:c>
      <x:c r="D27" s="314"/>
      <x:c r="E27" s="55" t="s">
        <x:v>147</x:v>
      </x:c>
      <x:c r="F27" s="310">
        <x:f>13000*4.5</x:f>
        <x:v>58500</x:v>
      </x:c>
      <x:c r="G27" s="311"/>
      <x:c r="H27" s="111" t="s">
        <x:v>118</x:v>
      </x:c>
      <x:c r="I27" s="112">
        <x:f>SUM(C27:D34,F27:G32)</x:f>
        <x:v>723833.33333333337</x:v>
      </x:c>
      <x:c r="M27" s="66"/>
    </x:row>
    <x:row r="28" spans="1:13" ht="30.949999999999999" customHeight="1">
      <x:c r="A28" s="306"/>
      <x:c r="B28" s="54" t="s">
        <x:v>23</x:v>
      </x:c>
      <x:c r="C28" s="313">
        <x:f>3800000/30</x:f>
        <x:v>126666.66666666667</x:v>
      </x:c>
      <x:c r="D28" s="314"/>
      <x:c r="E28" s="55" t="s">
        <x:v>149</x:v>
      </x:c>
      <x:c r="F28" s="313">
        <x:f>1500000/30</x:f>
        <x:v>50000</x:v>
      </x:c>
      <x:c r="G28" s="314"/>
      <x:c r="H28" s="111" t="s">
        <x:v>8</x:v>
      </x:c>
      <x:c r="I28" s="113">
        <x:f>I27/$A$25</x:f>
        <x:v>0.19222768114017616</x:v>
      </x:c>
      <x:c r="M28" s="66"/>
    </x:row>
    <x:row r="29" spans="1:13" ht="30.949999999999999" customHeight="1">
      <x:c r="A29" s="306"/>
      <x:c r="B29" s="54" t="s">
        <x:v>47</x:v>
      </x:c>
      <x:c r="C29" s="313">
        <x:f>3200000/30</x:f>
        <x:v>106666.66666666667</x:v>
      </x:c>
      <x:c r="D29" s="314"/>
      <x:c r="E29" s="54" t="s">
        <x:v>57</x:v>
      </x:c>
      <x:c r="F29" s="310"/>
      <x:c r="G29" s="311"/>
      <x:c r="H29" s="111" t="s">
        <x:v>33</x:v>
      </x:c>
      <x:c r="I29" s="112">
        <x:f>SUM('1:17'!$I$25)</x:f>
        <x:v>37911768</x:v>
      </x:c>
      <x:c r="M29" s="66"/>
    </x:row>
    <x:row r="30" spans="1:13" ht="30.949999999999999" customHeight="1">
      <x:c r="A30" s="306"/>
      <x:c r="B30" s="54"/>
      <x:c r="C30" s="355"/>
      <x:c r="D30" s="356"/>
      <x:c r="E30" s="55"/>
      <x:c r="F30" s="310"/>
      <x:c r="G30" s="311"/>
      <x:c r="H30" s="111" t="s">
        <x:v>128</x:v>
      </x:c>
      <x:c r="I30" s="113">
        <x:f>I29/$I$27</x:f>
        <x:v>52.37637761915726</x:v>
      </x:c>
      <x:c r="M30" s="66"/>
    </x:row>
    <x:row r="31" spans="1:7" customHeight="1">
      <x:c r="A31" s="306"/>
      <x:c r="B31" s="54" t="s">
        <x:v>41</x:v>
      </x:c>
      <x:c r="C31" s="313">
        <x:f>3500000/30</x:f>
        <x:v>116666.66666666667</x:v>
      </x:c>
      <x:c r="D31" s="314"/>
      <x:c r="E31" s="55" t="s">
        <x:v>4</x:v>
      </x:c>
      <x:c r="F31" s="310">
        <x:v>132000</x:v>
      </x:c>
      <x:c r="G31" s="311"/>
    </x:row>
    <x:row r="32" spans="1:7" customHeight="1">
      <x:c r="A32" s="306"/>
      <x:c r="B32" s="54"/>
      <x:c r="C32" s="308"/>
      <x:c r="D32" s="309"/>
      <x:c r="E32" s="55" t="s">
        <x:v>138</x:v>
      </x:c>
      <x:c r="F32" s="310"/>
      <x:c r="G32" s="311"/>
    </x:row>
    <x:row r="33" spans="1:4" customHeight="1">
      <x:c r="A33" s="306"/>
      <x:c r="B33" s="54" t="s">
        <x:v>21</x:v>
      </x:c>
      <x:c r="C33" s="308"/>
      <x:c r="D33" s="309"/>
    </x:row>
    <x:row r="34" spans="1:4" customHeight="1">
      <x:c r="A34" s="307"/>
      <x:c r="B34" s="54"/>
      <x:c r="C34" s="310"/>
      <x:c r="D34" s="311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</x:mergeCells>
  <x:pageMargins left="0.52958333492279053" right="0.47972223162651062" top="0.97000002861022949" bottom="0.49000000953674316" header="0.30000001192092896" footer="0.30000001192092896"/>
  <x:pageSetup paperSize="9" scale="51" firstPageNumber="1" fitToWidth="1" fitToHeight="1" orientation="portrait" usePrinterDefaults="1" blackAndWhite="0" draft="0" useFirstPageNumber="0" horizontalDpi="600" verticalDpi="600" copies="1"/>
</x:worksheet>
</file>

<file path=xl/worksheets/sheet2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0"/>
  <x:dimension ref="A1:O35"/>
  <x:sheetViews>
    <x:sheetView topLeftCell="A9" zoomScale="85" zoomScaleNormal="85" zoomScaleSheetLayoutView="75" workbookViewId="0">
      <x:selection activeCell="J34" activeCellId="0" sqref="J34:J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152</x:v>
      </x:c>
      <x:c r="F1" s="68">
        <x:v>18</x:v>
      </x:c>
      <x:c r="G1" s="68" t="s">
        <x:v>50</x:v>
      </x:c>
      <x:c r="H1" s="52" t="s">
        <x:v>123</x:v>
      </x:c>
      <x:c r="I1" s="52">
        <x:f>F1-K1</x:f>
        <x:v>18</x:v>
      </x:c>
      <x:c r="J1" s="52" t="s">
        <x:v>98</x:v>
      </x:c>
      <x:c r="K1" s="52"/>
    </x:row>
    <x:row r="2" spans="1:11" ht="20.100000000000001" customHeight="1">
      <x:c r="A2" s="271" t="s">
        <x:v>9</x:v>
      </x:c>
      <x:c r="B2" s="272"/>
      <x:c r="C2" s="275">
        <x:f>SUM(C4:D7)</x:f>
        <x:v>3994500</x:v>
      </x:c>
      <x:c r="D2" s="275"/>
      <x:c r="E2" s="278" t="s">
        <x:v>40</x:v>
      </x:c>
      <x:c r="F2" s="279"/>
      <x:c r="G2" s="267">
        <x:v>88000</x:v>
      </x:c>
      <x:c r="H2" s="265" t="s">
        <x:v>6</x:v>
      </x:c>
      <x:c r="I2" s="266"/>
      <x:c r="J2" s="263" t="s">
        <x:v>74</x:v>
      </x:c>
      <x:c r="K2" s="264"/>
    </x:row>
    <x:row r="3" spans="1:11" ht="20.100000000000001" customHeight="1">
      <x:c r="A3" s="273"/>
      <x:c r="B3" s="274"/>
      <x:c r="C3" s="276"/>
      <x:c r="D3" s="276"/>
      <x:c r="E3" s="280"/>
      <x:c r="F3" s="281"/>
      <x:c r="G3" s="268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9" t="s">
        <x:v>22</x:v>
      </x:c>
      <x:c r="B4" s="270"/>
      <x:c r="C4" s="262">
        <x:v>3651000</x:v>
      </x:c>
      <x:c r="D4" s="262"/>
      <x:c r="E4" s="277" t="s">
        <x:v>146</x:v>
      </x:c>
      <x:c r="F4" s="277"/>
      <x:c r="G4" s="133">
        <x:f>INT(C4*0.0275)</x:f>
        <x:v>100402</x:v>
      </x:c>
      <x:c r="H4" s="54" t="s">
        <x:v>20</x:v>
      </x:c>
      <x:c r="I4" s="124">
        <x:v>1611201</x:v>
      </x:c>
      <x:c r="J4" s="80" t="s">
        <x:v>36</x:v>
      </x:c>
      <x:c r="K4" s="58"/>
    </x:row>
    <x:row r="5" spans="1:11" ht="30.949999999999999" customHeight="1">
      <x:c r="A5" s="269" t="s">
        <x:v>61</x:v>
      </x:c>
      <x:c r="B5" s="270"/>
      <x:c r="C5" s="262">
        <x:v>343500</x:v>
      </x:c>
      <x:c r="D5" s="262"/>
      <x:c r="E5" s="261" t="s">
        <x:v>70</x:v>
      </x:c>
      <x:c r="F5" s="261"/>
      <x:c r="G5" s="133">
        <x:f>INT(C5*0.01)</x:f>
        <x:v>3435</x:v>
      </x:c>
      <x:c r="H5" s="54" t="s">
        <x:v>6</x:v>
      </x:c>
      <x:c r="I5" s="124">
        <x:v>184560</x:v>
      </x:c>
      <x:c r="J5" s="81"/>
      <x:c r="K5" s="58"/>
    </x:row>
    <x:row r="6" spans="1:11" ht="21.949999999999999" customHeight="1">
      <x:c r="A6" s="256" t="s">
        <x:v>84</x:v>
      </x:c>
      <x:c r="B6" s="257"/>
      <x:c r="C6" s="301"/>
      <x:c r="D6" s="302"/>
      <x:c r="E6" s="288" t="s">
        <x:v>131</x:v>
      </x:c>
      <x:c r="F6" s="289"/>
      <x:c r="G6" s="282">
        <x:v>340000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8"/>
      <x:c r="B7" s="259"/>
      <x:c r="C7" s="303"/>
      <x:c r="D7" s="304"/>
      <x:c r="E7" s="280"/>
      <x:c r="F7" s="281"/>
      <x:c r="G7" s="268"/>
      <x:c r="H7" s="54" t="s">
        <x:v>24</x:v>
      </x:c>
      <x:c r="I7" s="124">
        <x:v>158800</x:v>
      </x:c>
      <x:c r="J7" s="81" t="s">
        <x:v>116</x:v>
      </x:c>
      <x:c r="K7" s="58"/>
    </x:row>
    <x:row r="8" spans="1:11" ht="21.949999999999999" customHeight="1">
      <x:c r="A8" s="260" t="s">
        <x:v>134</x:v>
      </x:c>
      <x:c r="B8" s="261"/>
      <x:c r="C8" s="262">
        <x:v>91500</x:v>
      </x:c>
      <x:c r="D8" s="262"/>
      <x:c r="E8" s="288" t="s">
        <x:v>110</x:v>
      </x:c>
      <x:c r="F8" s="289"/>
      <x:c r="G8" s="294">
        <x:f>C5+G2-G6-C22</x:f>
        <x:v>91500</x:v>
      </x:c>
      <x:c r="H8" s="54" t="s">
        <x:v>45</x:v>
      </x:c>
      <x:c r="I8" s="124">
        <x:v>65000</x:v>
      </x:c>
      <x:c r="J8" s="81"/>
      <x:c r="K8" s="58"/>
    </x:row>
    <x:row r="9" spans="1:11" ht="21.949999999999999" customHeight="1">
      <x:c r="A9" s="260"/>
      <x:c r="B9" s="261"/>
      <x:c r="C9" s="262"/>
      <x:c r="D9" s="262"/>
      <x:c r="E9" s="280"/>
      <x:c r="F9" s="281"/>
      <x:c r="G9" s="295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143</x:v>
      </x:c>
      <x:c r="B10" s="261"/>
      <x:c r="C10" s="262"/>
      <x:c r="D10" s="262"/>
      <x:c r="E10" s="261" t="s">
        <x:v>87</x:v>
      </x:c>
      <x:c r="F10" s="261"/>
      <x:c r="G10" s="55"/>
      <x:c r="H10" s="54"/>
      <x:c r="I10" s="124"/>
      <x:c r="J10" s="54" t="s">
        <x:v>53</x:v>
      </x:c>
      <x:c r="K10" s="58"/>
    </x:row>
    <x:row r="11" spans="1:11" ht="33" customHeight="1">
      <x:c r="A11" s="260" t="s">
        <x:v>103</x:v>
      </x:c>
      <x:c r="B11" s="261"/>
      <x:c r="C11" s="300"/>
      <x:c r="D11" s="300"/>
      <x:c r="E11" s="300"/>
      <x:c r="F11" s="300"/>
      <x:c r="G11" s="300"/>
      <x:c r="H11" s="54" t="s">
        <x:v>58</x:v>
      </x:c>
      <x:c r="I11" s="58"/>
      <x:c r="J11" s="54" t="s">
        <x:v>82</x:v>
      </x:c>
      <x:c r="K11" s="151"/>
    </x:row>
    <x:row r="12" spans="1:13" ht="21.949999999999999" customHeight="1">
      <x:c r="A12" s="59" t="s">
        <x:v>48</x:v>
      </x:c>
      <x:c r="B12" s="298" t="s">
        <x:v>42</x:v>
      </x:c>
      <x:c r="C12" s="79">
        <x:v>4</x:v>
      </x:c>
      <x:c r="D12" s="288" t="s">
        <x:v>133</x:v>
      </x:c>
      <x:c r="E12" s="289"/>
      <x:c r="F12" s="292">
        <x:v>3</x:v>
      </x:c>
      <x:c r="G12" s="293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9"/>
      <x:c r="C13" s="134">
        <x:f>SUM('1:18'!$C$12)</x:f>
        <x:v>145</x:v>
      </x:c>
      <x:c r="D13" s="280"/>
      <x:c r="E13" s="281"/>
      <x:c r="F13" s="290">
        <x:f>SUM('1:18'!$F$12)</x:f>
        <x:v>87</x:v>
      </x:c>
      <x:c r="G13" s="291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8" t="s">
        <x:v>64</x:v>
      </x:c>
      <x:c r="C14" s="79">
        <x:v>22</x:v>
      </x:c>
      <x:c r="D14" s="288" t="s">
        <x:v>95</x:v>
      </x:c>
      <x:c r="E14" s="289"/>
      <x:c r="F14" s="292">
        <x:v>5</x:v>
      </x:c>
      <x:c r="G14" s="293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9"/>
      <x:c r="C15" s="134">
        <x:f>SUM('1:18'!$C$14)</x:f>
        <x:v>388</x:v>
      </x:c>
      <x:c r="D15" s="280"/>
      <x:c r="E15" s="281"/>
      <x:c r="F15" s="290">
        <x:f>SUM('1:18'!$F$14)</x:f>
        <x:v>171</x:v>
      </x:c>
      <x:c r="G15" s="291"/>
      <x:c r="H15" s="54" t="s">
        <x:v>106</x:v>
      </x:c>
      <x:c r="I15" s="58">
        <x:v>153450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8" t="s">
        <x:v>51</x:v>
      </x:c>
      <x:c r="C16" s="79">
        <x:v>8</x:v>
      </x:c>
      <x:c r="D16" s="288" t="s">
        <x:v>117</x:v>
      </x:c>
      <x:c r="E16" s="289"/>
      <x:c r="F16" s="286">
        <x:v>16</x:v>
      </x:c>
      <x:c r="G16" s="286"/>
      <x:c r="H16" s="54"/>
      <x:c r="I16" s="58"/>
      <x:c r="J16" s="54" t="s">
        <x:v>97</x:v>
      </x:c>
      <x:c r="K16" s="58">
        <x:v>81720</x:v>
      </x:c>
      <x:c r="L16" s="60"/>
      <x:c r="M16" s="11"/>
    </x:row>
    <x:row r="17" spans="1:13" ht="21.949999999999999" customHeight="1">
      <x:c r="A17" s="59" t="s">
        <x:v>96</x:v>
      </x:c>
      <x:c r="B17" s="299"/>
      <x:c r="C17" s="134">
        <x:f>SUM('1:18'!$C$16)</x:f>
        <x:v>84</x:v>
      </x:c>
      <x:c r="D17" s="280"/>
      <x:c r="E17" s="281"/>
      <x:c r="F17" s="287">
        <x:f>SUM('1:18'!$F$16)</x:f>
        <x:v>192</x:v>
      </x:c>
      <x:c r="G17" s="287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8" t="s">
        <x:v>91</x:v>
      </x:c>
      <x:c r="C18" s="79">
        <x:v>19</x:v>
      </x:c>
      <x:c r="D18" s="288" t="s">
        <x:v>130</x:v>
      </x:c>
      <x:c r="E18" s="289"/>
      <x:c r="F18" s="296">
        <x:v>3</x:v>
      </x:c>
      <x:c r="G18" s="297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9"/>
      <x:c r="C19" s="134">
        <x:f>SUM('1:18'!$C$18)</x:f>
        <x:v>185</x:v>
      </x:c>
      <x:c r="D19" s="280"/>
      <x:c r="E19" s="281"/>
      <x:c r="F19" s="287">
        <x:f>SUM('1:18'!$F$18)</x:f>
        <x:v>69</x:v>
      </x:c>
      <x:c r="G19" s="287"/>
      <x:c r="H19" s="58"/>
      <x:c r="I19" s="58"/>
      <x:c r="J19" s="54"/>
      <x:c r="K19" s="58"/>
      <x:c r="L19" s="60"/>
      <x:c r="M19" s="11"/>
    </x:row>
    <x:row r="20" spans="2:13" ht="21.949999999999999" customHeight="1">
      <x:c r="B20" s="52" t="s">
        <x:v>151</x:v>
      </x:c>
      <x:c r="D20" s="261" t="s">
        <x:v>113</x:v>
      </x:c>
      <x:c r="E20" s="261"/>
      <x:c r="F20" s="286">
        <x:v>51</x:v>
      </x:c>
      <x:c r="G20" s="286"/>
      <x:c r="H20" s="58"/>
      <x:c r="J20" s="54"/>
      <x:c r="K20" s="58"/>
      <x:c r="L20" s="60"/>
      <x:c r="M20" s="11"/>
    </x:row>
    <x:row r="21" spans="4:13" ht="21.949999999999999" customHeight="1">
      <x:c r="D21" s="261" t="s">
        <x:v>114</x:v>
      </x:c>
      <x:c r="E21" s="261"/>
      <x:c r="F21" s="287">
        <x:f>SUM('1:18'!$F$20)</x:f>
        <x:v>1042</x:v>
      </x:c>
      <x:c r="G21" s="287"/>
      <x:c r="H21" s="58"/>
      <x:c r="J21" s="54"/>
      <x:c r="K21" s="58"/>
      <x:c r="L21" s="60"/>
      <x:c r="M21" s="11"/>
    </x:row>
    <x:row r="22" spans="1:13" ht="32.100000000000001" customHeight="1">
      <x:c r="A22" s="260" t="s">
        <x:v>83</x:v>
      </x:c>
      <x:c r="B22" s="261"/>
      <x:c r="C22" s="285"/>
      <x:c r="D22" s="285"/>
      <x:c r="E22" s="285"/>
      <x:c r="F22" s="285"/>
      <x:c r="G22" s="285"/>
      <x:c r="H22" s="54"/>
      <x:c r="J22" s="54"/>
      <x:c r="K22" s="58"/>
      <x:c r="L22" s="60"/>
      <x:c r="M22" s="11"/>
    </x:row>
    <x:row r="23" spans="1:15" ht="34.149999999999999" customHeight="1">
      <x:c r="A23" s="260" t="s">
        <x:v>124</x:v>
      </x:c>
      <x:c r="B23" s="261"/>
      <x:c r="C23" s="316"/>
      <x:c r="D23" s="317"/>
      <x:c r="E23" s="317"/>
      <x:c r="F23" s="317"/>
      <x:c r="G23" s="317"/>
      <x:c r="H23" s="107" t="s">
        <x:v>94</x:v>
      </x:c>
      <x:c r="I23" s="108">
        <x:f>SUM(I4:I22)</x:f>
        <x:v>2173011</x:v>
      </x:c>
      <x:c r="J23" s="61" t="s">
        <x:v>119</x:v>
      </x:c>
      <x:c r="K23" s="62">
        <x:f>SUM(K4:K22)</x:f>
        <x:v>81720</x:v>
      </x:c>
      <x:c r="M23" s="88" t="s">
        <x:v>93</x:v>
      </x:c>
      <x:c r="N23" s="283">
        <x:f>C5+C6</x:f>
        <x:v>343500</x:v>
      </x:c>
      <x:c r="O23" s="284"/>
    </x:row>
    <x:row r="24" spans="1:11" ht="34.149999999999999" customHeight="1">
      <x:c r="A24" s="260" t="s">
        <x:v>8</x:v>
      </x:c>
      <x:c r="B24" s="261"/>
      <x:c r="C24" s="261" t="s">
        <x:v>86</x:v>
      </x:c>
      <x:c r="D24" s="261"/>
      <x:c r="E24" s="261" t="s">
        <x:v>101</x:v>
      </x:c>
      <x:c r="F24" s="261"/>
      <x:c r="G24" s="261"/>
      <x:c r="H24" s="107" t="s">
        <x:v>8</x:v>
      </x:c>
      <x:c r="I24" s="109">
        <x:f>I23/A25</x:f>
        <x:v>0.54400075103266987</x:v>
      </x:c>
      <x:c r="J24" s="61" t="s">
        <x:v>8</x:v>
      </x:c>
      <x:c r="K24" s="63">
        <x:f>K23/A25</x:f>
        <x:v>0.020458129928651897</x:v>
      </x:c>
    </x:row>
    <x:row r="25" spans="1:11" ht="34.149999999999999" customHeight="1">
      <x:c r="A25" s="312">
        <x:f>C2</x:f>
        <x:v>3994500</x:v>
      </x:c>
      <x:c r="B25" s="276"/>
      <x:c r="C25" s="276">
        <x:f>E25/I1</x:f>
        <x:v>4265666.666666667</x:v>
      </x:c>
      <x:c r="D25" s="276"/>
      <x:c r="E25" s="276">
        <x:f>SUM('1:18'!$A$25)</x:f>
        <x:v>76782000</x:v>
      </x:c>
      <x:c r="F25" s="276"/>
      <x:c r="G25" s="276"/>
      <x:c r="H25" s="107" t="s">
        <x:v>33</x:v>
      </x:c>
      <x:c r="I25" s="108">
        <x:f>SUM('1'!$I$23)</x:f>
        <x:v>2230104</x:v>
      </x:c>
      <x:c r="J25" s="61" t="s">
        <x:v>33</x:v>
      </x:c>
      <x:c r="K25" s="62">
        <x:f>SUM('1:18'!$K$21)</x:f>
        <x:v>0</x:v>
      </x:c>
    </x:row>
    <x:row r="26" spans="1:11" ht="34.149999999999999" customHeight="1">
      <x:c r="A26" s="260" t="s">
        <x:v>142</x:v>
      </x:c>
      <x:c r="B26" s="261"/>
      <x:c r="C26" s="261"/>
      <x:c r="D26" s="261"/>
      <x:c r="E26" s="262"/>
      <x:c r="F26" s="262"/>
      <x:c r="G26" s="262"/>
      <x:c r="H26" s="107" t="s">
        <x:v>128</x:v>
      </x:c>
      <x:c r="I26" s="110">
        <x:f>I25/$E$25</x:f>
        <x:v>0.029044619832773306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8" t="s">
        <x:v>141</x:v>
      </x:c>
      <x:c r="B27" s="54" t="s">
        <x:v>44</x:v>
      </x:c>
      <x:c r="C27" s="276">
        <x:f>4000000/30</x:f>
        <x:v>133333.33333333334</x:v>
      </x:c>
      <x:c r="D27" s="276"/>
      <x:c r="E27" s="55" t="s">
        <x:v>147</x:v>
      </x:c>
      <x:c r="F27" s="262">
        <x:f>13000*4.5</x:f>
        <x:v>58500</x:v>
      </x:c>
      <x:c r="G27" s="262"/>
      <x:c r="H27" s="111" t="s">
        <x:v>118</x:v>
      </x:c>
      <x:c r="I27" s="112">
        <x:f>SUM(C27:D34,F27:G32)</x:f>
        <x:v>932333.33333333337</x:v>
      </x:c>
      <x:c r="M27" s="66"/>
    </x:row>
    <x:row r="28" spans="1:13" ht="30.949999999999999" customHeight="1">
      <x:c r="A28" s="319"/>
      <x:c r="B28" s="54" t="s">
        <x:v>23</x:v>
      </x:c>
      <x:c r="C28" s="276">
        <x:f>3800000/30</x:f>
        <x:v>126666.66666666667</x:v>
      </x:c>
      <x:c r="D28" s="276"/>
      <x:c r="E28" s="55" t="s">
        <x:v>149</x:v>
      </x:c>
      <x:c r="F28" s="276">
        <x:f>1500000/30</x:f>
        <x:v>50000</x:v>
      </x:c>
      <x:c r="G28" s="276"/>
      <x:c r="H28" s="111" t="s">
        <x:v>8</x:v>
      </x:c>
      <x:c r="I28" s="113">
        <x:f>I27/$A$25</x:f>
        <x:v>0.23340426419660368</x:v>
      </x:c>
      <x:c r="M28" s="66"/>
    </x:row>
    <x:row r="29" spans="1:13" ht="30.949999999999999" customHeight="1">
      <x:c r="A29" s="319"/>
      <x:c r="B29" s="54" t="s">
        <x:v>47</x:v>
      </x:c>
      <x:c r="C29" s="276">
        <x:f>3200000/30</x:f>
        <x:v>106666.66666666667</x:v>
      </x:c>
      <x:c r="D29" s="276"/>
      <x:c r="E29" s="54" t="s">
        <x:v>57</x:v>
      </x:c>
      <x:c r="F29" s="262">
        <x:v>58500</x:v>
      </x:c>
      <x:c r="G29" s="262"/>
      <x:c r="H29" s="111" t="s">
        <x:v>33</x:v>
      </x:c>
      <x:c r="I29" s="112">
        <x:f>SUM('1:18'!$I$25)</x:f>
        <x:v>40141872</x:v>
      </x:c>
      <x:c r="M29" s="66"/>
    </x:row>
    <x:row r="30" spans="1:13" ht="30.949999999999999" customHeight="1">
      <x:c r="A30" s="319"/>
      <x:c r="B30" s="54"/>
      <x:c r="C30" s="315"/>
      <x:c r="D30" s="315"/>
      <x:c r="E30" s="55"/>
      <x:c r="F30" s="310"/>
      <x:c r="G30" s="311"/>
      <x:c r="H30" s="111" t="s">
        <x:v>128</x:v>
      </x:c>
      <x:c r="I30" s="113">
        <x:f>I29/$I$27</x:f>
        <x:v>43.055279227744009</x:v>
      </x:c>
      <x:c r="M30" s="66"/>
    </x:row>
    <x:row r="31" spans="1:7" customHeight="1">
      <x:c r="A31" s="319"/>
      <x:c r="B31" s="54" t="s">
        <x:v>41</x:v>
      </x:c>
      <x:c r="C31" s="313">
        <x:f>3500000/30</x:f>
        <x:v>116666.66666666667</x:v>
      </x:c>
      <x:c r="D31" s="314"/>
      <x:c r="E31" s="55" t="s">
        <x:v>4</x:v>
      </x:c>
      <x:c r="F31" s="310">
        <x:v>120000</x:v>
      </x:c>
      <x:c r="G31" s="311"/>
    </x:row>
    <x:row r="32" spans="1:7" customHeight="1">
      <x:c r="A32" s="319"/>
      <x:c r="B32" s="54"/>
      <x:c r="C32" s="308"/>
      <x:c r="D32" s="309"/>
      <x:c r="E32" s="55" t="s">
        <x:v>138</x:v>
      </x:c>
      <x:c r="F32" s="310">
        <x:v>71000</x:v>
      </x:c>
      <x:c r="G32" s="311"/>
    </x:row>
    <x:row r="33" spans="1:4" customHeight="1">
      <x:c r="A33" s="319"/>
      <x:c r="B33" s="54" t="s">
        <x:v>21</x:v>
      </x:c>
      <x:c r="C33" s="308">
        <x:f>13000*7</x:f>
        <x:v>91000</x:v>
      </x:c>
      <x:c r="D33" s="309"/>
    </x:row>
    <x:row r="34" spans="1:4" customHeight="1">
      <x:c r="A34" s="320"/>
      <x:c r="B34" s="54"/>
      <x:c r="C34" s="310"/>
      <x:c r="D34" s="311"/>
    </x:row>
    <x:row r="35" spans="2:4" customHeight="1">
      <x:c r="B35" s="54"/>
      <x:c r="C35" s="310"/>
      <x:c r="D35" s="311"/>
    </x:row>
  </x:sheetData>
  <x:mergeCells count="75">
    <x:mergeCell ref="C35:D35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32:G32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1"/>
  <x:dimension ref="A1:O36"/>
  <x:sheetViews>
    <x:sheetView topLeftCell="A1" zoomScale="85" zoomScaleNormal="85" zoomScaleSheetLayoutView="75" workbookViewId="0">
      <x:selection activeCell="J34" activeCellId="0" sqref="J34:J34"/>
    </x:sheetView>
  </x:sheetViews>
  <x:sheetFormatPr defaultColWidth="8.625" defaultRowHeight="13.199999999999999"/>
  <x:cols>
    <x:col min="1" max="1" width="8.625" style="53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ht="30" customHeight="1">
      <x:c r="A1" s="51"/>
      <x:c r="B1" s="51"/>
      <x:c r="C1" s="68" t="s">
        <x:v>125</x:v>
      </x:c>
      <x:c r="D1" s="68"/>
      <x:c r="E1" s="68" t="s">
        <x:v>152</x:v>
      </x:c>
      <x:c r="F1" s="68">
        <x:v>19</x:v>
      </x:c>
      <x:c r="G1" s="68" t="s">
        <x:v>28</x:v>
      </x:c>
      <x:c r="H1" s="52" t="s">
        <x:v>123</x:v>
      </x:c>
      <x:c r="I1" s="52">
        <x:f>F1-K1</x:f>
        <x:v>19</x:v>
      </x:c>
      <x:c r="J1" s="52" t="s">
        <x:v>98</x:v>
      </x:c>
      <x:c r="K1" s="52"/>
    </x:row>
    <x:row r="2" spans="1:11" ht="20.100000000000001" customHeight="1">
      <x:c r="A2" s="271" t="s">
        <x:v>9</x:v>
      </x:c>
      <x:c r="B2" s="272"/>
      <x:c r="C2" s="275">
        <x:f>SUM(C4:D7)</x:f>
        <x:v>4394500</x:v>
      </x:c>
      <x:c r="D2" s="275"/>
      <x:c r="E2" s="278" t="s">
        <x:v>40</x:v>
      </x:c>
      <x:c r="F2" s="279"/>
      <x:c r="G2" s="267">
        <x:v>91500</x:v>
      </x:c>
      <x:c r="H2" s="265" t="s">
        <x:v>6</x:v>
      </x:c>
      <x:c r="I2" s="266"/>
      <x:c r="J2" s="263" t="s">
        <x:v>74</x:v>
      </x:c>
      <x:c r="K2" s="264"/>
    </x:row>
    <x:row r="3" spans="1:11" ht="20.100000000000001" customHeight="1">
      <x:c r="A3" s="273"/>
      <x:c r="B3" s="274"/>
      <x:c r="C3" s="276"/>
      <x:c r="D3" s="276"/>
      <x:c r="E3" s="280"/>
      <x:c r="F3" s="281"/>
      <x:c r="G3" s="268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9" t="s">
        <x:v>22</x:v>
      </x:c>
      <x:c r="B4" s="270"/>
      <x:c r="C4" s="262">
        <x:v>3989500</x:v>
      </x:c>
      <x:c r="D4" s="262"/>
      <x:c r="E4" s="277" t="s">
        <x:v>146</x:v>
      </x:c>
      <x:c r="F4" s="277"/>
      <x:c r="G4" s="133">
        <x:f>INT(C4*0.0275)</x:f>
        <x:v>109711</x:v>
      </x:c>
      <x:c r="H4" s="54" t="s">
        <x:v>20</x:v>
      </x:c>
      <x:c r="I4" s="124">
        <x:v>1163264</x:v>
      </x:c>
      <x:c r="J4" s="80" t="s">
        <x:v>36</x:v>
      </x:c>
      <x:c r="K4" s="58"/>
    </x:row>
    <x:row r="5" spans="1:11" ht="30.949999999999999" customHeight="1">
      <x:c r="A5" s="269" t="s">
        <x:v>61</x:v>
      </x:c>
      <x:c r="B5" s="270"/>
      <x:c r="C5" s="262">
        <x:v>405000</x:v>
      </x:c>
      <x:c r="D5" s="262"/>
      <x:c r="E5" s="261" t="s">
        <x:v>70</x:v>
      </x:c>
      <x:c r="F5" s="261"/>
      <x:c r="G5" s="133">
        <x:f>INT(C5*0.01)</x:f>
        <x:v>4050</x:v>
      </x:c>
      <x:c r="H5" s="54" t="s">
        <x:v>6</x:v>
      </x:c>
      <x:c r="I5" s="124">
        <x:v>254330</x:v>
      </x:c>
      <x:c r="J5" s="81"/>
      <x:c r="K5" s="58"/>
    </x:row>
    <x:row r="6" spans="1:11" ht="21.949999999999999" customHeight="1">
      <x:c r="A6" s="256" t="s">
        <x:v>84</x:v>
      </x:c>
      <x:c r="B6" s="257"/>
      <x:c r="C6" s="301"/>
      <x:c r="D6" s="302"/>
      <x:c r="E6" s="288" t="s">
        <x:v>131</x:v>
      </x:c>
      <x:c r="F6" s="289"/>
      <x:c r="G6" s="282">
        <x:v>420000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8"/>
      <x:c r="B7" s="259"/>
      <x:c r="C7" s="303"/>
      <x:c r="D7" s="304"/>
      <x:c r="E7" s="280"/>
      <x:c r="F7" s="281"/>
      <x:c r="G7" s="268"/>
      <x:c r="H7" s="54" t="s">
        <x:v>24</x:v>
      </x:c>
      <x:c r="I7" s="124"/>
      <x:c r="J7" s="81" t="s">
        <x:v>116</x:v>
      </x:c>
      <x:c r="K7" s="58"/>
    </x:row>
    <x:row r="8" spans="1:11" ht="21.949999999999999" customHeight="1">
      <x:c r="A8" s="260" t="s">
        <x:v>134</x:v>
      </x:c>
      <x:c r="B8" s="261"/>
      <x:c r="C8" s="262">
        <x:v>76500</x:v>
      </x:c>
      <x:c r="D8" s="262"/>
      <x:c r="E8" s="288" t="s">
        <x:v>110</x:v>
      </x:c>
      <x:c r="F8" s="289"/>
      <x:c r="G8" s="294">
        <x:f>C5+G2-G6-C22</x:f>
        <x:v>76500</x:v>
      </x:c>
      <x:c r="H8" s="54" t="s">
        <x:v>45</x:v>
      </x:c>
      <x:c r="I8" s="124"/>
      <x:c r="J8" s="81"/>
      <x:c r="K8" s="58"/>
    </x:row>
    <x:row r="9" spans="1:11" ht="21.949999999999999" customHeight="1">
      <x:c r="A9" s="260"/>
      <x:c r="B9" s="261"/>
      <x:c r="C9" s="262"/>
      <x:c r="D9" s="262"/>
      <x:c r="E9" s="280"/>
      <x:c r="F9" s="281"/>
      <x:c r="G9" s="295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143</x:v>
      </x:c>
      <x:c r="B10" s="261"/>
      <x:c r="C10" s="262"/>
      <x:c r="D10" s="262"/>
      <x:c r="E10" s="261" t="s">
        <x:v>87</x:v>
      </x:c>
      <x:c r="F10" s="261"/>
      <x:c r="G10" s="55"/>
      <x:c r="H10" s="54"/>
      <x:c r="I10" s="124"/>
      <x:c r="J10" s="54" t="s">
        <x:v>53</x:v>
      </x:c>
      <x:c r="K10" s="58"/>
    </x:row>
    <x:row r="11" spans="1:11" ht="33" customHeight="1">
      <x:c r="A11" s="260" t="s">
        <x:v>103</x:v>
      </x:c>
      <x:c r="B11" s="261"/>
      <x:c r="C11" s="300"/>
      <x:c r="D11" s="300"/>
      <x:c r="E11" s="300"/>
      <x:c r="F11" s="300"/>
      <x:c r="G11" s="300"/>
      <x:c r="H11" s="54" t="s">
        <x:v>58</x:v>
      </x:c>
      <x:c r="I11" s="58"/>
      <x:c r="J11" s="54" t="s">
        <x:v>82</x:v>
      </x:c>
      <x:c r="K11" s="151"/>
    </x:row>
    <x:row r="12" spans="1:13" ht="21.949999999999999" customHeight="1">
      <x:c r="A12" s="59" t="s">
        <x:v>48</x:v>
      </x:c>
      <x:c r="B12" s="298" t="s">
        <x:v>42</x:v>
      </x:c>
      <x:c r="C12" s="79">
        <x:v>6</x:v>
      </x:c>
      <x:c r="D12" s="288" t="s">
        <x:v>133</x:v>
      </x:c>
      <x:c r="E12" s="289"/>
      <x:c r="F12" s="292">
        <x:v>7</x:v>
      </x:c>
      <x:c r="G12" s="293"/>
      <x:c r="H12" s="54" t="s">
        <x:v>102</x:v>
      </x:c>
      <x:c r="I12" s="58">
        <x:v>53400</x:v>
      </x:c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9"/>
      <x:c r="C13" s="134">
        <x:f>SUM('1:19'!$C$12)</x:f>
        <x:v>151</x:v>
      </x:c>
      <x:c r="D13" s="280"/>
      <x:c r="E13" s="281"/>
      <x:c r="F13" s="290">
        <x:f>SUM('1:19'!$F$12)</x:f>
        <x:v>94</x:v>
      </x:c>
      <x:c r="G13" s="291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8" t="s">
        <x:v>64</x:v>
      </x:c>
      <x:c r="C14" s="79">
        <x:v>20</x:v>
      </x:c>
      <x:c r="D14" s="288" t="s">
        <x:v>95</x:v>
      </x:c>
      <x:c r="E14" s="289"/>
      <x:c r="F14" s="292">
        <x:v>7</x:v>
      </x:c>
      <x:c r="G14" s="293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9"/>
      <x:c r="C15" s="134">
        <x:f>SUM('1:19'!$C$14)</x:f>
        <x:v>408</x:v>
      </x:c>
      <x:c r="D15" s="280"/>
      <x:c r="E15" s="281"/>
      <x:c r="F15" s="290">
        <x:f>SUM('1:19'!$F$14)</x:f>
        <x:v>178</x:v>
      </x:c>
      <x:c r="G15" s="291"/>
      <x:c r="H15" s="54" t="s">
        <x:v>106</x:v>
      </x:c>
      <x:c r="I15" s="58">
        <x:v>184450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8" t="s">
        <x:v>51</x:v>
      </x:c>
      <x:c r="C16" s="79">
        <x:v>7</x:v>
      </x:c>
      <x:c r="D16" s="288" t="s">
        <x:v>117</x:v>
      </x:c>
      <x:c r="E16" s="289"/>
      <x:c r="F16" s="286">
        <x:v>14</x:v>
      </x:c>
      <x:c r="G16" s="286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9"/>
      <x:c r="C17" s="134">
        <x:f>SUM('1:19'!$C$16)</x:f>
        <x:v>91</x:v>
      </x:c>
      <x:c r="D17" s="280"/>
      <x:c r="E17" s="281"/>
      <x:c r="F17" s="287">
        <x:f>SUM('1:19'!$F$16)</x:f>
        <x:v>206</x:v>
      </x:c>
      <x:c r="G17" s="287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8" t="s">
        <x:v>91</x:v>
      </x:c>
      <x:c r="C18" s="79">
        <x:v>24</x:v>
      </x:c>
      <x:c r="D18" s="288" t="s">
        <x:v>130</x:v>
      </x:c>
      <x:c r="E18" s="289"/>
      <x:c r="F18" s="296">
        <x:v>1</x:v>
      </x:c>
      <x:c r="G18" s="297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9"/>
      <x:c r="C19" s="134">
        <x:f>SUM('1:19'!$C$18)</x:f>
        <x:v>209</x:v>
      </x:c>
      <x:c r="D19" s="280"/>
      <x:c r="E19" s="281"/>
      <x:c r="F19" s="287">
        <x:f>SUM('1:19'!$F$18)</x:f>
        <x:v>70</x:v>
      </x:c>
      <x:c r="G19" s="287"/>
      <x:c r="H19" s="58"/>
      <x:c r="I19" s="58"/>
      <x:c r="J19" s="54"/>
      <x:c r="K19" s="58"/>
      <x:c r="L19" s="60"/>
      <x:c r="M19" s="11"/>
    </x:row>
    <x:row r="20" spans="2:13" ht="21.949999999999999" customHeight="1">
      <x:c r="B20" s="52" t="s">
        <x:v>151</x:v>
      </x:c>
      <x:c r="D20" s="261" t="s">
        <x:v>113</x:v>
      </x:c>
      <x:c r="E20" s="261"/>
      <x:c r="F20" s="286">
        <x:v>58</x:v>
      </x:c>
      <x:c r="G20" s="286"/>
      <x:c r="H20" s="58"/>
      <x:c r="J20" s="54"/>
      <x:c r="K20" s="58"/>
      <x:c r="L20" s="60"/>
      <x:c r="M20" s="11"/>
    </x:row>
    <x:row r="21" spans="4:13" ht="21.949999999999999" customHeight="1">
      <x:c r="D21" s="261" t="s">
        <x:v>114</x:v>
      </x:c>
      <x:c r="E21" s="261"/>
      <x:c r="F21" s="287">
        <x:f>SUM('1:19'!$F$20)</x:f>
        <x:v>1100</x:v>
      </x:c>
      <x:c r="G21" s="287"/>
      <x:c r="H21" s="58"/>
      <x:c r="J21" s="54"/>
      <x:c r="K21" s="58"/>
      <x:c r="L21" s="60"/>
      <x:c r="M21" s="11"/>
    </x:row>
    <x:row r="22" spans="1:13" ht="32.100000000000001" customHeight="1">
      <x:c r="A22" s="260" t="s">
        <x:v>83</x:v>
      </x:c>
      <x:c r="B22" s="261"/>
      <x:c r="C22" s="285"/>
      <x:c r="D22" s="285"/>
      <x:c r="E22" s="285"/>
      <x:c r="F22" s="285"/>
      <x:c r="G22" s="285"/>
      <x:c r="H22" s="54"/>
      <x:c r="J22" s="54"/>
      <x:c r="K22" s="58"/>
      <x:c r="L22" s="60"/>
      <x:c r="M22" s="11"/>
    </x:row>
    <x:row r="23" spans="1:15" ht="34.149999999999999" customHeight="1">
      <x:c r="A23" s="260" t="s">
        <x:v>124</x:v>
      </x:c>
      <x:c r="B23" s="261"/>
      <x:c r="C23" s="316"/>
      <x:c r="D23" s="317"/>
      <x:c r="E23" s="317"/>
      <x:c r="F23" s="317"/>
      <x:c r="G23" s="317"/>
      <x:c r="H23" s="107" t="s">
        <x:v>94</x:v>
      </x:c>
      <x:c r="I23" s="108">
        <x:f>SUM(I4:I22)</x:f>
        <x:v>1655444</x:v>
      </x:c>
      <x:c r="J23" s="61" t="s">
        <x:v>119</x:v>
      </x:c>
      <x:c r="K23" s="62">
        <x:f>SUM(K4:K22)</x:f>
        <x:v>0</x:v>
      </x:c>
      <x:c r="M23" s="88" t="s">
        <x:v>93</x:v>
      </x:c>
      <x:c r="N23" s="283">
        <x:f>C5+C6</x:f>
        <x:v>405000</x:v>
      </x:c>
      <x:c r="O23" s="284"/>
    </x:row>
    <x:row r="24" spans="1:11" ht="34.149999999999999" customHeight="1">
      <x:c r="A24" s="260" t="s">
        <x:v>8</x:v>
      </x:c>
      <x:c r="B24" s="261"/>
      <x:c r="C24" s="261" t="s">
        <x:v>86</x:v>
      </x:c>
      <x:c r="D24" s="261"/>
      <x:c r="E24" s="261" t="s">
        <x:v>101</x:v>
      </x:c>
      <x:c r="F24" s="261"/>
      <x:c r="G24" s="261"/>
      <x:c r="H24" s="107" t="s">
        <x:v>8</x:v>
      </x:c>
      <x:c r="I24" s="109">
        <x:f>I23/A25</x:f>
        <x:v>0.3767081579246786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12">
        <x:f>C2</x:f>
        <x:v>4394500</x:v>
      </x:c>
      <x:c r="B25" s="276"/>
      <x:c r="C25" s="276">
        <x:f>E25/I1</x:f>
        <x:v>4272447.3684210526</x:v>
      </x:c>
      <x:c r="D25" s="276"/>
      <x:c r="E25" s="276">
        <x:f>SUM('1:19'!$A$25)</x:f>
        <x:v>81176500</x:v>
      </x:c>
      <x:c r="F25" s="276"/>
      <x:c r="G25" s="276"/>
      <x:c r="H25" s="107" t="s">
        <x:v>33</x:v>
      </x:c>
      <x:c r="I25" s="108">
        <x:f>SUM('1'!$I$23)</x:f>
        <x:v>2230104</x:v>
      </x:c>
      <x:c r="J25" s="61" t="s">
        <x:v>33</x:v>
      </x:c>
      <x:c r="K25" s="62">
        <x:f>SUM('1:18'!$K$21)</x:f>
        <x:v>0</x:v>
      </x:c>
    </x:row>
    <x:row r="26" spans="1:11" ht="34.149999999999999" customHeight="1">
      <x:c r="A26" s="260" t="s">
        <x:v>142</x:v>
      </x:c>
      <x:c r="B26" s="261"/>
      <x:c r="C26" s="261"/>
      <x:c r="D26" s="261"/>
      <x:c r="E26" s="262"/>
      <x:c r="F26" s="262"/>
      <x:c r="G26" s="262"/>
      <x:c r="H26" s="107" t="s">
        <x:v>128</x:v>
      </x:c>
      <x:c r="I26" s="110">
        <x:f>I25/$E$25</x:f>
        <x:v>0.027472285698447212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8" t="s">
        <x:v>141</x:v>
      </x:c>
      <x:c r="B27" s="54" t="s">
        <x:v>44</x:v>
      </x:c>
      <x:c r="C27" s="276">
        <x:f>4000000/30</x:f>
        <x:v>133333.33333333334</x:v>
      </x:c>
      <x:c r="D27" s="276"/>
      <x:c r="E27" s="55" t="s">
        <x:v>147</x:v>
      </x:c>
      <x:c r="F27" s="262">
        <x:f>13000*5</x:f>
        <x:v>65000</x:v>
      </x:c>
      <x:c r="G27" s="262"/>
      <x:c r="H27" s="111" t="s">
        <x:v>118</x:v>
      </x:c>
      <x:c r="I27" s="112">
        <x:f>SUM(C27:D34,F27:G32)</x:f>
        <x:v>807333.33333333337</x:v>
      </x:c>
      <x:c r="M27" s="66"/>
    </x:row>
    <x:row r="28" spans="1:13" ht="30.949999999999999" customHeight="1">
      <x:c r="A28" s="319"/>
      <x:c r="B28" s="54" t="s">
        <x:v>23</x:v>
      </x:c>
      <x:c r="C28" s="276">
        <x:f>3800000/30</x:f>
        <x:v>126666.66666666667</x:v>
      </x:c>
      <x:c r="D28" s="276"/>
      <x:c r="E28" s="55" t="s">
        <x:v>149</x:v>
      </x:c>
      <x:c r="F28" s="276">
        <x:f>1500000/30</x:f>
        <x:v>50000</x:v>
      </x:c>
      <x:c r="G28" s="276"/>
      <x:c r="H28" s="111" t="s">
        <x:v>8</x:v>
      </x:c>
      <x:c r="I28" s="113">
        <x:f>I27/$A$25</x:f>
        <x:v>0.18371449159934769</x:v>
      </x:c>
      <x:c r="M28" s="66"/>
    </x:row>
    <x:row r="29" spans="1:13" ht="30.949999999999999" customHeight="1">
      <x:c r="A29" s="319"/>
      <x:c r="B29" s="54" t="s">
        <x:v>47</x:v>
      </x:c>
      <x:c r="C29" s="276">
        <x:f>3200000/30</x:f>
        <x:v>106666.66666666667</x:v>
      </x:c>
      <x:c r="D29" s="276"/>
      <x:c r="E29" s="54" t="s">
        <x:v>57</x:v>
      </x:c>
      <x:c r="F29" s="262"/>
      <x:c r="G29" s="262"/>
      <x:c r="H29" s="111" t="s">
        <x:v>33</x:v>
      </x:c>
      <x:c r="I29" s="112">
        <x:f>SUM('1:18'!$I$25)</x:f>
        <x:v>40141872</x:v>
      </x:c>
      <x:c r="M29" s="66"/>
    </x:row>
    <x:row r="30" spans="1:13" ht="30.949999999999999" customHeight="1">
      <x:c r="A30" s="319"/>
      <x:c r="B30" s="54"/>
      <x:c r="C30" s="315"/>
      <x:c r="D30" s="315"/>
      <x:c r="E30" s="55"/>
      <x:c r="F30" s="310"/>
      <x:c r="G30" s="311"/>
      <x:c r="H30" s="111" t="s">
        <x:v>128</x:v>
      </x:c>
      <x:c r="I30" s="113">
        <x:f>I29/$I$27</x:f>
        <x:v>49.721559042113952</x:v>
      </x:c>
      <x:c r="M30" s="66"/>
    </x:row>
    <x:row r="31" spans="1:7" ht="30" customHeight="1">
      <x:c r="A31" s="319"/>
      <x:c r="B31" s="54" t="s">
        <x:v>41</x:v>
      </x:c>
      <x:c r="C31" s="313">
        <x:f>3500000/30</x:f>
        <x:v>116666.66666666667</x:v>
      </x:c>
      <x:c r="D31" s="314"/>
      <x:c r="E31" s="55" t="s">
        <x:v>4</x:v>
      </x:c>
      <x:c r="F31" s="310">
        <x:v>132000</x:v>
      </x:c>
      <x:c r="G31" s="311"/>
    </x:row>
    <x:row r="32" spans="1:7" ht="30" customHeight="1">
      <x:c r="A32" s="319"/>
      <x:c r="B32" s="54"/>
      <x:c r="C32" s="308"/>
      <x:c r="D32" s="309"/>
      <x:c r="E32" s="55" t="s">
        <x:v>138</x:v>
      </x:c>
      <x:c r="F32" s="310">
        <x:v>77000</x:v>
      </x:c>
      <x:c r="G32" s="311"/>
    </x:row>
    <x:row r="33" spans="1:4" ht="30" customHeight="1">
      <x:c r="A33" s="319"/>
      <x:c r="B33" s="54" t="s">
        <x:v>21</x:v>
      </x:c>
      <x:c r="C33" s="308"/>
      <x:c r="D33" s="309"/>
    </x:row>
    <x:row r="34" spans="1:4" ht="30" customHeight="1">
      <x:c r="A34" s="320"/>
      <x:c r="B34" s="54"/>
      <x:c r="C34" s="310"/>
      <x:c r="D34" s="311"/>
    </x:row>
    <x:row r="35" spans="2:4">
      <x:c r="B35" s="298"/>
      <x:c r="C35" s="301"/>
      <x:c r="D35" s="302"/>
    </x:row>
    <x:row r="36" spans="2:4">
      <x:c r="B36" s="299"/>
      <x:c r="C36" s="303"/>
      <x:c r="D36" s="304"/>
    </x:row>
  </x:sheetData>
  <x:mergeCells count="76">
    <x:mergeCell ref="J2:K2"/>
    <x:mergeCell ref="A2:B3"/>
    <x:mergeCell ref="C2:D3"/>
    <x:mergeCell ref="E2:F3"/>
    <x:mergeCell ref="G2:G3"/>
    <x:mergeCell ref="H2:I2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A4:B4"/>
    <x:mergeCell ref="C4:D4"/>
    <x:mergeCell ref="E4:F4"/>
    <x:mergeCell ref="A5:B5"/>
    <x:mergeCell ref="C5:D5"/>
    <x:mergeCell ref="E5:F5"/>
    <x:mergeCell ref="B14:B15"/>
    <x:mergeCell ref="F14:G14"/>
    <x:mergeCell ref="F15:G15"/>
    <x:mergeCell ref="B12:B13"/>
    <x:mergeCell ref="F12:G12"/>
    <x:mergeCell ref="F13:G13"/>
    <x:mergeCell ref="B16:B17"/>
    <x:mergeCell ref="F16:G16"/>
    <x:mergeCell ref="F17:G17"/>
    <x:mergeCell ref="B18:B19"/>
    <x:mergeCell ref="F18:G18"/>
    <x:mergeCell ref="F19:G19"/>
    <x:mergeCell ref="D20:E20"/>
    <x:mergeCell ref="F20:G20"/>
    <x:mergeCell ref="D21:E21"/>
    <x:mergeCell ref="F21:G21"/>
    <x:mergeCell ref="A22:B22"/>
    <x:mergeCell ref="C22:G22"/>
    <x:mergeCell ref="A23:B23"/>
    <x:mergeCell ref="C23:G23"/>
    <x:mergeCell ref="N23:O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6:D26"/>
    <x:mergeCell ref="E26:G26"/>
    <x:mergeCell ref="B35:B36"/>
    <x:mergeCell ref="C35:D36"/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D14:E15"/>
    <x:mergeCell ref="D12:E13"/>
    <x:mergeCell ref="D18:E19"/>
    <x:mergeCell ref="D16:E17"/>
  </x:mergeCells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2"/>
  <x:dimension ref="A1:O34"/>
  <x:sheetViews>
    <x:sheetView topLeftCell="A1" zoomScale="85" zoomScaleNormal="85" zoomScaleSheetLayoutView="75" workbookViewId="0">
      <x:selection activeCell="J34" activeCellId="0" sqref="J34:J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152</x:v>
      </x:c>
      <x:c r="F1" s="68">
        <x:v>20</x:v>
      </x:c>
      <x:c r="G1" s="68" t="s">
        <x:v>18</x:v>
      </x:c>
      <x:c r="H1" s="52" t="s">
        <x:v>123</x:v>
      </x:c>
      <x:c r="I1" s="52">
        <x:f>F1-K1</x:f>
        <x:v>20</x:v>
      </x:c>
      <x:c r="J1" s="52" t="s">
        <x:v>98</x:v>
      </x:c>
      <x:c r="K1" s="52"/>
    </x:row>
    <x:row r="2" spans="1:11" ht="20.100000000000001" customHeight="1">
      <x:c r="A2" s="271" t="s">
        <x:v>9</x:v>
      </x:c>
      <x:c r="B2" s="272"/>
      <x:c r="C2" s="275">
        <x:f>SUM(C4:D7)</x:f>
        <x:v>4152000</x:v>
      </x:c>
      <x:c r="D2" s="275"/>
      <x:c r="E2" s="278" t="s">
        <x:v>40</x:v>
      </x:c>
      <x:c r="F2" s="279"/>
      <x:c r="G2" s="267">
        <x:v>76500</x:v>
      </x:c>
      <x:c r="H2" s="265" t="s">
        <x:v>6</x:v>
      </x:c>
      <x:c r="I2" s="266"/>
      <x:c r="J2" s="263" t="s">
        <x:v>74</x:v>
      </x:c>
      <x:c r="K2" s="264"/>
    </x:row>
    <x:row r="3" spans="1:11" ht="20.100000000000001" customHeight="1">
      <x:c r="A3" s="273"/>
      <x:c r="B3" s="274"/>
      <x:c r="C3" s="276"/>
      <x:c r="D3" s="276"/>
      <x:c r="E3" s="280"/>
      <x:c r="F3" s="281"/>
      <x:c r="G3" s="268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9" t="s">
        <x:v>22</x:v>
      </x:c>
      <x:c r="B4" s="270"/>
      <x:c r="C4" s="262">
        <x:v>3907000</x:v>
      </x:c>
      <x:c r="D4" s="262"/>
      <x:c r="E4" s="277" t="s">
        <x:v>146</x:v>
      </x:c>
      <x:c r="F4" s="277"/>
      <x:c r="G4" s="133">
        <x:f>INT(C4*0.0275)</x:f>
        <x:v>107442</x:v>
      </x:c>
      <x:c r="H4" s="54" t="s">
        <x:v>20</x:v>
      </x:c>
      <x:c r="I4" s="124">
        <x:v>2608912</x:v>
      </x:c>
      <x:c r="J4" s="80" t="s">
        <x:v>36</x:v>
      </x:c>
      <x:c r="K4" s="58"/>
    </x:row>
    <x:row r="5" spans="1:11" ht="30.949999999999999" customHeight="1">
      <x:c r="A5" s="269" t="s">
        <x:v>61</x:v>
      </x:c>
      <x:c r="B5" s="270"/>
      <x:c r="C5" s="262">
        <x:v>245000</x:v>
      </x:c>
      <x:c r="D5" s="262"/>
      <x:c r="E5" s="261" t="s">
        <x:v>70</x:v>
      </x:c>
      <x:c r="F5" s="261"/>
      <x:c r="G5" s="133">
        <x:f>INT(C5*0.01)</x:f>
        <x:v>2450</x:v>
      </x:c>
      <x:c r="H5" s="54" t="s">
        <x:v>6</x:v>
      </x:c>
      <x:c r="I5" s="124">
        <x:v>429330</x:v>
      </x:c>
      <x:c r="J5" s="81"/>
      <x:c r="K5" s="58"/>
    </x:row>
    <x:row r="6" spans="1:11" ht="21.949999999999999" customHeight="1">
      <x:c r="A6" s="256" t="s">
        <x:v>84</x:v>
      </x:c>
      <x:c r="B6" s="257"/>
      <x:c r="C6" s="301"/>
      <x:c r="D6" s="302"/>
      <x:c r="E6" s="288" t="s">
        <x:v>131</x:v>
      </x:c>
      <x:c r="F6" s="289"/>
      <x:c r="G6" s="282">
        <x:v>200000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8"/>
      <x:c r="B7" s="259"/>
      <x:c r="C7" s="303"/>
      <x:c r="D7" s="304"/>
      <x:c r="E7" s="280"/>
      <x:c r="F7" s="281"/>
      <x:c r="G7" s="268"/>
      <x:c r="H7" s="54" t="s">
        <x:v>24</x:v>
      </x:c>
      <x:c r="I7" s="124"/>
      <x:c r="J7" s="81" t="s">
        <x:v>116</x:v>
      </x:c>
      <x:c r="K7" s="58"/>
    </x:row>
    <x:row r="8" spans="1:11" ht="21.949999999999999" customHeight="1">
      <x:c r="A8" s="260" t="s">
        <x:v>134</x:v>
      </x:c>
      <x:c r="B8" s="261"/>
      <x:c r="C8" s="262">
        <x:v>121500</x:v>
      </x:c>
      <x:c r="D8" s="262"/>
      <x:c r="E8" s="288" t="s">
        <x:v>110</x:v>
      </x:c>
      <x:c r="F8" s="289"/>
      <x:c r="G8" s="294">
        <x:f>C5+G2-G6-C22</x:f>
        <x:v>121500</x:v>
      </x:c>
      <x:c r="H8" s="54" t="s">
        <x:v>45</x:v>
      </x:c>
      <x:c r="I8" s="124"/>
      <x:c r="J8" s="81"/>
      <x:c r="K8" s="58"/>
    </x:row>
    <x:row r="9" spans="1:11" ht="21.949999999999999" customHeight="1">
      <x:c r="A9" s="260"/>
      <x:c r="B9" s="261"/>
      <x:c r="C9" s="262"/>
      <x:c r="D9" s="262"/>
      <x:c r="E9" s="280"/>
      <x:c r="F9" s="281"/>
      <x:c r="G9" s="295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143</x:v>
      </x:c>
      <x:c r="B10" s="261"/>
      <x:c r="C10" s="262"/>
      <x:c r="D10" s="262"/>
      <x:c r="E10" s="261" t="s">
        <x:v>87</x:v>
      </x:c>
      <x:c r="F10" s="261"/>
      <x:c r="G10" s="55"/>
      <x:c r="H10" s="54"/>
      <x:c r="I10" s="124"/>
      <x:c r="J10" s="54" t="s">
        <x:v>53</x:v>
      </x:c>
      <x:c r="K10" s="58"/>
    </x:row>
    <x:row r="11" spans="1:11" ht="33" customHeight="1">
      <x:c r="A11" s="260" t="s">
        <x:v>103</x:v>
      </x:c>
      <x:c r="B11" s="261"/>
      <x:c r="C11" s="300"/>
      <x:c r="D11" s="300"/>
      <x:c r="E11" s="300"/>
      <x:c r="F11" s="300"/>
      <x:c r="G11" s="300"/>
      <x:c r="H11" s="54" t="s">
        <x:v>58</x:v>
      </x:c>
      <x:c r="I11" s="58"/>
      <x:c r="J11" s="54" t="s">
        <x:v>82</x:v>
      </x:c>
      <x:c r="K11" s="151"/>
    </x:row>
    <x:row r="12" spans="1:13" ht="21.949999999999999" customHeight="1">
      <x:c r="A12" s="59" t="s">
        <x:v>48</x:v>
      </x:c>
      <x:c r="B12" s="298" t="s">
        <x:v>42</x:v>
      </x:c>
      <x:c r="C12" s="79">
        <x:v>6</x:v>
      </x:c>
      <x:c r="D12" s="288" t="s">
        <x:v>133</x:v>
      </x:c>
      <x:c r="E12" s="289"/>
      <x:c r="F12" s="292">
        <x:v>5</x:v>
      </x:c>
      <x:c r="G12" s="293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9"/>
      <x:c r="C13" s="134">
        <x:f>SUM('1:20'!$C$12)</x:f>
        <x:v>157</x:v>
      </x:c>
      <x:c r="D13" s="280"/>
      <x:c r="E13" s="281"/>
      <x:c r="F13" s="290">
        <x:f>SUM('1:20'!$F$12)</x:f>
        <x:v>99</x:v>
      </x:c>
      <x:c r="G13" s="291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8" t="s">
        <x:v>64</x:v>
      </x:c>
      <x:c r="C14" s="79">
        <x:v>17</x:v>
      </x:c>
      <x:c r="D14" s="288" t="s">
        <x:v>95</x:v>
      </x:c>
      <x:c r="E14" s="289"/>
      <x:c r="F14" s="292">
        <x:v>4</x:v>
      </x:c>
      <x:c r="G14" s="293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9"/>
      <x:c r="C15" s="134">
        <x:f>SUM('1:20'!$C$14)</x:f>
        <x:v>425</x:v>
      </x:c>
      <x:c r="D15" s="280"/>
      <x:c r="E15" s="281"/>
      <x:c r="F15" s="290">
        <x:f>SUM('1:20'!$F$14)</x:f>
        <x:v>182</x:v>
      </x:c>
      <x:c r="G15" s="291"/>
      <x:c r="H15" s="54" t="s">
        <x:v>106</x:v>
      </x:c>
      <x:c r="I15" s="58">
        <x:v>200800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8" t="s">
        <x:v>51</x:v>
      </x:c>
      <x:c r="C16" s="79">
        <x:v>2</x:v>
      </x:c>
      <x:c r="D16" s="288" t="s">
        <x:v>117</x:v>
      </x:c>
      <x:c r="E16" s="289"/>
      <x:c r="F16" s="286">
        <x:v>13</x:v>
      </x:c>
      <x:c r="G16" s="286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9"/>
      <x:c r="C17" s="134">
        <x:f>SUM('1:20'!$C$16)</x:f>
        <x:v>93</x:v>
      </x:c>
      <x:c r="D17" s="280"/>
      <x:c r="E17" s="281"/>
      <x:c r="F17" s="287">
        <x:f>SUM('1:20'!$F$16)</x:f>
        <x:v>219</x:v>
      </x:c>
      <x:c r="G17" s="287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8" t="s">
        <x:v>91</x:v>
      </x:c>
      <x:c r="C18" s="79">
        <x:v>7</x:v>
      </x:c>
      <x:c r="D18" s="288" t="s">
        <x:v>130</x:v>
      </x:c>
      <x:c r="E18" s="289"/>
      <x:c r="F18" s="296">
        <x:v>8</x:v>
      </x:c>
      <x:c r="G18" s="297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9"/>
      <x:c r="C19" s="134">
        <x:f>SUM('1:20'!$C$18)</x:f>
        <x:v>216</x:v>
      </x:c>
      <x:c r="D19" s="280"/>
      <x:c r="E19" s="281"/>
      <x:c r="F19" s="287">
        <x:f>SUM('1:20'!$F$18)</x:f>
        <x:v>78</x:v>
      </x:c>
      <x:c r="G19" s="287"/>
      <x:c r="H19" s="58"/>
      <x:c r="I19" s="58"/>
      <x:c r="J19" s="54"/>
      <x:c r="K19" s="58"/>
      <x:c r="L19" s="60"/>
      <x:c r="M19" s="11"/>
    </x:row>
    <x:row r="20" spans="2:13" ht="21.949999999999999" customHeight="1">
      <x:c r="B20" s="52" t="s">
        <x:v>151</x:v>
      </x:c>
      <x:c r="D20" s="261" t="s">
        <x:v>113</x:v>
      </x:c>
      <x:c r="E20" s="261"/>
      <x:c r="F20" s="286">
        <x:v>39</x:v>
      </x:c>
      <x:c r="G20" s="286"/>
      <x:c r="H20" s="58"/>
      <x:c r="J20" s="54"/>
      <x:c r="K20" s="58"/>
      <x:c r="L20" s="60"/>
      <x:c r="M20" s="11"/>
    </x:row>
    <x:row r="21" spans="4:13" ht="21.949999999999999" customHeight="1">
      <x:c r="D21" s="261" t="s">
        <x:v>114</x:v>
      </x:c>
      <x:c r="E21" s="261"/>
      <x:c r="F21" s="287">
        <x:f>SUM('1:20'!$F$20)</x:f>
        <x:v>1139</x:v>
      </x:c>
      <x:c r="G21" s="287"/>
      <x:c r="H21" s="58"/>
      <x:c r="J21" s="54"/>
      <x:c r="K21" s="58"/>
      <x:c r="L21" s="60"/>
      <x:c r="M21" s="11"/>
    </x:row>
    <x:row r="22" spans="1:13" ht="32.100000000000001" customHeight="1">
      <x:c r="A22" s="260" t="s">
        <x:v>83</x:v>
      </x:c>
      <x:c r="B22" s="261"/>
      <x:c r="C22" s="285"/>
      <x:c r="D22" s="285"/>
      <x:c r="E22" s="285"/>
      <x:c r="F22" s="285"/>
      <x:c r="G22" s="285"/>
      <x:c r="H22" s="54"/>
      <x:c r="J22" s="54"/>
      <x:c r="K22" s="58"/>
      <x:c r="L22" s="60"/>
      <x:c r="M22" s="11"/>
    </x:row>
    <x:row r="23" spans="1:15" ht="34.149999999999999" customHeight="1">
      <x:c r="A23" s="260" t="s">
        <x:v>124</x:v>
      </x:c>
      <x:c r="B23" s="261"/>
      <x:c r="C23" s="316"/>
      <x:c r="D23" s="317"/>
      <x:c r="E23" s="317"/>
      <x:c r="F23" s="317"/>
      <x:c r="G23" s="317"/>
      <x:c r="H23" s="107" t="s">
        <x:v>94</x:v>
      </x:c>
      <x:c r="I23" s="108">
        <x:f>SUM(I4:I22)</x:f>
        <x:v>3239042</x:v>
      </x:c>
      <x:c r="J23" s="61" t="s">
        <x:v>119</x:v>
      </x:c>
      <x:c r="K23" s="62">
        <x:f>SUM(K4:K22)</x:f>
        <x:v>0</x:v>
      </x:c>
      <x:c r="M23" s="88" t="s">
        <x:v>93</x:v>
      </x:c>
      <x:c r="N23" s="283">
        <x:f>C5+C6</x:f>
        <x:v>245000</x:v>
      </x:c>
      <x:c r="O23" s="284"/>
    </x:row>
    <x:row r="24" spans="1:11" ht="34.149999999999999" customHeight="1">
      <x:c r="A24" s="260" t="s">
        <x:v>8</x:v>
      </x:c>
      <x:c r="B24" s="261"/>
      <x:c r="C24" s="261" t="s">
        <x:v>86</x:v>
      </x:c>
      <x:c r="D24" s="261"/>
      <x:c r="E24" s="261" t="s">
        <x:v>101</x:v>
      </x:c>
      <x:c r="F24" s="261"/>
      <x:c r="G24" s="261"/>
      <x:c r="H24" s="107" t="s">
        <x:v>8</x:v>
      </x:c>
      <x:c r="I24" s="109">
        <x:f>I23/A25</x:f>
        <x:v>0.78011608863198456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12">
        <x:f>C2</x:f>
        <x:v>4152000</x:v>
      </x:c>
      <x:c r="B25" s="276"/>
      <x:c r="C25" s="276">
        <x:f>E25/I1</x:f>
        <x:v>4266425</x:v>
      </x:c>
      <x:c r="D25" s="276"/>
      <x:c r="E25" s="276">
        <x:f>SUM('1:20'!$A$25)</x:f>
        <x:v>85328500</x:v>
      </x:c>
      <x:c r="F25" s="276"/>
      <x:c r="G25" s="276"/>
      <x:c r="H25" s="107" t="s">
        <x:v>33</x:v>
      </x:c>
      <x:c r="I25" s="108">
        <x:f>SUM('1'!$I$23)</x:f>
        <x:v>2230104</x:v>
      </x:c>
      <x:c r="J25" s="61" t="s">
        <x:v>33</x:v>
      </x:c>
      <x:c r="K25" s="62">
        <x:f>SUM('1:20'!$K$21)</x:f>
        <x:v>0</x:v>
      </x:c>
    </x:row>
    <x:row r="26" spans="1:11" ht="34.149999999999999" customHeight="1">
      <x:c r="A26" s="260" t="s">
        <x:v>142</x:v>
      </x:c>
      <x:c r="B26" s="261"/>
      <x:c r="C26" s="261"/>
      <x:c r="D26" s="261"/>
      <x:c r="E26" s="262"/>
      <x:c r="F26" s="262"/>
      <x:c r="G26" s="262"/>
      <x:c r="H26" s="107" t="s">
        <x:v>128</x:v>
      </x:c>
      <x:c r="I26" s="110">
        <x:f>I25/$E$25</x:f>
        <x:v>0.026135511581710683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8" t="s">
        <x:v>141</x:v>
      </x:c>
      <x:c r="B27" s="54" t="s">
        <x:v>44</x:v>
      </x:c>
      <x:c r="C27" s="276">
        <x:f>4000000/30</x:f>
        <x:v>133333.33333333334</x:v>
      </x:c>
      <x:c r="D27" s="276"/>
      <x:c r="E27" s="55" t="s">
        <x:v>147</x:v>
      </x:c>
      <x:c r="F27" s="262"/>
      <x:c r="G27" s="262"/>
      <x:c r="H27" s="111" t="s">
        <x:v>118</x:v>
      </x:c>
      <x:c r="I27" s="112">
        <x:f>SUM(C27:D34,F27:G32)</x:f>
        <x:v>857333.33333333337</x:v>
      </x:c>
      <x:c r="M27" s="66"/>
    </x:row>
    <x:row r="28" spans="1:13" ht="30.949999999999999" customHeight="1">
      <x:c r="A28" s="319"/>
      <x:c r="B28" s="54" t="s">
        <x:v>23</x:v>
      </x:c>
      <x:c r="C28" s="276">
        <x:f>3800000/30</x:f>
        <x:v>126666.66666666667</x:v>
      </x:c>
      <x:c r="D28" s="276"/>
      <x:c r="E28" s="55" t="s">
        <x:v>149</x:v>
      </x:c>
      <x:c r="F28" s="276">
        <x:f>1500000/30</x:f>
        <x:v>50000</x:v>
      </x:c>
      <x:c r="G28" s="276"/>
      <x:c r="H28" s="111" t="s">
        <x:v>8</x:v>
      </x:c>
      <x:c r="I28" s="113">
        <x:f>I27/$A$25</x:f>
        <x:v>0.20648683365446371</x:v>
      </x:c>
      <x:c r="M28" s="66"/>
    </x:row>
    <x:row r="29" spans="1:13" ht="30.949999999999999" customHeight="1">
      <x:c r="A29" s="319"/>
      <x:c r="B29" s="54" t="s">
        <x:v>47</x:v>
      </x:c>
      <x:c r="C29" s="276">
        <x:f>3200000/30</x:f>
        <x:v>106666.66666666667</x:v>
      </x:c>
      <x:c r="D29" s="276"/>
      <x:c r="E29" s="54" t="s">
        <x:v>57</x:v>
      </x:c>
      <x:c r="F29" s="262"/>
      <x:c r="G29" s="262"/>
      <x:c r="H29" s="111" t="s">
        <x:v>33</x:v>
      </x:c>
      <x:c r="I29" s="112">
        <x:f>SUM('1:20'!$I$25)</x:f>
        <x:v>44602080</x:v>
      </x:c>
      <x:c r="M29" s="66"/>
    </x:row>
    <x:row r="30" spans="1:13" ht="30.949999999999999" customHeight="1">
      <x:c r="A30" s="319"/>
      <x:c r="B30" s="54"/>
      <x:c r="C30" s="315"/>
      <x:c r="D30" s="315"/>
      <x:c r="E30" s="55"/>
      <x:c r="F30" s="310"/>
      <x:c r="G30" s="311"/>
      <x:c r="H30" s="111" t="s">
        <x:v>128</x:v>
      </x:c>
      <x:c r="I30" s="113">
        <x:f>I29/$I$27</x:f>
        <x:v>52.024199066874026</x:v>
      </x:c>
      <x:c r="M30" s="66"/>
    </x:row>
    <x:row r="31" spans="1:7" customHeight="1">
      <x:c r="A31" s="319"/>
      <x:c r="B31" s="54" t="s">
        <x:v>41</x:v>
      </x:c>
      <x:c r="C31" s="313">
        <x:f>3500000/30</x:f>
        <x:v>116666.66666666667</x:v>
      </x:c>
      <x:c r="D31" s="314"/>
      <x:c r="E31" s="55" t="s">
        <x:v>4</x:v>
      </x:c>
      <x:c r="F31" s="310">
        <x:v>130000</x:v>
      </x:c>
      <x:c r="G31" s="311"/>
    </x:row>
    <x:row r="32" spans="1:7" customHeight="1">
      <x:c r="A32" s="319"/>
      <x:c r="B32" s="54"/>
      <x:c r="C32" s="308"/>
      <x:c r="D32" s="309"/>
      <x:c r="E32" s="55" t="s">
        <x:v>138</x:v>
      </x:c>
      <x:c r="F32" s="310">
        <x:v>142000</x:v>
      </x:c>
      <x:c r="G32" s="311"/>
    </x:row>
    <x:row r="33" spans="1:4" customHeight="1">
      <x:c r="A33" s="319"/>
      <x:c r="B33" s="54" t="s">
        <x:v>21</x:v>
      </x:c>
      <x:c r="C33" s="308">
        <x:f>13000*4</x:f>
        <x:v>52000</x:v>
      </x:c>
      <x:c r="D33" s="309"/>
    </x:row>
    <x:row r="34" spans="1:4" customHeight="1">
      <x:c r="A34" s="320"/>
      <x:c r="B34" s="54"/>
      <x:c r="C34" s="310"/>
      <x:c r="D34" s="311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3"/>
  <x:dimension ref="A1:O34"/>
  <x:sheetViews>
    <x:sheetView topLeftCell="A15" zoomScale="85" zoomScaleNormal="85" zoomScaleSheetLayoutView="75" workbookViewId="0">
      <x:selection activeCell="J34" activeCellId="0" sqref="J34:J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152</x:v>
      </x:c>
      <x:c r="F1" s="68">
        <x:v>21</x:v>
      </x:c>
      <x:c r="G1" s="68" t="s">
        <x:v>19</x:v>
      </x:c>
      <x:c r="H1" s="52" t="s">
        <x:v>123</x:v>
      </x:c>
      <x:c r="I1" s="52">
        <x:f>F1-K1</x:f>
        <x:v>21</x:v>
      </x:c>
      <x:c r="J1" s="52" t="s">
        <x:v>98</x:v>
      </x:c>
      <x:c r="K1" s="52"/>
    </x:row>
    <x:row r="2" spans="1:11" ht="20.100000000000001" customHeight="1">
      <x:c r="A2" s="271" t="s">
        <x:v>9</x:v>
      </x:c>
      <x:c r="B2" s="272"/>
      <x:c r="C2" s="275">
        <x:f>SUM(C4:D7)</x:f>
        <x:v>4190000</x:v>
      </x:c>
      <x:c r="D2" s="275"/>
      <x:c r="E2" s="278" t="s">
        <x:v>40</x:v>
      </x:c>
      <x:c r="F2" s="279"/>
      <x:c r="G2" s="267">
        <x:v>121500</x:v>
      </x:c>
      <x:c r="H2" s="265" t="s">
        <x:v>6</x:v>
      </x:c>
      <x:c r="I2" s="266"/>
      <x:c r="J2" s="263" t="s">
        <x:v>74</x:v>
      </x:c>
      <x:c r="K2" s="264"/>
    </x:row>
    <x:row r="3" spans="1:11" ht="20.100000000000001" customHeight="1">
      <x:c r="A3" s="273"/>
      <x:c r="B3" s="274"/>
      <x:c r="C3" s="276"/>
      <x:c r="D3" s="276"/>
      <x:c r="E3" s="280"/>
      <x:c r="F3" s="281"/>
      <x:c r="G3" s="268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9" t="s">
        <x:v>22</x:v>
      </x:c>
      <x:c r="B4" s="270"/>
      <x:c r="C4" s="262">
        <x:v>3349000</x:v>
      </x:c>
      <x:c r="D4" s="262"/>
      <x:c r="E4" s="277" t="s">
        <x:v>146</x:v>
      </x:c>
      <x:c r="F4" s="277"/>
      <x:c r="G4" s="133">
        <x:f>INT(C4*0.0275)</x:f>
        <x:v>92097</x:v>
      </x:c>
      <x:c r="H4" s="54" t="s">
        <x:v>20</x:v>
      </x:c>
      <x:c r="I4" s="124"/>
      <x:c r="J4" s="80" t="s">
        <x:v>36</x:v>
      </x:c>
      <x:c r="K4" s="58"/>
    </x:row>
    <x:row r="5" spans="1:11" ht="30.949999999999999" customHeight="1">
      <x:c r="A5" s="269" t="s">
        <x:v>61</x:v>
      </x:c>
      <x:c r="B5" s="270"/>
      <x:c r="C5" s="262">
        <x:v>841000</x:v>
      </x:c>
      <x:c r="D5" s="262"/>
      <x:c r="E5" s="261" t="s">
        <x:v>70</x:v>
      </x:c>
      <x:c r="F5" s="261"/>
      <x:c r="G5" s="133">
        <x:f>INT(C5*0.01)</x:f>
        <x:v>8410</x:v>
      </x:c>
      <x:c r="H5" s="54" t="s">
        <x:v>6</x:v>
      </x:c>
      <x:c r="I5" s="124"/>
      <x:c r="J5" s="81"/>
      <x:c r="K5" s="58"/>
    </x:row>
    <x:row r="6" spans="1:11" ht="21.949999999999999" customHeight="1">
      <x:c r="A6" s="256" t="s">
        <x:v>84</x:v>
      </x:c>
      <x:c r="B6" s="257"/>
      <x:c r="C6" s="301"/>
      <x:c r="D6" s="302"/>
      <x:c r="E6" s="288" t="s">
        <x:v>131</x:v>
      </x:c>
      <x:c r="F6" s="289"/>
      <x:c r="G6" s="282">
        <x:v>880000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8"/>
      <x:c r="B7" s="259"/>
      <x:c r="C7" s="303"/>
      <x:c r="D7" s="304"/>
      <x:c r="E7" s="280"/>
      <x:c r="F7" s="281"/>
      <x:c r="G7" s="268"/>
      <x:c r="H7" s="54" t="s">
        <x:v>24</x:v>
      </x:c>
      <x:c r="I7" s="124"/>
      <x:c r="J7" s="81" t="s">
        <x:v>116</x:v>
      </x:c>
      <x:c r="K7" s="58"/>
    </x:row>
    <x:row r="8" spans="1:11" ht="21.949999999999999" customHeight="1">
      <x:c r="A8" s="260" t="s">
        <x:v>134</x:v>
      </x:c>
      <x:c r="B8" s="261"/>
      <x:c r="C8" s="262">
        <x:v>82500</x:v>
      </x:c>
      <x:c r="D8" s="262"/>
      <x:c r="E8" s="288" t="s">
        <x:v>110</x:v>
      </x:c>
      <x:c r="F8" s="289"/>
      <x:c r="G8" s="294">
        <x:f>C5+G2-G6-C22</x:f>
        <x:v>82500</x:v>
      </x:c>
      <x:c r="H8" s="54" t="s">
        <x:v>45</x:v>
      </x:c>
      <x:c r="I8" s="124"/>
      <x:c r="J8" s="81"/>
      <x:c r="K8" s="58"/>
    </x:row>
    <x:row r="9" spans="1:11" ht="21.949999999999999" customHeight="1">
      <x:c r="A9" s="260"/>
      <x:c r="B9" s="261"/>
      <x:c r="C9" s="262"/>
      <x:c r="D9" s="262"/>
      <x:c r="E9" s="280"/>
      <x:c r="F9" s="281"/>
      <x:c r="G9" s="295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143</x:v>
      </x:c>
      <x:c r="B10" s="261"/>
      <x:c r="C10" s="262"/>
      <x:c r="D10" s="262"/>
      <x:c r="E10" s="261" t="s">
        <x:v>87</x:v>
      </x:c>
      <x:c r="F10" s="261"/>
      <x:c r="G10" s="55"/>
      <x:c r="H10" s="54"/>
      <x:c r="I10" s="124"/>
      <x:c r="J10" s="54" t="s">
        <x:v>53</x:v>
      </x:c>
      <x:c r="K10" s="58"/>
    </x:row>
    <x:row r="11" spans="1:11" ht="33" customHeight="1">
      <x:c r="A11" s="260" t="s">
        <x:v>103</x:v>
      </x:c>
      <x:c r="B11" s="261"/>
      <x:c r="C11" s="300"/>
      <x:c r="D11" s="300"/>
      <x:c r="E11" s="300"/>
      <x:c r="F11" s="300"/>
      <x:c r="G11" s="300"/>
      <x:c r="H11" s="54" t="s">
        <x:v>58</x:v>
      </x:c>
      <x:c r="I11" s="58"/>
      <x:c r="J11" s="54" t="s">
        <x:v>82</x:v>
      </x:c>
      <x:c r="K11" s="151"/>
    </x:row>
    <x:row r="12" spans="1:13" ht="21.949999999999999" customHeight="1">
      <x:c r="A12" s="59" t="s">
        <x:v>48</x:v>
      </x:c>
      <x:c r="B12" s="298" t="s">
        <x:v>42</x:v>
      </x:c>
      <x:c r="C12" s="79">
        <x:v>7</x:v>
      </x:c>
      <x:c r="D12" s="288" t="s">
        <x:v>133</x:v>
      </x:c>
      <x:c r="E12" s="289"/>
      <x:c r="F12" s="292">
        <x:v>4</x:v>
      </x:c>
      <x:c r="G12" s="293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9"/>
      <x:c r="C13" s="134">
        <x:f>SUM('1:21'!$C$12)</x:f>
        <x:v>164</x:v>
      </x:c>
      <x:c r="D13" s="280"/>
      <x:c r="E13" s="281"/>
      <x:c r="F13" s="290">
        <x:f>SUM('1:21'!$F$12)</x:f>
        <x:v>103</x:v>
      </x:c>
      <x:c r="G13" s="291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8" t="s">
        <x:v>64</x:v>
      </x:c>
      <x:c r="C14" s="79">
        <x:v>18</x:v>
      </x:c>
      <x:c r="D14" s="288" t="s">
        <x:v>95</x:v>
      </x:c>
      <x:c r="E14" s="289"/>
      <x:c r="F14" s="292">
        <x:v>6</x:v>
      </x:c>
      <x:c r="G14" s="293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9"/>
      <x:c r="C15" s="134">
        <x:f>SUM('1:21'!$C$14)</x:f>
        <x:v>443</x:v>
      </x:c>
      <x:c r="D15" s="280"/>
      <x:c r="E15" s="281"/>
      <x:c r="F15" s="290">
        <x:f>SUM('1:21'!$F$14)</x:f>
        <x:v>188</x:v>
      </x:c>
      <x:c r="G15" s="291"/>
      <x:c r="H15" s="54" t="s">
        <x:v>106</x:v>
      </x:c>
      <x:c r="I15" s="58"/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8" t="s">
        <x:v>51</x:v>
      </x:c>
      <x:c r="C16" s="79">
        <x:v>4</x:v>
      </x:c>
      <x:c r="D16" s="288" t="s">
        <x:v>117</x:v>
      </x:c>
      <x:c r="E16" s="289"/>
      <x:c r="F16" s="286">
        <x:v>6</x:v>
      </x:c>
      <x:c r="G16" s="286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9"/>
      <x:c r="C17" s="134">
        <x:f>SUM('1:21'!$C$16)</x:f>
        <x:v>97</x:v>
      </x:c>
      <x:c r="D17" s="280"/>
      <x:c r="E17" s="281"/>
      <x:c r="F17" s="287">
        <x:f>SUM('1:21'!$F$16)</x:f>
        <x:v>225</x:v>
      </x:c>
      <x:c r="G17" s="287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8" t="s">
        <x:v>91</x:v>
      </x:c>
      <x:c r="C18" s="79">
        <x:v>14</x:v>
      </x:c>
      <x:c r="D18" s="288" t="s">
        <x:v>130</x:v>
      </x:c>
      <x:c r="E18" s="289"/>
      <x:c r="F18" s="296">
        <x:v>3</x:v>
      </x:c>
      <x:c r="G18" s="297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9"/>
      <x:c r="C19" s="134">
        <x:f>SUM('1:21'!$C$18)</x:f>
        <x:v>230</x:v>
      </x:c>
      <x:c r="D19" s="280"/>
      <x:c r="E19" s="281"/>
      <x:c r="F19" s="287">
        <x:f>SUM('1:21'!$F$18)</x:f>
        <x:v>81</x:v>
      </x:c>
      <x:c r="G19" s="287"/>
      <x:c r="H19" s="58"/>
      <x:c r="I19" s="58"/>
      <x:c r="J19" s="54"/>
      <x:c r="K19" s="58"/>
      <x:c r="L19" s="60"/>
      <x:c r="M19" s="11"/>
    </x:row>
    <x:row r="20" spans="2:13" ht="21.949999999999999" customHeight="1">
      <x:c r="B20" s="52" t="s">
        <x:v>151</x:v>
      </x:c>
      <x:c r="D20" s="261" t="s">
        <x:v>113</x:v>
      </x:c>
      <x:c r="E20" s="261"/>
      <x:c r="F20" s="286">
        <x:v>58</x:v>
      </x:c>
      <x:c r="G20" s="286"/>
      <x:c r="H20" s="58"/>
      <x:c r="J20" s="54"/>
      <x:c r="K20" s="58"/>
      <x:c r="L20" s="60"/>
      <x:c r="M20" s="11"/>
    </x:row>
    <x:row r="21" spans="4:13" ht="21.949999999999999" customHeight="1">
      <x:c r="D21" s="261" t="s">
        <x:v>114</x:v>
      </x:c>
      <x:c r="E21" s="261"/>
      <x:c r="F21" s="287">
        <x:f>SUM('1:21'!$F$20)</x:f>
        <x:v>1197</x:v>
      </x:c>
      <x:c r="G21" s="287"/>
      <x:c r="H21" s="58"/>
      <x:c r="J21" s="54"/>
      <x:c r="K21" s="58"/>
      <x:c r="L21" s="60"/>
      <x:c r="M21" s="11"/>
    </x:row>
    <x:row r="22" spans="1:13" ht="32.100000000000001" customHeight="1">
      <x:c r="A22" s="260" t="s">
        <x:v>83</x:v>
      </x:c>
      <x:c r="B22" s="261"/>
      <x:c r="C22" s="285"/>
      <x:c r="D22" s="285"/>
      <x:c r="E22" s="285"/>
      <x:c r="F22" s="285"/>
      <x:c r="G22" s="285"/>
      <x:c r="H22" s="54"/>
      <x:c r="J22" s="54"/>
      <x:c r="K22" s="58"/>
      <x:c r="L22" s="60"/>
      <x:c r="M22" s="11"/>
    </x:row>
    <x:row r="23" spans="1:15" ht="34.149999999999999" customHeight="1">
      <x:c r="A23" s="260" t="s">
        <x:v>124</x:v>
      </x:c>
      <x:c r="B23" s="261"/>
      <x:c r="C23" s="316"/>
      <x:c r="D23" s="317"/>
      <x:c r="E23" s="317"/>
      <x:c r="F23" s="317"/>
      <x:c r="G23" s="317"/>
      <x:c r="H23" s="107" t="s">
        <x:v>94</x:v>
      </x:c>
      <x:c r="I23" s="108">
        <x:f>SUM(I4:I22)</x:f>
        <x:v>0</x:v>
      </x:c>
      <x:c r="J23" s="61" t="s">
        <x:v>119</x:v>
      </x:c>
      <x:c r="K23" s="62">
        <x:f>SUM(K4:K22)</x:f>
        <x:v>0</x:v>
      </x:c>
      <x:c r="M23" s="88" t="s">
        <x:v>93</x:v>
      </x:c>
      <x:c r="N23" s="283">
        <x:f>C5+C6</x:f>
        <x:v>841000</x:v>
      </x:c>
      <x:c r="O23" s="284"/>
    </x:row>
    <x:row r="24" spans="1:11" ht="34.149999999999999" customHeight="1">
      <x:c r="A24" s="260" t="s">
        <x:v>8</x:v>
      </x:c>
      <x:c r="B24" s="261"/>
      <x:c r="C24" s="261" t="s">
        <x:v>86</x:v>
      </x:c>
      <x:c r="D24" s="261"/>
      <x:c r="E24" s="261" t="s">
        <x:v>101</x:v>
      </x:c>
      <x:c r="F24" s="261"/>
      <x:c r="G24" s="261"/>
      <x:c r="H24" s="107" t="s">
        <x:v>8</x:v>
      </x:c>
      <x:c r="I24" s="109">
        <x:f>I23/A25</x:f>
        <x:v>0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12">
        <x:f>C2</x:f>
        <x:v>4190000</x:v>
      </x:c>
      <x:c r="B25" s="276"/>
      <x:c r="C25" s="276">
        <x:f>E25/I1</x:f>
        <x:v>4262785.7142857146</x:v>
      </x:c>
      <x:c r="D25" s="276"/>
      <x:c r="E25" s="276">
        <x:f>SUM('1:21'!$A$25)</x:f>
        <x:v>89518500</x:v>
      </x:c>
      <x:c r="F25" s="276"/>
      <x:c r="G25" s="276"/>
      <x:c r="H25" s="107" t="s">
        <x:v>33</x:v>
      </x:c>
      <x:c r="I25" s="108">
        <x:f>SUM('1'!$I$23)</x:f>
        <x:v>2230104</x:v>
      </x:c>
      <x:c r="J25" s="61" t="s">
        <x:v>33</x:v>
      </x:c>
      <x:c r="K25" s="62">
        <x:f>SUM('1:21'!$K$21)</x:f>
        <x:v>0</x:v>
      </x:c>
    </x:row>
    <x:row r="26" spans="1:11" ht="34.149999999999999" customHeight="1">
      <x:c r="A26" s="260" t="s">
        <x:v>142</x:v>
      </x:c>
      <x:c r="B26" s="261"/>
      <x:c r="C26" s="261"/>
      <x:c r="D26" s="261"/>
      <x:c r="E26" s="262"/>
      <x:c r="F26" s="262"/>
      <x:c r="G26" s="262"/>
      <x:c r="H26" s="107" t="s">
        <x:v>128</x:v>
      </x:c>
      <x:c r="I26" s="110">
        <x:f>I25/$E$25</x:f>
        <x:v>0.024912213676502624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8" t="s">
        <x:v>141</x:v>
      </x:c>
      <x:c r="B27" s="54" t="s">
        <x:v>44</x:v>
      </x:c>
      <x:c r="C27" s="276">
        <x:f>4000000/30</x:f>
        <x:v>133333.33333333334</x:v>
      </x:c>
      <x:c r="D27" s="276"/>
      <x:c r="E27" s="55" t="s">
        <x:v>147</x:v>
      </x:c>
      <x:c r="F27" s="262"/>
      <x:c r="G27" s="262"/>
      <x:c r="H27" s="111" t="s">
        <x:v>118</x:v>
      </x:c>
      <x:c r="I27" s="112">
        <x:f>SUM(C27:D34,F27:G32)</x:f>
        <x:v>858333.33333333337</x:v>
      </x:c>
      <x:c r="M27" s="66"/>
    </x:row>
    <x:row r="28" spans="1:13" ht="30.949999999999999" customHeight="1">
      <x:c r="A28" s="319"/>
      <x:c r="B28" s="54" t="s">
        <x:v>23</x:v>
      </x:c>
      <x:c r="C28" s="276">
        <x:f>3800000/30</x:f>
        <x:v>126666.66666666667</x:v>
      </x:c>
      <x:c r="D28" s="276"/>
      <x:c r="E28" s="55" t="s">
        <x:v>149</x:v>
      </x:c>
      <x:c r="F28" s="276">
        <x:f>1500000/30</x:f>
        <x:v>50000</x:v>
      </x:c>
      <x:c r="G28" s="276"/>
      <x:c r="H28" s="111" t="s">
        <x:v>8</x:v>
      </x:c>
      <x:c r="I28" s="113">
        <x:f>I27/$A$25</x:f>
        <x:v>0.20485282418456643</x:v>
      </x:c>
      <x:c r="M28" s="66"/>
    </x:row>
    <x:row r="29" spans="1:13" ht="30.949999999999999" customHeight="1">
      <x:c r="A29" s="319"/>
      <x:c r="B29" s="54" t="s">
        <x:v>47</x:v>
      </x:c>
      <x:c r="C29" s="276">
        <x:f>3200000/30</x:f>
        <x:v>106666.66666666667</x:v>
      </x:c>
      <x:c r="D29" s="276"/>
      <x:c r="E29" s="54" t="s">
        <x:v>57</x:v>
      </x:c>
      <x:c r="F29" s="262"/>
      <x:c r="G29" s="262"/>
      <x:c r="H29" s="111" t="s">
        <x:v>33</x:v>
      </x:c>
      <x:c r="I29" s="112">
        <x:f>SUM('1:21'!$I$25)</x:f>
        <x:v>46832184</x:v>
      </x:c>
      <x:c r="M29" s="66"/>
    </x:row>
    <x:row r="30" spans="1:13" ht="30.949999999999999" customHeight="1">
      <x:c r="A30" s="319"/>
      <x:c r="B30" s="54"/>
      <x:c r="C30" s="315"/>
      <x:c r="D30" s="315"/>
      <x:c r="E30" s="55"/>
      <x:c r="F30" s="310"/>
      <x:c r="G30" s="311"/>
      <x:c r="H30" s="111" t="s">
        <x:v>128</x:v>
      </x:c>
      <x:c r="I30" s="113">
        <x:f>I29/$I$27</x:f>
        <x:v>54.561767766990286</x:v>
      </x:c>
      <x:c r="M30" s="66"/>
    </x:row>
    <x:row r="31" spans="1:7" customHeight="1">
      <x:c r="A31" s="319"/>
      <x:c r="B31" s="54" t="s">
        <x:v>41</x:v>
      </x:c>
      <x:c r="C31" s="276">
        <x:f>3500000/30</x:f>
        <x:v>116666.66666666667</x:v>
      </x:c>
      <x:c r="D31" s="276"/>
      <x:c r="E31" s="55" t="s">
        <x:v>4</x:v>
      </x:c>
      <x:c r="F31" s="310">
        <x:v>130000</x:v>
      </x:c>
      <x:c r="G31" s="311"/>
    </x:row>
    <x:row r="32" spans="1:7" customHeight="1">
      <x:c r="A32" s="319"/>
      <x:c r="B32" s="54"/>
      <x:c r="C32" s="308"/>
      <x:c r="D32" s="309"/>
      <x:c r="E32" s="55" t="s">
        <x:v>138</x:v>
      </x:c>
      <x:c r="F32" s="310">
        <x:v>143000</x:v>
      </x:c>
      <x:c r="G32" s="311"/>
    </x:row>
    <x:row r="33" spans="1:4" customHeight="1">
      <x:c r="A33" s="319"/>
      <x:c r="B33" s="54" t="s">
        <x:v>21</x:v>
      </x:c>
      <x:c r="C33" s="308">
        <x:v>52000</x:v>
      </x:c>
      <x:c r="D33" s="309"/>
    </x:row>
    <x:row r="34" spans="1:4" customHeight="1">
      <x:c r="A34" s="320"/>
      <x:c r="B34" s="54"/>
      <x:c r="C34" s="310"/>
      <x:c r="D34" s="311"/>
    </x:row>
  </x:sheetData>
  <x:mergeCells count="74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4:D34"/>
    <x:mergeCell ref="C31:D31"/>
    <x:mergeCell ref="C30:D30"/>
    <x:mergeCell ref="F31:G31"/>
    <x:mergeCell ref="F30:G30"/>
    <x:mergeCell ref="C33:D33"/>
    <x:mergeCell ref="A23:B23"/>
    <x:mergeCell ref="C23:G23"/>
    <x:mergeCell ref="A24:B24"/>
    <x:mergeCell ref="C24:D24"/>
    <x:mergeCell ref="E24:G24"/>
    <x:mergeCell ref="F32:G32"/>
    <x:mergeCell ref="A22:B22"/>
    <x:mergeCell ref="C22:G22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G8:G9"/>
    <x:mergeCell ref="D14:E15"/>
    <x:mergeCell ref="D12:E13"/>
    <x:mergeCell ref="D18:E19"/>
    <x:mergeCell ref="D16:E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4"/>
  <x:dimension ref="A1:O34"/>
  <x:sheetViews>
    <x:sheetView topLeftCell="A1" zoomScale="85" zoomScaleNormal="85" zoomScaleSheetLayoutView="75" workbookViewId="0">
      <x:selection activeCell="J34" activeCellId="0" sqref="J34:J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152</x:v>
      </x:c>
      <x:c r="F1" s="68">
        <x:v>22</x:v>
      </x:c>
      <x:c r="G1" s="68" t="s">
        <x:v>49</x:v>
      </x:c>
      <x:c r="H1" s="52" t="s">
        <x:v>123</x:v>
      </x:c>
      <x:c r="I1" s="52">
        <x:f>F1-K1</x:f>
        <x:v>22</x:v>
      </x:c>
      <x:c r="J1" s="52" t="s">
        <x:v>98</x:v>
      </x:c>
      <x:c r="K1" s="52"/>
    </x:row>
    <x:row r="2" spans="1:11" ht="20.100000000000001" customHeight="1">
      <x:c r="A2" s="271" t="s">
        <x:v>9</x:v>
      </x:c>
      <x:c r="B2" s="272"/>
      <x:c r="C2" s="275">
        <x:f>SUM(C4:D7)</x:f>
        <x:v>5606000</x:v>
      </x:c>
      <x:c r="D2" s="275"/>
      <x:c r="E2" s="278" t="s">
        <x:v>40</x:v>
      </x:c>
      <x:c r="F2" s="279"/>
      <x:c r="G2" s="267">
        <x:v>82500</x:v>
      </x:c>
      <x:c r="H2" s="265" t="s">
        <x:v>6</x:v>
      </x:c>
      <x:c r="I2" s="266"/>
      <x:c r="J2" s="263" t="s">
        <x:v>74</x:v>
      </x:c>
      <x:c r="K2" s="264"/>
    </x:row>
    <x:row r="3" spans="1:11" ht="20.100000000000001" customHeight="1">
      <x:c r="A3" s="273"/>
      <x:c r="B3" s="274"/>
      <x:c r="C3" s="276"/>
      <x:c r="D3" s="276"/>
      <x:c r="E3" s="280"/>
      <x:c r="F3" s="281"/>
      <x:c r="G3" s="268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9" t="s">
        <x:v>22</x:v>
      </x:c>
      <x:c r="B4" s="270"/>
      <x:c r="C4" s="262">
        <x:v>5096500</x:v>
      </x:c>
      <x:c r="D4" s="262"/>
      <x:c r="E4" s="277" t="s">
        <x:v>146</x:v>
      </x:c>
      <x:c r="F4" s="277"/>
      <x:c r="G4" s="133">
        <x:f>INT(C4*0.0275)</x:f>
        <x:v>140153</x:v>
      </x:c>
      <x:c r="H4" s="54" t="s">
        <x:v>20</x:v>
      </x:c>
      <x:c r="I4" s="124">
        <x:v>775770</x:v>
      </x:c>
      <x:c r="J4" s="80" t="s">
        <x:v>36</x:v>
      </x:c>
      <x:c r="K4" s="58"/>
    </x:row>
    <x:row r="5" spans="1:11" ht="30.949999999999999" customHeight="1">
      <x:c r="A5" s="269" t="s">
        <x:v>61</x:v>
      </x:c>
      <x:c r="B5" s="270"/>
      <x:c r="C5" s="262">
        <x:v>509500</x:v>
      </x:c>
      <x:c r="D5" s="262"/>
      <x:c r="E5" s="261" t="s">
        <x:v>70</x:v>
      </x:c>
      <x:c r="F5" s="261"/>
      <x:c r="G5" s="133">
        <x:f>INT(C5*0.01)</x:f>
        <x:v>5095</x:v>
      </x:c>
      <x:c r="H5" s="54" t="s">
        <x:v>6</x:v>
      </x:c>
      <x:c r="I5" s="124">
        <x:v>320176</x:v>
      </x:c>
      <x:c r="J5" s="81"/>
      <x:c r="K5" s="58"/>
    </x:row>
    <x:row r="6" spans="1:11" ht="21.949999999999999" customHeight="1">
      <x:c r="A6" s="256" t="s">
        <x:v>84</x:v>
      </x:c>
      <x:c r="B6" s="257"/>
      <x:c r="C6" s="301"/>
      <x:c r="D6" s="302"/>
      <x:c r="E6" s="288" t="s">
        <x:v>131</x:v>
      </x:c>
      <x:c r="F6" s="289"/>
      <x:c r="G6" s="282">
        <x:v>510000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8"/>
      <x:c r="B7" s="259"/>
      <x:c r="C7" s="303"/>
      <x:c r="D7" s="304"/>
      <x:c r="E7" s="280"/>
      <x:c r="F7" s="281"/>
      <x:c r="G7" s="268"/>
      <x:c r="H7" s="54" t="s">
        <x:v>24</x:v>
      </x:c>
      <x:c r="I7" s="124">
        <x:v>330500</x:v>
      </x:c>
      <x:c r="J7" s="81" t="s">
        <x:v>116</x:v>
      </x:c>
      <x:c r="K7" s="58"/>
    </x:row>
    <x:row r="8" spans="1:11" ht="21.949999999999999" customHeight="1">
      <x:c r="A8" s="260" t="s">
        <x:v>134</x:v>
      </x:c>
      <x:c r="B8" s="261"/>
      <x:c r="C8" s="262">
        <x:v>82000</x:v>
      </x:c>
      <x:c r="D8" s="262"/>
      <x:c r="E8" s="288" t="s">
        <x:v>110</x:v>
      </x:c>
      <x:c r="F8" s="289"/>
      <x:c r="G8" s="294">
        <x:f>C5+G2-G6-C22</x:f>
        <x:v>82000</x:v>
      </x:c>
      <x:c r="H8" s="54" t="s">
        <x:v>45</x:v>
      </x:c>
      <x:c r="I8" s="124">
        <x:v>65000</x:v>
      </x:c>
      <x:c r="J8" s="81"/>
      <x:c r="K8" s="58"/>
    </x:row>
    <x:row r="9" spans="1:11" ht="21.949999999999999" customHeight="1">
      <x:c r="A9" s="260"/>
      <x:c r="B9" s="261"/>
      <x:c r="C9" s="262"/>
      <x:c r="D9" s="262"/>
      <x:c r="E9" s="280"/>
      <x:c r="F9" s="281"/>
      <x:c r="G9" s="295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143</x:v>
      </x:c>
      <x:c r="B10" s="261"/>
      <x:c r="C10" s="262">
        <x:v>60000</x:v>
      </x:c>
      <x:c r="D10" s="262"/>
      <x:c r="E10" s="261" t="s">
        <x:v>87</x:v>
      </x:c>
      <x:c r="F10" s="261"/>
      <x:c r="G10" s="55"/>
      <x:c r="H10" s="54"/>
      <x:c r="I10" s="124"/>
      <x:c r="J10" s="54" t="s">
        <x:v>53</x:v>
      </x:c>
      <x:c r="K10" s="58">
        <x:v>13000</x:v>
      </x:c>
    </x:row>
    <x:row r="11" spans="1:11" ht="33" customHeight="1">
      <x:c r="A11" s="260" t="s">
        <x:v>103</x:v>
      </x:c>
      <x:c r="B11" s="261"/>
      <x:c r="C11" s="300"/>
      <x:c r="D11" s="300"/>
      <x:c r="E11" s="300"/>
      <x:c r="F11" s="300"/>
      <x:c r="G11" s="300"/>
      <x:c r="H11" s="54" t="s">
        <x:v>58</x:v>
      </x:c>
      <x:c r="I11" s="58"/>
      <x:c r="J11" s="54" t="s">
        <x:v>82</x:v>
      </x:c>
      <x:c r="K11" s="151"/>
    </x:row>
    <x:row r="12" spans="1:13" ht="21.949999999999999" customHeight="1">
      <x:c r="A12" s="59" t="s">
        <x:v>48</x:v>
      </x:c>
      <x:c r="B12" s="298" t="s">
        <x:v>42</x:v>
      </x:c>
      <x:c r="C12" s="79">
        <x:v>8</x:v>
      </x:c>
      <x:c r="D12" s="288" t="s">
        <x:v>133</x:v>
      </x:c>
      <x:c r="E12" s="289"/>
      <x:c r="F12" s="292">
        <x:v>8</x:v>
      </x:c>
      <x:c r="G12" s="293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9"/>
      <x:c r="C13" s="134">
        <x:f>SUM('1:22'!$C$12)</x:f>
        <x:v>172</x:v>
      </x:c>
      <x:c r="D13" s="280"/>
      <x:c r="E13" s="281"/>
      <x:c r="F13" s="290">
        <x:f>SUM('1:22'!$F$12)</x:f>
        <x:v>111</x:v>
      </x:c>
      <x:c r="G13" s="291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8" t="s">
        <x:v>64</x:v>
      </x:c>
      <x:c r="C14" s="79">
        <x:v>21</x:v>
      </x:c>
      <x:c r="D14" s="288" t="s">
        <x:v>95</x:v>
      </x:c>
      <x:c r="E14" s="289"/>
      <x:c r="F14" s="292">
        <x:v>9</x:v>
      </x:c>
      <x:c r="G14" s="293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9"/>
      <x:c r="C15" s="134">
        <x:f>SUM('1:22'!$C$14)</x:f>
        <x:v>464</x:v>
      </x:c>
      <x:c r="D15" s="280"/>
      <x:c r="E15" s="281"/>
      <x:c r="F15" s="290">
        <x:f>SUM('1:22'!$F$14)</x:f>
        <x:v>197</x:v>
      </x:c>
      <x:c r="G15" s="291"/>
      <x:c r="H15" s="54" t="s">
        <x:v>106</x:v>
      </x:c>
      <x:c r="I15" s="58"/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8" t="s">
        <x:v>51</x:v>
      </x:c>
      <x:c r="C16" s="79">
        <x:v>4</x:v>
      </x:c>
      <x:c r="D16" s="288" t="s">
        <x:v>117</x:v>
      </x:c>
      <x:c r="E16" s="289"/>
      <x:c r="F16" s="286">
        <x:v>10</x:v>
      </x:c>
      <x:c r="G16" s="286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9"/>
      <x:c r="C17" s="134">
        <x:f>SUM('1:22'!$C$16)</x:f>
        <x:v>101</x:v>
      </x:c>
      <x:c r="D17" s="280"/>
      <x:c r="E17" s="281"/>
      <x:c r="F17" s="287">
        <x:f>SUM('1:22'!$F$16)</x:f>
        <x:v>235</x:v>
      </x:c>
      <x:c r="G17" s="287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8" t="s">
        <x:v>91</x:v>
      </x:c>
      <x:c r="C18" s="79">
        <x:v>7</x:v>
      </x:c>
      <x:c r="D18" s="288" t="s">
        <x:v>130</x:v>
      </x:c>
      <x:c r="E18" s="289"/>
      <x:c r="F18" s="296">
        <x:v>3</x:v>
      </x:c>
      <x:c r="G18" s="297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9"/>
      <x:c r="C19" s="134">
        <x:f>SUM('1:22'!$C$18)</x:f>
        <x:v>237</x:v>
      </x:c>
      <x:c r="D19" s="280"/>
      <x:c r="E19" s="281"/>
      <x:c r="F19" s="287">
        <x:f>SUM('1:22'!$F$18)</x:f>
        <x:v>84</x:v>
      </x:c>
      <x:c r="G19" s="287"/>
      <x:c r="H19" s="58"/>
      <x:c r="I19" s="58"/>
      <x:c r="J19" s="54"/>
      <x:c r="K19" s="58"/>
      <x:c r="L19" s="60"/>
      <x:c r="M19" s="11"/>
    </x:row>
    <x:row r="20" spans="2:13" ht="21.949999999999999" customHeight="1">
      <x:c r="B20" s="52" t="s">
        <x:v>151</x:v>
      </x:c>
      <x:c r="D20" s="261" t="s">
        <x:v>113</x:v>
      </x:c>
      <x:c r="E20" s="261"/>
      <x:c r="F20" s="286">
        <x:v>50</x:v>
      </x:c>
      <x:c r="G20" s="286"/>
      <x:c r="H20" s="58"/>
      <x:c r="J20" s="54"/>
      <x:c r="K20" s="58"/>
      <x:c r="L20" s="60"/>
      <x:c r="M20" s="11"/>
    </x:row>
    <x:row r="21" spans="4:13" ht="21.949999999999999" customHeight="1">
      <x:c r="D21" s="261" t="s">
        <x:v>114</x:v>
      </x:c>
      <x:c r="E21" s="261"/>
      <x:c r="F21" s="287">
        <x:f>SUM('1:22'!$F$20)</x:f>
        <x:v>1247</x:v>
      </x:c>
      <x:c r="G21" s="287"/>
      <x:c r="H21" s="58"/>
      <x:c r="J21" s="54"/>
      <x:c r="K21" s="58"/>
      <x:c r="L21" s="60"/>
      <x:c r="M21" s="11"/>
    </x:row>
    <x:row r="22" spans="1:13" ht="32.100000000000001" customHeight="1">
      <x:c r="A22" s="260" t="s">
        <x:v>83</x:v>
      </x:c>
      <x:c r="B22" s="261"/>
      <x:c r="C22" s="285"/>
      <x:c r="D22" s="285"/>
      <x:c r="E22" s="285"/>
      <x:c r="F22" s="285"/>
      <x:c r="G22" s="285"/>
      <x:c r="H22" s="54"/>
      <x:c r="J22" s="54"/>
      <x:c r="K22" s="58"/>
      <x:c r="L22" s="60"/>
      <x:c r="M22" s="11"/>
    </x:row>
    <x:row r="23" spans="1:15" ht="34.149999999999999" customHeight="1">
      <x:c r="A23" s="260" t="s">
        <x:v>124</x:v>
      </x:c>
      <x:c r="B23" s="261"/>
      <x:c r="C23" s="316"/>
      <x:c r="D23" s="317"/>
      <x:c r="E23" s="317"/>
      <x:c r="F23" s="317"/>
      <x:c r="G23" s="317"/>
      <x:c r="H23" s="107" t="s">
        <x:v>94</x:v>
      </x:c>
      <x:c r="I23" s="108">
        <x:f>SUM(I4:I22)</x:f>
        <x:v>1491446</x:v>
      </x:c>
      <x:c r="J23" s="61" t="s">
        <x:v>119</x:v>
      </x:c>
      <x:c r="K23" s="62">
        <x:f>SUM(K4:K22)</x:f>
        <x:v>13000</x:v>
      </x:c>
      <x:c r="M23" s="88" t="s">
        <x:v>93</x:v>
      </x:c>
      <x:c r="N23" s="283">
        <x:f>C5+C6</x:f>
        <x:v>509500</x:v>
      </x:c>
      <x:c r="O23" s="284"/>
    </x:row>
    <x:row r="24" spans="1:11" ht="34.149999999999999" customHeight="1">
      <x:c r="A24" s="260" t="s">
        <x:v>8</x:v>
      </x:c>
      <x:c r="B24" s="261"/>
      <x:c r="C24" s="261" t="s">
        <x:v>86</x:v>
      </x:c>
      <x:c r="D24" s="261"/>
      <x:c r="E24" s="261" t="s">
        <x:v>101</x:v>
      </x:c>
      <x:c r="F24" s="261"/>
      <x:c r="G24" s="261"/>
      <x:c r="H24" s="107" t="s">
        <x:v>8</x:v>
      </x:c>
      <x:c r="I24" s="109">
        <x:f>I23/A25</x:f>
        <x:v>0.26604459507670353</x:v>
      </x:c>
      <x:c r="J24" s="61" t="s">
        <x:v>8</x:v>
      </x:c>
      <x:c r="K24" s="63">
        <x:f>K23/A25</x:f>
        <x:v>0.0023189439885836602</x:v>
      </x:c>
    </x:row>
    <x:row r="25" spans="1:11" ht="34.149999999999999" customHeight="1">
      <x:c r="A25" s="312">
        <x:f>C2</x:f>
        <x:v>5606000</x:v>
      </x:c>
      <x:c r="B25" s="276"/>
      <x:c r="C25" s="276">
        <x:f>E25/I1</x:f>
        <x:v>4323840.9090909092</x:v>
      </x:c>
      <x:c r="D25" s="276"/>
      <x:c r="E25" s="276">
        <x:f>SUM('1:22'!$A$25)</x:f>
        <x:v>95124500</x:v>
      </x:c>
      <x:c r="F25" s="276"/>
      <x:c r="G25" s="276"/>
      <x:c r="H25" s="107" t="s">
        <x:v>33</x:v>
      </x:c>
      <x:c r="I25" s="108">
        <x:f>SUM('1'!$I$23)</x:f>
        <x:v>2230104</x:v>
      </x:c>
      <x:c r="J25" s="61" t="s">
        <x:v>33</x:v>
      </x:c>
      <x:c r="K25" s="62">
        <x:f>SUM('1:22'!$K$21)</x:f>
        <x:v>0</x:v>
      </x:c>
    </x:row>
    <x:row r="26" spans="1:11" ht="34.149999999999999" customHeight="1">
      <x:c r="A26" s="260" t="s">
        <x:v>142</x:v>
      </x:c>
      <x:c r="B26" s="261"/>
      <x:c r="C26" s="261"/>
      <x:c r="D26" s="261"/>
      <x:c r="E26" s="262"/>
      <x:c r="F26" s="262"/>
      <x:c r="G26" s="262"/>
      <x:c r="H26" s="107" t="s">
        <x:v>128</x:v>
      </x:c>
      <x:c r="I26" s="110">
        <x:f>I25/$E$25</x:f>
        <x:v>0.023444054896477773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8" t="s">
        <x:v>141</x:v>
      </x:c>
      <x:c r="B27" s="54" t="s">
        <x:v>44</x:v>
      </x:c>
      <x:c r="C27" s="276">
        <x:f>4000000/30</x:f>
        <x:v>133333.33333333334</x:v>
      </x:c>
      <x:c r="D27" s="276"/>
      <x:c r="E27" s="55" t="s">
        <x:v>147</x:v>
      </x:c>
      <x:c r="F27" s="262">
        <x:f>13000*5</x:f>
        <x:v>65000</x:v>
      </x:c>
      <x:c r="G27" s="262"/>
      <x:c r="H27" s="111" t="s">
        <x:v>118</x:v>
      </x:c>
      <x:c r="I27" s="112">
        <x:f>SUM(C27:D34,F27:G32)</x:f>
        <x:v>817133.33333333337</x:v>
      </x:c>
      <x:c r="M27" s="66"/>
    </x:row>
    <x:row r="28" spans="1:13" ht="30.949999999999999" customHeight="1">
      <x:c r="A28" s="319"/>
      <x:c r="B28" s="54" t="s">
        <x:v>23</x:v>
      </x:c>
      <x:c r="C28" s="276">
        <x:f>3800000/30</x:f>
        <x:v>126666.66666666667</x:v>
      </x:c>
      <x:c r="D28" s="276"/>
      <x:c r="E28" s="55" t="s">
        <x:v>149</x:v>
      </x:c>
      <x:c r="F28" s="276">
        <x:f>1500000/30</x:f>
        <x:v>50000</x:v>
      </x:c>
      <x:c r="G28" s="276"/>
      <x:c r="H28" s="111" t="s">
        <x:v>8</x:v>
      </x:c>
      <x:c r="I28" s="113">
        <x:f>I27/$A$25</x:f>
        <x:v>0.14576049470805091</x:v>
      </x:c>
      <x:c r="M28" s="66"/>
    </x:row>
    <x:row r="29" spans="1:13" ht="30.949999999999999" customHeight="1">
      <x:c r="A29" s="319"/>
      <x:c r="B29" s="54" t="s">
        <x:v>47</x:v>
      </x:c>
      <x:c r="C29" s="276">
        <x:f>3200000/30</x:f>
        <x:v>106666.66666666667</x:v>
      </x:c>
      <x:c r="D29" s="276"/>
      <x:c r="E29" s="54" t="s">
        <x:v>57</x:v>
      </x:c>
      <x:c r="F29" s="262">
        <x:f>11700*4</x:f>
        <x:v>46800</x:v>
      </x:c>
      <x:c r="G29" s="262"/>
      <x:c r="H29" s="111" t="s">
        <x:v>33</x:v>
      </x:c>
      <x:c r="I29" s="112">
        <x:f>SUM('1:22'!$I$25)</x:f>
        <x:v>49062288</x:v>
      </x:c>
      <x:c r="M29" s="66"/>
    </x:row>
    <x:row r="30" spans="1:13" ht="30.949999999999999" customHeight="1">
      <x:c r="A30" s="319"/>
      <x:c r="B30" s="54"/>
      <x:c r="C30" s="315"/>
      <x:c r="D30" s="315"/>
      <x:c r="E30" s="55"/>
      <x:c r="F30" s="310"/>
      <x:c r="G30" s="311"/>
      <x:c r="H30" s="111" t="s">
        <x:v>128</x:v>
      </x:c>
      <x:c r="I30" s="113">
        <x:f>I29/$I$27</x:f>
        <x:v>60.041961328220609</x:v>
      </x:c>
      <x:c r="M30" s="66"/>
    </x:row>
    <x:row r="31" spans="1:7" customHeight="1">
      <x:c r="A31" s="319"/>
      <x:c r="B31" s="54" t="s">
        <x:v>41</x:v>
      </x:c>
      <x:c r="C31" s="313">
        <x:f>3500000/30</x:f>
        <x:v>116666.66666666667</x:v>
      </x:c>
      <x:c r="D31" s="314"/>
      <x:c r="E31" s="55" t="s">
        <x:v>4</x:v>
      </x:c>
      <x:c r="F31" s="310">
        <x:v>120000</x:v>
      </x:c>
      <x:c r="G31" s="311"/>
    </x:row>
    <x:row r="32" spans="1:7" customHeight="1">
      <x:c r="A32" s="319"/>
      <x:c r="B32" s="54"/>
      <x:c r="C32" s="308"/>
      <x:c r="D32" s="309"/>
      <x:c r="E32" s="55" t="s">
        <x:v>138</x:v>
      </x:c>
      <x:c r="F32" s="310"/>
      <x:c r="G32" s="311"/>
    </x:row>
    <x:row r="33" spans="1:4" customHeight="1">
      <x:c r="A33" s="319"/>
      <x:c r="B33" s="54" t="s">
        <x:v>21</x:v>
      </x:c>
      <x:c r="C33" s="308">
        <x:v>52000</x:v>
      </x:c>
      <x:c r="D33" s="309"/>
    </x:row>
    <x:row r="34" spans="1:4" customHeight="1">
      <x:c r="A34" s="320"/>
      <x:c r="B34" s="54"/>
      <x:c r="C34" s="310"/>
      <x:c r="D34" s="311"/>
    </x:row>
  </x:sheetData>
  <x:mergeCells count="74">
    <x:mergeCell ref="F32:G32"/>
    <x:mergeCell ref="A25:B25"/>
    <x:mergeCell ref="C25:D25"/>
    <x:mergeCell ref="E25:G25"/>
    <x:mergeCell ref="A26:B26"/>
    <x:mergeCell ref="F27:G27"/>
    <x:mergeCell ref="C27:D27"/>
    <x:mergeCell ref="C29:D29"/>
    <x:mergeCell ref="F29:G29"/>
    <x:mergeCell ref="C30:D30"/>
    <x:mergeCell ref="A24:B24"/>
    <x:mergeCell ref="C24:D24"/>
    <x:mergeCell ref="E24:G24"/>
    <x:mergeCell ref="A22:B22"/>
    <x:mergeCell ref="C22:G22"/>
    <x:mergeCell ref="B16:B17"/>
    <x:mergeCell ref="F15:G15"/>
    <x:mergeCell ref="A23:B23"/>
    <x:mergeCell ref="C23:G23"/>
    <x:mergeCell ref="F16:G16"/>
    <x:mergeCell ref="F17:G17"/>
    <x:mergeCell ref="B18:B19"/>
    <x:mergeCell ref="A6:B7"/>
    <x:mergeCell ref="A11:B11"/>
    <x:mergeCell ref="C11:G11"/>
    <x:mergeCell ref="B12:B13"/>
    <x:mergeCell ref="B14:B15"/>
    <x:mergeCell ref="F12:G12"/>
    <x:mergeCell ref="A10:B10"/>
    <x:mergeCell ref="C10:D10"/>
    <x:mergeCell ref="E10:F10"/>
    <x:mergeCell ref="A8:B9"/>
    <x:mergeCell ref="C8:D9"/>
    <x:mergeCell ref="F14:G14"/>
    <x:mergeCell ref="C6:D7"/>
    <x:mergeCell ref="E6:F7"/>
    <x:mergeCell ref="E8:F9"/>
    <x:mergeCell ref="A5:B5"/>
    <x:mergeCell ref="C5:D5"/>
    <x:mergeCell ref="E5:F5"/>
    <x:mergeCell ref="E2:F3"/>
    <x:mergeCell ref="G2:G3"/>
    <x:mergeCell ref="A4:B4"/>
    <x:mergeCell ref="C4:D4"/>
    <x:mergeCell ref="E4:F4"/>
    <x:mergeCell ref="A2:B3"/>
    <x:mergeCell ref="C2:D3"/>
    <x:mergeCell ref="N23:O23"/>
    <x:mergeCell ref="G6:G7"/>
    <x:mergeCell ref="G8:G9"/>
    <x:mergeCell ref="C26:D26"/>
    <x:mergeCell ref="E26:G26"/>
    <x:mergeCell ref="F13:G13"/>
    <x:mergeCell ref="F18:G18"/>
    <x:mergeCell ref="F19:G19"/>
    <x:mergeCell ref="J2:K2"/>
    <x:mergeCell ref="H2:I2"/>
    <x:mergeCell ref="A27:A34"/>
    <x:mergeCell ref="C32:D32"/>
    <x:mergeCell ref="C33:D33"/>
    <x:mergeCell ref="C34:D34"/>
    <x:mergeCell ref="C31:D31"/>
    <x:mergeCell ref="F31:G31"/>
    <x:mergeCell ref="D20:E20"/>
    <x:mergeCell ref="F20:G20"/>
    <x:mergeCell ref="D21:E21"/>
    <x:mergeCell ref="F21:G21"/>
    <x:mergeCell ref="C28:D28"/>
    <x:mergeCell ref="F28:G28"/>
    <x:mergeCell ref="F30:G30"/>
    <x:mergeCell ref="D14:E15"/>
    <x:mergeCell ref="D12:E13"/>
    <x:mergeCell ref="D18:E19"/>
    <x:mergeCell ref="D16:E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5"/>
  <x:dimension ref="A1:O34"/>
  <x:sheetViews>
    <x:sheetView topLeftCell="A1" zoomScale="85" zoomScaleNormal="85" zoomScaleSheetLayoutView="75" workbookViewId="0">
      <x:selection activeCell="J34" activeCellId="0" sqref="J34:J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" width="8.625" style="53"/>
    <x:col min="17" max="17" width="8.625" style="53" bestFit="1" customWidth="1"/>
    <x:col min="18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152</x:v>
      </x:c>
      <x:c r="F1" s="68">
        <x:v>23</x:v>
      </x:c>
      <x:c r="G1" s="68" t="s">
        <x:v>62</x:v>
      </x:c>
      <x:c r="H1" s="52" t="s">
        <x:v>123</x:v>
      </x:c>
      <x:c r="I1" s="52">
        <x:f>F1-K1</x:f>
        <x:v>23</x:v>
      </x:c>
      <x:c r="J1" s="52" t="s">
        <x:v>98</x:v>
      </x:c>
      <x:c r="K1" s="52"/>
    </x:row>
    <x:row r="2" spans="1:11" ht="20.100000000000001" customHeight="1">
      <x:c r="A2" s="271" t="s">
        <x:v>9</x:v>
      </x:c>
      <x:c r="B2" s="272"/>
      <x:c r="C2" s="275">
        <x:f>SUM(C4:D7)</x:f>
        <x:v>5849000</x:v>
      </x:c>
      <x:c r="D2" s="275"/>
      <x:c r="E2" s="278" t="s">
        <x:v>40</x:v>
      </x:c>
      <x:c r="F2" s="279"/>
      <x:c r="G2" s="267">
        <x:v>82000</x:v>
      </x:c>
      <x:c r="H2" s="265" t="s">
        <x:v>6</x:v>
      </x:c>
      <x:c r="I2" s="266"/>
      <x:c r="J2" s="263" t="s">
        <x:v>74</x:v>
      </x:c>
      <x:c r="K2" s="264"/>
    </x:row>
    <x:row r="3" spans="1:11" ht="20.100000000000001" customHeight="1">
      <x:c r="A3" s="273"/>
      <x:c r="B3" s="274"/>
      <x:c r="C3" s="276"/>
      <x:c r="D3" s="276"/>
      <x:c r="E3" s="280"/>
      <x:c r="F3" s="281"/>
      <x:c r="G3" s="268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9" t="s">
        <x:v>22</x:v>
      </x:c>
      <x:c r="B4" s="270"/>
      <x:c r="C4" s="262">
        <x:v>5331000</x:v>
      </x:c>
      <x:c r="D4" s="262"/>
      <x:c r="E4" s="277" t="s">
        <x:v>146</x:v>
      </x:c>
      <x:c r="F4" s="277"/>
      <x:c r="G4" s="133">
        <x:f>INT(C4*0.0275)</x:f>
        <x:v>146602</x:v>
      </x:c>
      <x:c r="H4" s="54" t="s">
        <x:v>20</x:v>
      </x:c>
      <x:c r="I4" s="124">
        <x:v>2470258</x:v>
      </x:c>
      <x:c r="J4" s="80" t="s">
        <x:v>36</x:v>
      </x:c>
      <x:c r="K4" s="58"/>
    </x:row>
    <x:row r="5" spans="1:11" ht="30.949999999999999" customHeight="1">
      <x:c r="A5" s="269" t="s">
        <x:v>61</x:v>
      </x:c>
      <x:c r="B5" s="270"/>
      <x:c r="C5" s="262">
        <x:v>518000</x:v>
      </x:c>
      <x:c r="D5" s="262"/>
      <x:c r="E5" s="261" t="s">
        <x:v>70</x:v>
      </x:c>
      <x:c r="F5" s="261"/>
      <x:c r="G5" s="133">
        <x:f>INT(C5*0.01)</x:f>
        <x:v>5180</x:v>
      </x:c>
      <x:c r="H5" s="54" t="s">
        <x:v>6</x:v>
      </x:c>
      <x:c r="I5" s="124">
        <x:v>60460</x:v>
      </x:c>
      <x:c r="J5" s="81"/>
      <x:c r="K5" s="58"/>
    </x:row>
    <x:row r="6" spans="1:11" ht="21.949999999999999" customHeight="1">
      <x:c r="A6" s="256" t="s">
        <x:v>84</x:v>
      </x:c>
      <x:c r="B6" s="257"/>
      <x:c r="C6" s="301"/>
      <x:c r="D6" s="302"/>
      <x:c r="E6" s="288" t="s">
        <x:v>131</x:v>
      </x:c>
      <x:c r="F6" s="289"/>
      <x:c r="G6" s="282">
        <x:v>420000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8"/>
      <x:c r="B7" s="259"/>
      <x:c r="C7" s="303"/>
      <x:c r="D7" s="304"/>
      <x:c r="E7" s="280"/>
      <x:c r="F7" s="281"/>
      <x:c r="G7" s="268"/>
      <x:c r="H7" s="54" t="s">
        <x:v>24</x:v>
      </x:c>
      <x:c r="I7" s="124"/>
      <x:c r="J7" s="81" t="s">
        <x:v>116</x:v>
      </x:c>
      <x:c r="K7" s="58"/>
    </x:row>
    <x:row r="8" spans="1:11" ht="21.949999999999999" customHeight="1">
      <x:c r="A8" s="260" t="s">
        <x:v>134</x:v>
      </x:c>
      <x:c r="B8" s="261"/>
      <x:c r="C8" s="262">
        <x:v>180000</x:v>
      </x:c>
      <x:c r="D8" s="262"/>
      <x:c r="E8" s="288" t="s">
        <x:v>110</x:v>
      </x:c>
      <x:c r="F8" s="289"/>
      <x:c r="G8" s="294">
        <x:f>C5+G2-G6-C22</x:f>
        <x:v>180000</x:v>
      </x:c>
      <x:c r="H8" s="54" t="s">
        <x:v>45</x:v>
      </x:c>
      <x:c r="I8" s="124"/>
      <x:c r="J8" s="81"/>
      <x:c r="K8" s="58"/>
    </x:row>
    <x:row r="9" spans="1:11" ht="21.949999999999999" customHeight="1">
      <x:c r="A9" s="260"/>
      <x:c r="B9" s="261"/>
      <x:c r="C9" s="262"/>
      <x:c r="D9" s="262"/>
      <x:c r="E9" s="280"/>
      <x:c r="F9" s="281"/>
      <x:c r="G9" s="295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143</x:v>
      </x:c>
      <x:c r="B10" s="261"/>
      <x:c r="C10" s="262"/>
      <x:c r="D10" s="262"/>
      <x:c r="E10" s="261" t="s">
        <x:v>87</x:v>
      </x:c>
      <x:c r="F10" s="261"/>
      <x:c r="G10" s="55"/>
      <x:c r="H10" s="54"/>
      <x:c r="I10" s="124"/>
      <x:c r="J10" s="54" t="s">
        <x:v>53</x:v>
      </x:c>
      <x:c r="K10" s="58"/>
    </x:row>
    <x:row r="11" spans="1:11" ht="33" customHeight="1">
      <x:c r="A11" s="260" t="s">
        <x:v>103</x:v>
      </x:c>
      <x:c r="B11" s="261"/>
      <x:c r="C11" s="300"/>
      <x:c r="D11" s="300"/>
      <x:c r="E11" s="300"/>
      <x:c r="F11" s="300"/>
      <x:c r="G11" s="300"/>
      <x:c r="H11" s="54" t="s">
        <x:v>58</x:v>
      </x:c>
      <x:c r="I11" s="58"/>
      <x:c r="J11" s="54" t="s">
        <x:v>82</x:v>
      </x:c>
      <x:c r="K11" s="151"/>
    </x:row>
    <x:row r="12" spans="1:13" ht="21.949999999999999" customHeight="1">
      <x:c r="A12" s="59" t="s">
        <x:v>48</x:v>
      </x:c>
      <x:c r="B12" s="298" t="s">
        <x:v>42</x:v>
      </x:c>
      <x:c r="C12" s="79">
        <x:v>2</x:v>
      </x:c>
      <x:c r="D12" s="288" t="s">
        <x:v>133</x:v>
      </x:c>
      <x:c r="E12" s="289"/>
      <x:c r="F12" s="292">
        <x:v>9</x:v>
      </x:c>
      <x:c r="G12" s="293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9"/>
      <x:c r="C13" s="134">
        <x:f>SUM('1:23'!$C$12)</x:f>
        <x:v>174</x:v>
      </x:c>
      <x:c r="D13" s="280"/>
      <x:c r="E13" s="281"/>
      <x:c r="F13" s="290">
        <x:f>SUM('1:23'!$F$12)</x:f>
        <x:v>120</x:v>
      </x:c>
      <x:c r="G13" s="291"/>
      <x:c r="H13" s="54" t="s">
        <x:v>126</x:v>
      </x:c>
      <x:c r="I13" s="58">
        <x:v>240000</x:v>
      </x:c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8" t="s">
        <x:v>64</x:v>
      </x:c>
      <x:c r="C14" s="79">
        <x:v>14</x:v>
      </x:c>
      <x:c r="D14" s="288" t="s">
        <x:v>95</x:v>
      </x:c>
      <x:c r="E14" s="289"/>
      <x:c r="F14" s="292">
        <x:v>7</x:v>
      </x:c>
      <x:c r="G14" s="293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9"/>
      <x:c r="C15" s="134">
        <x:f>SUM('1:23'!$C$14)</x:f>
        <x:v>478</x:v>
      </x:c>
      <x:c r="D15" s="280"/>
      <x:c r="E15" s="281"/>
      <x:c r="F15" s="290">
        <x:f>SUM('1:23'!$F$14)</x:f>
        <x:v>204</x:v>
      </x:c>
      <x:c r="G15" s="291"/>
      <x:c r="H15" s="54" t="s">
        <x:v>106</x:v>
      </x:c>
      <x:c r="I15" s="58">
        <x:v>301700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8" t="s">
        <x:v>51</x:v>
      </x:c>
      <x:c r="C16" s="79">
        <x:v>2</x:v>
      </x:c>
      <x:c r="D16" s="288" t="s">
        <x:v>117</x:v>
      </x:c>
      <x:c r="E16" s="289"/>
      <x:c r="F16" s="286">
        <x:v>13</x:v>
      </x:c>
      <x:c r="G16" s="286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9"/>
      <x:c r="C17" s="134">
        <x:f>SUM('1:23'!$C$16)</x:f>
        <x:v>103</x:v>
      </x:c>
      <x:c r="D17" s="280"/>
      <x:c r="E17" s="281"/>
      <x:c r="F17" s="287">
        <x:f>SUM('1:23'!$F$16)</x:f>
        <x:v>248</x:v>
      </x:c>
      <x:c r="G17" s="287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8" t="s">
        <x:v>91</x:v>
      </x:c>
      <x:c r="C18" s="79">
        <x:v>12</x:v>
      </x:c>
      <x:c r="D18" s="288" t="s">
        <x:v>130</x:v>
      </x:c>
      <x:c r="E18" s="289"/>
      <x:c r="F18" s="296">
        <x:v>8</x:v>
      </x:c>
      <x:c r="G18" s="297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9"/>
      <x:c r="C19" s="134">
        <x:f>SUM('1:23'!$C$18)</x:f>
        <x:v>249</x:v>
      </x:c>
      <x:c r="D19" s="280"/>
      <x:c r="E19" s="281"/>
      <x:c r="F19" s="287">
        <x:f>SUM('1:23'!$F$18)</x:f>
        <x:v>92</x:v>
      </x:c>
      <x:c r="G19" s="287"/>
      <x:c r="H19" s="58"/>
      <x:c r="I19" s="58"/>
      <x:c r="J19" s="54"/>
      <x:c r="K19" s="58"/>
      <x:c r="L19" s="60"/>
      <x:c r="M19" s="11"/>
    </x:row>
    <x:row r="20" spans="2:13" ht="21.949999999999999" customHeight="1">
      <x:c r="B20" s="52" t="s">
        <x:v>151</x:v>
      </x:c>
      <x:c r="D20" s="261" t="s">
        <x:v>113</x:v>
      </x:c>
      <x:c r="E20" s="261"/>
      <x:c r="F20" s="286">
        <x:v>40</x:v>
      </x:c>
      <x:c r="G20" s="286"/>
      <x:c r="H20" s="58"/>
      <x:c r="J20" s="54"/>
      <x:c r="K20" s="58"/>
      <x:c r="L20" s="60"/>
      <x:c r="M20" s="11"/>
    </x:row>
    <x:row r="21" spans="4:13" ht="21.949999999999999" customHeight="1">
      <x:c r="D21" s="261" t="s">
        <x:v>114</x:v>
      </x:c>
      <x:c r="E21" s="261"/>
      <x:c r="F21" s="287">
        <x:f>SUM('1:23'!$F$20)</x:f>
        <x:v>1287</x:v>
      </x:c>
      <x:c r="G21" s="287"/>
      <x:c r="H21" s="58"/>
      <x:c r="J21" s="54"/>
      <x:c r="K21" s="58"/>
      <x:c r="L21" s="60"/>
      <x:c r="M21" s="11"/>
    </x:row>
    <x:row r="22" spans="1:13" ht="32.100000000000001" customHeight="1">
      <x:c r="A22" s="260" t="s">
        <x:v>83</x:v>
      </x:c>
      <x:c r="B22" s="261"/>
      <x:c r="C22" s="285"/>
      <x:c r="D22" s="285"/>
      <x:c r="E22" s="285"/>
      <x:c r="F22" s="285"/>
      <x:c r="G22" s="285"/>
      <x:c r="H22" s="54"/>
      <x:c r="J22" s="54"/>
      <x:c r="K22" s="58"/>
      <x:c r="L22" s="60"/>
      <x:c r="M22" s="11"/>
    </x:row>
    <x:row r="23" spans="1:15" ht="34.149999999999999" customHeight="1">
      <x:c r="A23" s="260" t="s">
        <x:v>124</x:v>
      </x:c>
      <x:c r="B23" s="261"/>
      <x:c r="C23" s="316"/>
      <x:c r="D23" s="317"/>
      <x:c r="E23" s="317"/>
      <x:c r="F23" s="317"/>
      <x:c r="G23" s="317"/>
      <x:c r="H23" s="107" t="s">
        <x:v>94</x:v>
      </x:c>
      <x:c r="I23" s="108">
        <x:f>SUM(I4:I22)</x:f>
        <x:v>3072418</x:v>
      </x:c>
      <x:c r="J23" s="61" t="s">
        <x:v>119</x:v>
      </x:c>
      <x:c r="K23" s="62">
        <x:f>SUM(K4:K22)</x:f>
        <x:v>0</x:v>
      </x:c>
      <x:c r="M23" s="88" t="s">
        <x:v>93</x:v>
      </x:c>
      <x:c r="N23" s="283">
        <x:f>C5+C6</x:f>
        <x:v>518000</x:v>
      </x:c>
      <x:c r="O23" s="284"/>
    </x:row>
    <x:row r="24" spans="1:11" ht="34.149999999999999" customHeight="1">
      <x:c r="A24" s="260" t="s">
        <x:v>8</x:v>
      </x:c>
      <x:c r="B24" s="261"/>
      <x:c r="C24" s="261" t="s">
        <x:v>86</x:v>
      </x:c>
      <x:c r="D24" s="261"/>
      <x:c r="E24" s="261" t="s">
        <x:v>101</x:v>
      </x:c>
      <x:c r="F24" s="261"/>
      <x:c r="G24" s="261"/>
      <x:c r="H24" s="107" t="s">
        <x:v>8</x:v>
      </x:c>
      <x:c r="I24" s="109">
        <x:f>I23/A25</x:f>
        <x:v>0.52528945118823733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12">
        <x:f>C2</x:f>
        <x:v>5849000</x:v>
      </x:c>
      <x:c r="B25" s="276"/>
      <x:c r="C25" s="276">
        <x:f>E25/I1</x:f>
        <x:v>4390152.1739130439</x:v>
      </x:c>
      <x:c r="D25" s="276"/>
      <x:c r="E25" s="276">
        <x:f>SUM('1:23'!$A$25)</x:f>
        <x:v>100973500</x:v>
      </x:c>
      <x:c r="F25" s="276"/>
      <x:c r="G25" s="276"/>
      <x:c r="H25" s="107" t="s">
        <x:v>33</x:v>
      </x:c>
      <x:c r="I25" s="108">
        <x:f>SUM('1'!$I$23)</x:f>
        <x:v>2230104</x:v>
      </x:c>
      <x:c r="J25" s="61" t="s">
        <x:v>33</x:v>
      </x:c>
      <x:c r="K25" s="62">
        <x:f>SUM('1:23'!$K$21)</x:f>
        <x:v>0</x:v>
      </x:c>
    </x:row>
    <x:row r="26" spans="1:11" ht="34.149999999999999" customHeight="1">
      <x:c r="A26" s="260" t="s">
        <x:v>142</x:v>
      </x:c>
      <x:c r="B26" s="261"/>
      <x:c r="C26" s="261"/>
      <x:c r="D26" s="261"/>
      <x:c r="E26" s="262"/>
      <x:c r="F26" s="262"/>
      <x:c r="G26" s="262"/>
      <x:c r="H26" s="107" t="s">
        <x:v>128</x:v>
      </x:c>
      <x:c r="I26" s="110">
        <x:f>I25/$E$25</x:f>
        <x:v>0.022086032473866906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8" t="s">
        <x:v>141</x:v>
      </x:c>
      <x:c r="B27" s="54" t="s">
        <x:v>44</x:v>
      </x:c>
      <x:c r="C27" s="276">
        <x:f>4000000/30</x:f>
        <x:v>133333.33333333334</x:v>
      </x:c>
      <x:c r="D27" s="276"/>
      <x:c r="E27" s="55" t="s">
        <x:v>147</x:v>
      </x:c>
      <x:c r="F27" s="262">
        <x:f>13000*5</x:f>
        <x:v>65000</x:v>
      </x:c>
      <x:c r="G27" s="262"/>
      <x:c r="H27" s="111" t="s">
        <x:v>118</x:v>
      </x:c>
      <x:c r="I27" s="112">
        <x:f>SUM(C27:D34,F27:G32)</x:f>
        <x:v>826483.33333333337</x:v>
      </x:c>
      <x:c r="M27" s="66"/>
    </x:row>
    <x:row r="28" spans="1:13" ht="30.949999999999999" customHeight="1">
      <x:c r="A28" s="319"/>
      <x:c r="B28" s="54" t="s">
        <x:v>23</x:v>
      </x:c>
      <x:c r="C28" s="276">
        <x:f>3800000/30</x:f>
        <x:v>126666.66666666667</x:v>
      </x:c>
      <x:c r="D28" s="276"/>
      <x:c r="E28" s="55" t="s">
        <x:v>149</x:v>
      </x:c>
      <x:c r="F28" s="276">
        <x:f>1500000/30</x:f>
        <x:v>50000</x:v>
      </x:c>
      <x:c r="G28" s="276"/>
      <x:c r="H28" s="111" t="s">
        <x:v>8</x:v>
      </x:c>
      <x:c r="I28" s="113">
        <x:f>I27/$A$25</x:f>
        <x:v>0.14130335669915087</x:v>
      </x:c>
      <x:c r="M28" s="66" t="s">
        <x:v>63</x:v>
      </x:c>
    </x:row>
    <x:row r="29" spans="1:13" ht="30.949999999999999" customHeight="1">
      <x:c r="A29" s="319"/>
      <x:c r="B29" s="54" t="s">
        <x:v>47</x:v>
      </x:c>
      <x:c r="C29" s="276">
        <x:f>3200000/30</x:f>
        <x:v>106666.66666666667</x:v>
      </x:c>
      <x:c r="D29" s="276"/>
      <x:c r="E29" s="54" t="s">
        <x:v>57</x:v>
      </x:c>
      <x:c r="F29" s="262">
        <x:v>52650</x:v>
      </x:c>
      <x:c r="G29" s="262"/>
      <x:c r="H29" s="111" t="s">
        <x:v>33</x:v>
      </x:c>
      <x:c r="I29" s="112">
        <x:f>SUM('1:23'!$I$25)</x:f>
        <x:v>51292392</x:v>
      </x:c>
      <x:c r="M29" s="66"/>
    </x:row>
    <x:row r="30" spans="1:13" ht="30.949999999999999" customHeight="1">
      <x:c r="A30" s="319"/>
      <x:c r="B30" s="54"/>
      <x:c r="C30" s="315"/>
      <x:c r="D30" s="315"/>
      <x:c r="E30" s="55"/>
      <x:c r="F30" s="310"/>
      <x:c r="G30" s="311"/>
      <x:c r="H30" s="111" t="s">
        <x:v>128</x:v>
      </x:c>
      <x:c r="I30" s="113">
        <x:f>I29/$I$27</x:f>
        <x:v>62.061011917965672</x:v>
      </x:c>
      <x:c r="M30" s="66"/>
    </x:row>
    <x:row r="31" spans="1:7" customHeight="1">
      <x:c r="A31" s="319"/>
      <x:c r="B31" s="54" t="s">
        <x:v>41</x:v>
      </x:c>
      <x:c r="C31" s="313">
        <x:f>3500000/30</x:f>
        <x:v>116666.66666666667</x:v>
      </x:c>
      <x:c r="D31" s="314"/>
      <x:c r="E31" s="55" t="s">
        <x:v>4</x:v>
      </x:c>
      <x:c r="F31" s="310">
        <x:v>130000</x:v>
      </x:c>
      <x:c r="G31" s="311"/>
    </x:row>
    <x:row r="32" spans="1:7" customHeight="1">
      <x:c r="A32" s="319"/>
      <x:c r="B32" s="54"/>
      <x:c r="C32" s="308"/>
      <x:c r="D32" s="309"/>
      <x:c r="E32" s="55" t="s">
        <x:v>138</x:v>
      </x:c>
      <x:c r="F32" s="310"/>
      <x:c r="G32" s="311"/>
    </x:row>
    <x:row r="33" spans="1:4" customHeight="1">
      <x:c r="A33" s="319"/>
      <x:c r="B33" s="54" t="s">
        <x:v>21</x:v>
      </x:c>
      <x:c r="C33" s="308">
        <x:f>13000*3.5</x:f>
        <x:v>45500</x:v>
      </x:c>
      <x:c r="D33" s="309"/>
    </x:row>
    <x:row r="34" spans="1:4" customHeight="1">
      <x:c r="A34" s="320"/>
      <x:c r="B34" s="54"/>
      <x:c r="C34" s="310"/>
      <x:c r="D34" s="311"/>
    </x:row>
  </x:sheetData>
  <x:mergeCells count="74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32:G32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6"/>
  <x:dimension ref="A1:O34"/>
  <x:sheetViews>
    <x:sheetView topLeftCell="A4" zoomScale="85" zoomScaleNormal="85" zoomScaleSheetLayoutView="75" workbookViewId="0">
      <x:selection activeCell="J34" activeCellId="0" sqref="J34:J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152</x:v>
      </x:c>
      <x:c r="F1" s="68">
        <x:v>24</x:v>
      </x:c>
      <x:c r="G1" s="68" t="s">
        <x:v>27</x:v>
      </x:c>
      <x:c r="H1" s="52" t="s">
        <x:v>123</x:v>
      </x:c>
      <x:c r="I1" s="52">
        <x:f>F1-K1</x:f>
        <x:v>24</x:v>
      </x:c>
      <x:c r="J1" s="52" t="s">
        <x:v>98</x:v>
      </x:c>
      <x:c r="K1" s="52"/>
    </x:row>
    <x:row r="2" spans="1:11" ht="20.100000000000001" customHeight="1">
      <x:c r="A2" s="271" t="s">
        <x:v>9</x:v>
      </x:c>
      <x:c r="B2" s="272"/>
      <x:c r="C2" s="275">
        <x:f>SUM(C4:D7)</x:f>
        <x:v>1652000</x:v>
      </x:c>
      <x:c r="D2" s="275"/>
      <x:c r="E2" s="278" t="s">
        <x:v>40</x:v>
      </x:c>
      <x:c r="F2" s="279"/>
      <x:c r="G2" s="267">
        <x:v>180000</x:v>
      </x:c>
      <x:c r="H2" s="265" t="s">
        <x:v>6</x:v>
      </x:c>
      <x:c r="I2" s="266"/>
      <x:c r="J2" s="263" t="s">
        <x:v>74</x:v>
      </x:c>
      <x:c r="K2" s="264"/>
    </x:row>
    <x:row r="3" spans="1:11" ht="20.100000000000001" customHeight="1">
      <x:c r="A3" s="273"/>
      <x:c r="B3" s="274"/>
      <x:c r="C3" s="276"/>
      <x:c r="D3" s="276"/>
      <x:c r="E3" s="280"/>
      <x:c r="F3" s="281"/>
      <x:c r="G3" s="268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363" t="s">
        <x:v>22</x:v>
      </x:c>
      <x:c r="B4" s="270"/>
      <x:c r="C4" s="262">
        <x:v>1381000</x:v>
      </x:c>
      <x:c r="D4" s="262"/>
      <x:c r="E4" s="277" t="s">
        <x:v>146</x:v>
      </x:c>
      <x:c r="F4" s="277"/>
      <x:c r="G4" s="133">
        <x:f>INT(C4*0.0275)</x:f>
        <x:v>37977</x:v>
      </x:c>
      <x:c r="H4" s="54" t="s">
        <x:v>20</x:v>
      </x:c>
      <x:c r="I4" s="124"/>
      <x:c r="J4" s="80" t="s">
        <x:v>36</x:v>
      </x:c>
      <x:c r="K4" s="58">
        <x:v>294000</x:v>
      </x:c>
    </x:row>
    <x:row r="5" spans="1:11" ht="30.949999999999999" customHeight="1">
      <x:c r="A5" s="269" t="s">
        <x:v>61</x:v>
      </x:c>
      <x:c r="B5" s="270"/>
      <x:c r="C5" s="262">
        <x:v>271000</x:v>
      </x:c>
      <x:c r="D5" s="262"/>
      <x:c r="E5" s="261" t="s">
        <x:v>70</x:v>
      </x:c>
      <x:c r="F5" s="261"/>
      <x:c r="G5" s="133">
        <x:f>INT(C5*0.01)</x:f>
        <x:v>2710</x:v>
      </x:c>
      <x:c r="H5" s="54" t="s">
        <x:v>6</x:v>
      </x:c>
      <x:c r="I5" s="124">
        <x:v>240756</x:v>
      </x:c>
      <x:c r="J5" s="81"/>
      <x:c r="K5" s="58"/>
    </x:row>
    <x:row r="6" spans="1:11" ht="21.949999999999999" customHeight="1">
      <x:c r="A6" s="256" t="s">
        <x:v>84</x:v>
      </x:c>
      <x:c r="B6" s="257"/>
      <x:c r="C6" s="301"/>
      <x:c r="D6" s="302"/>
      <x:c r="E6" s="288" t="s">
        <x:v>131</x:v>
      </x:c>
      <x:c r="F6" s="289"/>
      <x:c r="G6" s="282">
        <x:v>350000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8"/>
      <x:c r="B7" s="259"/>
      <x:c r="C7" s="303"/>
      <x:c r="D7" s="304"/>
      <x:c r="E7" s="280"/>
      <x:c r="F7" s="281"/>
      <x:c r="G7" s="268"/>
      <x:c r="H7" s="54" t="s">
        <x:v>24</x:v>
      </x:c>
      <x:c r="I7" s="124">
        <x:v>367400</x:v>
      </x:c>
      <x:c r="J7" s="81" t="s">
        <x:v>116</x:v>
      </x:c>
      <x:c r="K7" s="58"/>
    </x:row>
    <x:row r="8" spans="1:11" ht="21.949999999999999" customHeight="1">
      <x:c r="A8" s="260" t="s">
        <x:v>134</x:v>
      </x:c>
      <x:c r="B8" s="261"/>
      <x:c r="C8" s="262">
        <x:v>93500</x:v>
      </x:c>
      <x:c r="D8" s="262"/>
      <x:c r="E8" s="288" t="s">
        <x:v>110</x:v>
      </x:c>
      <x:c r="F8" s="289"/>
      <x:c r="G8" s="294">
        <x:f>C5+G2-G6-C22</x:f>
        <x:v>101000</x:v>
      </x:c>
      <x:c r="H8" s="54" t="s">
        <x:v>45</x:v>
      </x:c>
      <x:c r="I8" s="124">
        <x:v>65000</x:v>
      </x:c>
      <x:c r="J8" s="81"/>
      <x:c r="K8" s="58"/>
    </x:row>
    <x:row r="9" spans="1:11" ht="21.949999999999999" customHeight="1">
      <x:c r="A9" s="260"/>
      <x:c r="B9" s="261"/>
      <x:c r="C9" s="262"/>
      <x:c r="D9" s="262"/>
      <x:c r="E9" s="280"/>
      <x:c r="F9" s="281"/>
      <x:c r="G9" s="295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143</x:v>
      </x:c>
      <x:c r="B10" s="261"/>
      <x:c r="C10" s="262">
        <x:v>1821000</x:v>
      </x:c>
      <x:c r="D10" s="262"/>
      <x:c r="E10" s="261" t="s">
        <x:v>87</x:v>
      </x:c>
      <x:c r="F10" s="261"/>
      <x:c r="G10" s="55"/>
      <x:c r="H10" s="54"/>
      <x:c r="I10" s="124"/>
      <x:c r="J10" s="54" t="s">
        <x:v>53</x:v>
      </x:c>
      <x:c r="K10" s="58"/>
    </x:row>
    <x:row r="11" spans="1:11" ht="33" customHeight="1">
      <x:c r="A11" s="260" t="s">
        <x:v>103</x:v>
      </x:c>
      <x:c r="B11" s="261"/>
      <x:c r="C11" s="300"/>
      <x:c r="D11" s="300"/>
      <x:c r="E11" s="300"/>
      <x:c r="F11" s="300"/>
      <x:c r="G11" s="300"/>
      <x:c r="H11" s="54" t="s">
        <x:v>58</x:v>
      </x:c>
      <x:c r="I11" s="58"/>
      <x:c r="J11" s="54" t="s">
        <x:v>82</x:v>
      </x:c>
      <x:c r="K11" s="151"/>
    </x:row>
    <x:row r="12" spans="1:13" ht="21.949999999999999" customHeight="1">
      <x:c r="A12" s="59" t="s">
        <x:v>48</x:v>
      </x:c>
      <x:c r="B12" s="298" t="s">
        <x:v>42</x:v>
      </x:c>
      <x:c r="C12" s="79">
        <x:v>29</x:v>
      </x:c>
      <x:c r="D12" s="288" t="s">
        <x:v>133</x:v>
      </x:c>
      <x:c r="E12" s="289"/>
      <x:c r="F12" s="292">
        <x:v>3</x:v>
      </x:c>
      <x:c r="G12" s="293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9"/>
      <x:c r="C13" s="134">
        <x:f>SUM('1:24'!$C$12)</x:f>
        <x:v>203</x:v>
      </x:c>
      <x:c r="D13" s="280"/>
      <x:c r="E13" s="281"/>
      <x:c r="F13" s="290">
        <x:f>SUM('1:24'!$F$12)</x:f>
        <x:v>123</x:v>
      </x:c>
      <x:c r="G13" s="291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8" t="s">
        <x:v>64</x:v>
      </x:c>
      <x:c r="C14" s="79">
        <x:v>8</x:v>
      </x:c>
      <x:c r="D14" s="288" t="s">
        <x:v>95</x:v>
      </x:c>
      <x:c r="E14" s="289"/>
      <x:c r="F14" s="292">
        <x:v>8</x:v>
      </x:c>
      <x:c r="G14" s="293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9"/>
      <x:c r="C15" s="134">
        <x:f>SUM('1:24'!$C$14)</x:f>
        <x:v>486</x:v>
      </x:c>
      <x:c r="D15" s="280"/>
      <x:c r="E15" s="281"/>
      <x:c r="F15" s="290">
        <x:f>SUM('1:24'!$F$14)</x:f>
        <x:v>212</x:v>
      </x:c>
      <x:c r="G15" s="291"/>
      <x:c r="H15" s="54" t="s">
        <x:v>106</x:v>
      </x:c>
      <x:c r="I15" s="58">
        <x:v>160250</x:v>
      </x:c>
      <x:c r="J15" s="54" t="s">
        <x:v>74</x:v>
      </x:c>
      <x:c r="K15" s="58">
        <x:v>7000</x:v>
      </x:c>
      <x:c r="L15" s="60"/>
      <x:c r="M15" s="11"/>
    </x:row>
    <x:row r="16" spans="1:13" ht="21.949999999999999" customHeight="1">
      <x:c r="A16" s="59" t="s">
        <x:v>48</x:v>
      </x:c>
      <x:c r="B16" s="298" t="s">
        <x:v>51</x:v>
      </x:c>
      <x:c r="C16" s="79">
        <x:v>2</x:v>
      </x:c>
      <x:c r="D16" s="288" t="s">
        <x:v>117</x:v>
      </x:c>
      <x:c r="E16" s="289"/>
      <x:c r="F16" s="286">
        <x:v>5</x:v>
      </x:c>
      <x:c r="G16" s="286"/>
      <x:c r="H16" s="54"/>
      <x:c r="I16" s="58"/>
      <x:c r="J16" s="54" t="s">
        <x:v>97</x:v>
      </x:c>
      <x:c r="K16" s="58">
        <x:v>106380</x:v>
      </x:c>
      <x:c r="L16" s="60"/>
      <x:c r="M16" s="11"/>
    </x:row>
    <x:row r="17" spans="1:13" ht="21.949999999999999" customHeight="1">
      <x:c r="A17" s="59" t="s">
        <x:v>96</x:v>
      </x:c>
      <x:c r="B17" s="299"/>
      <x:c r="C17" s="134">
        <x:f>SUM('1:24'!$C$16)</x:f>
        <x:v>105</x:v>
      </x:c>
      <x:c r="D17" s="280"/>
      <x:c r="E17" s="281"/>
      <x:c r="F17" s="287">
        <x:f>SUM('1:24'!$F$16)</x:f>
        <x:v>253</x:v>
      </x:c>
      <x:c r="G17" s="287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8" t="s">
        <x:v>91</x:v>
      </x:c>
      <x:c r="C18" s="79">
        <x:v>3</x:v>
      </x:c>
      <x:c r="D18" s="288" t="s">
        <x:v>130</x:v>
      </x:c>
      <x:c r="E18" s="289"/>
      <x:c r="F18" s="296">
        <x:v>3</x:v>
      </x:c>
      <x:c r="G18" s="297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9"/>
      <x:c r="C19" s="134">
        <x:f>SUM('1:24'!$C$18)</x:f>
        <x:v>252</x:v>
      </x:c>
      <x:c r="D19" s="280"/>
      <x:c r="E19" s="281"/>
      <x:c r="F19" s="287">
        <x:f>SUM('1:24'!$F$18)</x:f>
        <x:v>95</x:v>
      </x:c>
      <x:c r="G19" s="287"/>
      <x:c r="H19" s="58"/>
      <x:c r="I19" s="58"/>
      <x:c r="J19" s="54"/>
      <x:c r="K19" s="58"/>
      <x:c r="L19" s="60"/>
      <x:c r="M19" s="11"/>
    </x:row>
    <x:row r="20" spans="2:13" ht="21.949999999999999" customHeight="1">
      <x:c r="B20" s="52" t="s">
        <x:v>151</x:v>
      </x:c>
      <x:c r="D20" s="261" t="s">
        <x:v>113</x:v>
      </x:c>
      <x:c r="E20" s="261"/>
      <x:c r="F20" s="286">
        <x:v>37</x:v>
      </x:c>
      <x:c r="G20" s="286"/>
      <x:c r="H20" s="58"/>
      <x:c r="J20" s="54"/>
      <x:c r="K20" s="58"/>
      <x:c r="L20" s="60"/>
      <x:c r="M20" s="11"/>
    </x:row>
    <x:row r="21" spans="4:13" ht="21.949999999999999" customHeight="1">
      <x:c r="D21" s="261" t="s">
        <x:v>114</x:v>
      </x:c>
      <x:c r="E21" s="261"/>
      <x:c r="F21" s="287">
        <x:f>SUM('1:24'!$F$20)</x:f>
        <x:v>1324</x:v>
      </x:c>
      <x:c r="G21" s="287"/>
      <x:c r="H21" s="58"/>
      <x:c r="J21" s="54"/>
      <x:c r="K21" s="58"/>
      <x:c r="L21" s="60"/>
      <x:c r="M21" s="11"/>
    </x:row>
    <x:row r="22" spans="1:13" ht="32.100000000000001" customHeight="1">
      <x:c r="A22" s="260" t="s">
        <x:v>83</x:v>
      </x:c>
      <x:c r="B22" s="261"/>
      <x:c r="C22" s="285"/>
      <x:c r="D22" s="285"/>
      <x:c r="E22" s="285"/>
      <x:c r="F22" s="285"/>
      <x:c r="G22" s="285"/>
      <x:c r="H22" s="54"/>
      <x:c r="J22" s="54"/>
      <x:c r="K22" s="58"/>
      <x:c r="L22" s="60"/>
      <x:c r="M22" s="11"/>
    </x:row>
    <x:row r="23" spans="1:15" ht="34.149999999999999" customHeight="1">
      <x:c r="A23" s="260" t="s">
        <x:v>124</x:v>
      </x:c>
      <x:c r="B23" s="261"/>
      <x:c r="C23" s="316"/>
      <x:c r="D23" s="317"/>
      <x:c r="E23" s="317"/>
      <x:c r="F23" s="317"/>
      <x:c r="G23" s="317"/>
      <x:c r="H23" s="107" t="s">
        <x:v>94</x:v>
      </x:c>
      <x:c r="I23" s="108">
        <x:f>SUM(I4:I22)</x:f>
        <x:v>833406</x:v>
      </x:c>
      <x:c r="J23" s="61" t="s">
        <x:v>119</x:v>
      </x:c>
      <x:c r="K23" s="62">
        <x:f>SUM(K4:K22)</x:f>
        <x:v>407380</x:v>
      </x:c>
      <x:c r="M23" s="88" t="s">
        <x:v>93</x:v>
      </x:c>
      <x:c r="N23" s="283">
        <x:f>C5+C6</x:f>
        <x:v>271000</x:v>
      </x:c>
      <x:c r="O23" s="284"/>
    </x:row>
    <x:row r="24" spans="1:11" ht="34.149999999999999" customHeight="1">
      <x:c r="A24" s="260" t="s">
        <x:v>8</x:v>
      </x:c>
      <x:c r="B24" s="261"/>
      <x:c r="C24" s="261" t="s">
        <x:v>86</x:v>
      </x:c>
      <x:c r="D24" s="261"/>
      <x:c r="E24" s="261" t="s">
        <x:v>101</x:v>
      </x:c>
      <x:c r="F24" s="261"/>
      <x:c r="G24" s="261"/>
      <x:c r="H24" s="107" t="s">
        <x:v>8</x:v>
      </x:c>
      <x:c r="I24" s="109">
        <x:f>I23/A25</x:f>
        <x:v>0.50448305084745759</x:v>
      </x:c>
      <x:c r="J24" s="61" t="s">
        <x:v>8</x:v>
      </x:c>
      <x:c r="K24" s="63">
        <x:f>K23/A25</x:f>
        <x:v>0.24659806295399517</x:v>
      </x:c>
    </x:row>
    <x:row r="25" spans="1:11" ht="34.149999999999999" customHeight="1">
      <x:c r="A25" s="312">
        <x:f>C2</x:f>
        <x:v>1652000</x:v>
      </x:c>
      <x:c r="B25" s="276"/>
      <x:c r="C25" s="276">
        <x:f>E25/I1</x:f>
        <x:v>4276062.5</x:v>
      </x:c>
      <x:c r="D25" s="276"/>
      <x:c r="E25" s="276">
        <x:f>SUM('1:24'!$A$25)</x:f>
        <x:v>102625500</x:v>
      </x:c>
      <x:c r="F25" s="276"/>
      <x:c r="G25" s="276"/>
      <x:c r="H25" s="107" t="s">
        <x:v>33</x:v>
      </x:c>
      <x:c r="I25" s="108">
        <x:f>SUM('1'!$I$23)</x:f>
        <x:v>2230104</x:v>
      </x:c>
      <x:c r="J25" s="61" t="s">
        <x:v>33</x:v>
      </x:c>
      <x:c r="K25" s="62">
        <x:f>SUM('1:24'!$K$21)</x:f>
        <x:v>0</x:v>
      </x:c>
    </x:row>
    <x:row r="26" spans="1:11" ht="34.149999999999999" customHeight="1">
      <x:c r="A26" s="260" t="s">
        <x:v>142</x:v>
      </x:c>
      <x:c r="B26" s="261"/>
      <x:c r="C26" s="261"/>
      <x:c r="D26" s="261"/>
      <x:c r="E26" s="262"/>
      <x:c r="F26" s="262"/>
      <x:c r="G26" s="262"/>
      <x:c r="H26" s="107" t="s">
        <x:v>128</x:v>
      </x:c>
      <x:c r="I26" s="110">
        <x:f>I25/$E$25</x:f>
        <x:v>0.021730505576099509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8" t="s">
        <x:v>141</x:v>
      </x:c>
      <x:c r="B27" s="54" t="s">
        <x:v>44</x:v>
      </x:c>
      <x:c r="C27" s="276">
        <x:f>4000000/30</x:f>
        <x:v>133333.33333333334</x:v>
      </x:c>
      <x:c r="D27" s="276"/>
      <x:c r="E27" s="55" t="s">
        <x:v>147</x:v>
      </x:c>
      <x:c r="F27" s="262">
        <x:f>13000*5</x:f>
        <x:v>65000</x:v>
      </x:c>
      <x:c r="G27" s="262"/>
      <x:c r="H27" s="111" t="s">
        <x:v>118</x:v>
      </x:c>
      <x:c r="I27" s="112">
        <x:f>SUM(C27:D34,F27:G32)</x:f>
        <x:v>718333.33333333337</x:v>
      </x:c>
      <x:c r="M27" s="66"/>
    </x:row>
    <x:row r="28" spans="1:13" ht="30.949999999999999" customHeight="1">
      <x:c r="A28" s="319"/>
      <x:c r="B28" s="54" t="s">
        <x:v>23</x:v>
      </x:c>
      <x:c r="C28" s="276">
        <x:f>3800000/30</x:f>
        <x:v>126666.66666666667</x:v>
      </x:c>
      <x:c r="D28" s="276"/>
      <x:c r="E28" s="55" t="s">
        <x:v>149</x:v>
      </x:c>
      <x:c r="F28" s="276">
        <x:f>1500000/30</x:f>
        <x:v>50000</x:v>
      </x:c>
      <x:c r="G28" s="276"/>
      <x:c r="H28" s="111" t="s">
        <x:v>8</x:v>
      </x:c>
      <x:c r="I28" s="113">
        <x:f>I27/$A$25</x:f>
        <x:v>0.43482647296206622</x:v>
      </x:c>
      <x:c r="M28" s="66"/>
    </x:row>
    <x:row r="29" spans="1:13" ht="30.949999999999999" customHeight="1">
      <x:c r="A29" s="319"/>
      <x:c r="B29" s="54" t="s">
        <x:v>47</x:v>
      </x:c>
      <x:c r="C29" s="276">
        <x:f>3200000/30</x:f>
        <x:v>106666.66666666667</x:v>
      </x:c>
      <x:c r="D29" s="276"/>
      <x:c r="E29" s="54" t="s">
        <x:v>57</x:v>
      </x:c>
      <x:c r="F29" s="262"/>
      <x:c r="G29" s="262"/>
      <x:c r="H29" s="111" t="s">
        <x:v>33</x:v>
      </x:c>
      <x:c r="I29" s="112">
        <x:f>SUM('1:24'!$I$25)</x:f>
        <x:v>53522496</x:v>
      </x:c>
      <x:c r="M29" s="66"/>
    </x:row>
    <x:row r="30" spans="1:13" ht="30.949999999999999" customHeight="1">
      <x:c r="A30" s="319"/>
      <x:c r="B30" s="54"/>
      <x:c r="C30" s="315"/>
      <x:c r="D30" s="315"/>
      <x:c r="E30" s="55"/>
      <x:c r="F30" s="310"/>
      <x:c r="G30" s="311"/>
      <x:c r="H30" s="111" t="s">
        <x:v>128</x:v>
      </x:c>
      <x:c r="I30" s="113">
        <x:f>I29/$I$27</x:f>
        <x:v>74.509275174013922</x:v>
      </x:c>
      <x:c r="M30" s="66"/>
    </x:row>
    <x:row r="31" spans="1:7" customHeight="1">
      <x:c r="A31" s="319"/>
      <x:c r="B31" s="54" t="s">
        <x:v>41</x:v>
      </x:c>
      <x:c r="C31" s="313">
        <x:f>3500000/30</x:f>
        <x:v>116666.66666666667</x:v>
      </x:c>
      <x:c r="D31" s="314"/>
      <x:c r="E31" s="55" t="s">
        <x:v>4</x:v>
      </x:c>
      <x:c r="F31" s="310">
        <x:v>120000</x:v>
      </x:c>
      <x:c r="G31" s="311"/>
    </x:row>
    <x:row r="32" spans="1:7" customHeight="1">
      <x:c r="A32" s="319"/>
      <x:c r="B32" s="54"/>
      <x:c r="C32" s="308"/>
      <x:c r="D32" s="309"/>
      <x:c r="E32" s="55" t="s">
        <x:v>138</x:v>
      </x:c>
      <x:c r="F32" s="310"/>
      <x:c r="G32" s="311"/>
    </x:row>
    <x:row r="33" spans="1:4" customHeight="1">
      <x:c r="A33" s="319"/>
      <x:c r="B33" s="54" t="s">
        <x:v>21</x:v>
      </x:c>
      <x:c r="C33" s="308"/>
      <x:c r="D33" s="309"/>
    </x:row>
    <x:row r="34" spans="1:4" customHeight="1">
      <x:c r="A34" s="320"/>
      <x:c r="B34" s="54"/>
      <x:c r="C34" s="310"/>
      <x:c r="D34" s="311"/>
    </x:row>
  </x:sheetData>
  <x:mergeCells count="74">
    <x:mergeCell ref="F31:G31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2:G32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7"/>
  <x:dimension ref="A1:O34"/>
  <x:sheetViews>
    <x:sheetView topLeftCell="A1" zoomScale="85" zoomScaleNormal="85" zoomScaleSheetLayoutView="75" workbookViewId="0">
      <x:selection activeCell="J34" activeCellId="0" sqref="J34:J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152</x:v>
      </x:c>
      <x:c r="F1" s="68">
        <x:v>25</x:v>
      </x:c>
      <x:c r="G1" s="68" t="s">
        <x:v>50</x:v>
      </x:c>
      <x:c r="H1" s="52" t="s">
        <x:v>123</x:v>
      </x:c>
      <x:c r="I1" s="52">
        <x:f>F1-K1</x:f>
        <x:v>25</x:v>
      </x:c>
      <x:c r="J1" s="52" t="s">
        <x:v>98</x:v>
      </x:c>
      <x:c r="K1" s="52"/>
    </x:row>
    <x:row r="2" spans="1:11" ht="20.100000000000001" customHeight="1">
      <x:c r="A2" s="271" t="s">
        <x:v>9</x:v>
      </x:c>
      <x:c r="B2" s="272"/>
      <x:c r="C2" s="275">
        <x:f>SUM(C4:D7)</x:f>
        <x:v>4615100</x:v>
      </x:c>
      <x:c r="D2" s="275"/>
      <x:c r="E2" s="278" t="s">
        <x:v>40</x:v>
      </x:c>
      <x:c r="F2" s="279"/>
      <x:c r="G2" s="267">
        <x:v>93500</x:v>
      </x:c>
      <x:c r="H2" s="265" t="s">
        <x:v>6</x:v>
      </x:c>
      <x:c r="I2" s="266"/>
      <x:c r="J2" s="263" t="s">
        <x:v>74</x:v>
      </x:c>
      <x:c r="K2" s="264"/>
    </x:row>
    <x:row r="3" spans="1:11" ht="20.100000000000001" customHeight="1">
      <x:c r="A3" s="273"/>
      <x:c r="B3" s="274"/>
      <x:c r="C3" s="276"/>
      <x:c r="D3" s="276"/>
      <x:c r="E3" s="280"/>
      <x:c r="F3" s="281"/>
      <x:c r="G3" s="268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9" t="s">
        <x:v>22</x:v>
      </x:c>
      <x:c r="B4" s="270"/>
      <x:c r="C4" s="262">
        <x:v>4578100</x:v>
      </x:c>
      <x:c r="D4" s="262"/>
      <x:c r="E4" s="277" t="s">
        <x:v>146</x:v>
      </x:c>
      <x:c r="F4" s="277"/>
      <x:c r="G4" s="133">
        <x:f>INT(C4*0.0275)</x:f>
        <x:v>125897</x:v>
      </x:c>
      <x:c r="H4" s="54" t="s">
        <x:v>20</x:v>
      </x:c>
      <x:c r="I4" s="124">
        <x:v>3526684</x:v>
      </x:c>
      <x:c r="J4" s="80" t="s">
        <x:v>36</x:v>
      </x:c>
      <x:c r="K4" s="58"/>
    </x:row>
    <x:row r="5" spans="1:11" ht="30.949999999999999" customHeight="1">
      <x:c r="A5" s="269" t="s">
        <x:v>61</x:v>
      </x:c>
      <x:c r="B5" s="270"/>
      <x:c r="C5" s="262">
        <x:v>37000</x:v>
      </x:c>
      <x:c r="D5" s="262"/>
      <x:c r="E5" s="261" t="s">
        <x:v>70</x:v>
      </x:c>
      <x:c r="F5" s="261"/>
      <x:c r="G5" s="133">
        <x:f>INT(C5*0.01)</x:f>
        <x:v>370</x:v>
      </x:c>
      <x:c r="H5" s="54" t="s">
        <x:v>6</x:v>
      </x:c>
      <x:c r="I5" s="124">
        <x:v>306381</x:v>
      </x:c>
      <x:c r="J5" s="81"/>
      <x:c r="K5" s="58"/>
    </x:row>
    <x:row r="6" spans="1:11" ht="21.949999999999999" customHeight="1">
      <x:c r="A6" s="256" t="s">
        <x:v>84</x:v>
      </x:c>
      <x:c r="B6" s="257"/>
      <x:c r="C6" s="301"/>
      <x:c r="D6" s="302"/>
      <x:c r="E6" s="288" t="s">
        <x:v>131</x:v>
      </x:c>
      <x:c r="F6" s="289"/>
      <x:c r="G6" s="282">
        <x:v>50000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8"/>
      <x:c r="B7" s="259"/>
      <x:c r="C7" s="303"/>
      <x:c r="D7" s="304"/>
      <x:c r="E7" s="280"/>
      <x:c r="F7" s="281"/>
      <x:c r="G7" s="268"/>
      <x:c r="H7" s="54" t="s">
        <x:v>24</x:v>
      </x:c>
      <x:c r="I7" s="124"/>
      <x:c r="J7" s="81" t="s">
        <x:v>116</x:v>
      </x:c>
      <x:c r="K7" s="58">
        <x:v>12500</x:v>
      </x:c>
    </x:row>
    <x:row r="8" spans="1:11" ht="21.949999999999999" customHeight="1">
      <x:c r="A8" s="260" t="s">
        <x:v>134</x:v>
      </x:c>
      <x:c r="B8" s="261"/>
      <x:c r="C8" s="262">
        <x:v>80500</x:v>
      </x:c>
      <x:c r="D8" s="262"/>
      <x:c r="E8" s="288" t="s">
        <x:v>110</x:v>
      </x:c>
      <x:c r="F8" s="289"/>
      <x:c r="G8" s="294">
        <x:f>C5+G2-G6-C22</x:f>
        <x:v>80500</x:v>
      </x:c>
      <x:c r="H8" s="54" t="s">
        <x:v>45</x:v>
      </x:c>
      <x:c r="I8" s="124">
        <x:v>65000</x:v>
      </x:c>
      <x:c r="J8" s="81"/>
      <x:c r="K8" s="58"/>
    </x:row>
    <x:row r="9" spans="1:11" ht="21.949999999999999" customHeight="1">
      <x:c r="A9" s="260"/>
      <x:c r="B9" s="261"/>
      <x:c r="C9" s="262"/>
      <x:c r="D9" s="262"/>
      <x:c r="E9" s="280"/>
      <x:c r="F9" s="281"/>
      <x:c r="G9" s="295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143</x:v>
      </x:c>
      <x:c r="B10" s="261"/>
      <x:c r="C10" s="262">
        <x:v>199400</x:v>
      </x:c>
      <x:c r="D10" s="262"/>
      <x:c r="E10" s="261" t="s">
        <x:v>87</x:v>
      </x:c>
      <x:c r="F10" s="261"/>
      <x:c r="G10" s="55"/>
      <x:c r="H10" s="54"/>
      <x:c r="I10" s="124"/>
      <x:c r="J10" s="54" t="s">
        <x:v>53</x:v>
      </x:c>
      <x:c r="K10" s="58"/>
    </x:row>
    <x:row r="11" spans="1:11" ht="33" customHeight="1">
      <x:c r="A11" s="260" t="s">
        <x:v>103</x:v>
      </x:c>
      <x:c r="B11" s="261"/>
      <x:c r="C11" s="300"/>
      <x:c r="D11" s="300"/>
      <x:c r="E11" s="300"/>
      <x:c r="F11" s="300"/>
      <x:c r="G11" s="300"/>
      <x:c r="H11" s="54" t="s">
        <x:v>58</x:v>
      </x:c>
      <x:c r="I11" s="58"/>
      <x:c r="J11" s="54" t="s">
        <x:v>82</x:v>
      </x:c>
      <x:c r="K11" s="151"/>
    </x:row>
    <x:row r="12" spans="1:13" ht="21.949999999999999" customHeight="1">
      <x:c r="A12" s="59" t="s">
        <x:v>48</x:v>
      </x:c>
      <x:c r="B12" s="298" t="s">
        <x:v>42</x:v>
      </x:c>
      <x:c r="C12" s="79">
        <x:v>11</x:v>
      </x:c>
      <x:c r="D12" s="288" t="s">
        <x:v>133</x:v>
      </x:c>
      <x:c r="E12" s="289"/>
      <x:c r="F12" s="292">
        <x:v>12</x:v>
      </x:c>
      <x:c r="G12" s="293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9"/>
      <x:c r="C13" s="134">
        <x:f>SUM('1:25'!$C$12)</x:f>
        <x:v>214</x:v>
      </x:c>
      <x:c r="D13" s="280"/>
      <x:c r="E13" s="281"/>
      <x:c r="F13" s="290">
        <x:f>SUM('1:25'!$F$12)</x:f>
        <x:v>135</x:v>
      </x:c>
      <x:c r="G13" s="291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8" t="s">
        <x:v>64</x:v>
      </x:c>
      <x:c r="C14" s="79">
        <x:v>12</x:v>
      </x:c>
      <x:c r="D14" s="288" t="s">
        <x:v>95</x:v>
      </x:c>
      <x:c r="E14" s="289"/>
      <x:c r="F14" s="292">
        <x:v>6</x:v>
      </x:c>
      <x:c r="G14" s="293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9"/>
      <x:c r="C15" s="134">
        <x:f>SUM('1:25'!$C$14)</x:f>
        <x:v>498</x:v>
      </x:c>
      <x:c r="D15" s="280"/>
      <x:c r="E15" s="281"/>
      <x:c r="F15" s="290">
        <x:f>SUM('1:25'!$F$14)</x:f>
        <x:v>218</x:v>
      </x:c>
      <x:c r="G15" s="291"/>
      <x:c r="H15" s="54" t="s">
        <x:v>106</x:v>
      </x:c>
      <x:c r="I15" s="58">
        <x:v>76800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8" t="s">
        <x:v>51</x:v>
      </x:c>
      <x:c r="C16" s="79">
        <x:v>6</x:v>
      </x:c>
      <x:c r="D16" s="288" t="s">
        <x:v>117</x:v>
      </x:c>
      <x:c r="E16" s="289"/>
      <x:c r="F16" s="286">
        <x:v>10</x:v>
      </x:c>
      <x:c r="G16" s="286"/>
      <x:c r="H16" s="54"/>
      <x:c r="I16" s="58"/>
      <x:c r="J16" s="54" t="s">
        <x:v>97</x:v>
      </x:c>
      <x:c r="K16" s="58">
        <x:v>228700</x:v>
      </x:c>
      <x:c r="L16" s="60"/>
      <x:c r="M16" s="11"/>
    </x:row>
    <x:row r="17" spans="1:13" ht="21.949999999999999" customHeight="1">
      <x:c r="A17" s="59" t="s">
        <x:v>96</x:v>
      </x:c>
      <x:c r="B17" s="299"/>
      <x:c r="C17" s="134">
        <x:f>SUM('1:25'!$C$16)</x:f>
        <x:v>111</x:v>
      </x:c>
      <x:c r="D17" s="280"/>
      <x:c r="E17" s="281"/>
      <x:c r="F17" s="287">
        <x:f>SUM('1:25'!$F$16)</x:f>
        <x:v>263</x:v>
      </x:c>
      <x:c r="G17" s="287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8" t="s">
        <x:v>91</x:v>
      </x:c>
      <x:c r="C18" s="79">
        <x:v>3</x:v>
      </x:c>
      <x:c r="D18" s="288" t="s">
        <x:v>130</x:v>
      </x:c>
      <x:c r="E18" s="289"/>
      <x:c r="F18" s="296">
        <x:v>1</x:v>
      </x:c>
      <x:c r="G18" s="297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9"/>
      <x:c r="C19" s="134">
        <x:f>SUM('1:25'!$C$18)</x:f>
        <x:v>255</x:v>
      </x:c>
      <x:c r="D19" s="280"/>
      <x:c r="E19" s="281"/>
      <x:c r="F19" s="287">
        <x:f>SUM('1:25'!$F$18)</x:f>
        <x:v>96</x:v>
      </x:c>
      <x:c r="G19" s="287"/>
      <x:c r="H19" s="58"/>
      <x:c r="I19" s="58"/>
      <x:c r="J19" s="54"/>
      <x:c r="K19" s="58"/>
      <x:c r="L19" s="60"/>
      <x:c r="M19" s="11"/>
    </x:row>
    <x:row r="20" spans="2:13" ht="21.949999999999999" customHeight="1">
      <x:c r="B20" s="52" t="s">
        <x:v>151</x:v>
      </x:c>
      <x:c r="D20" s="261" t="s">
        <x:v>113</x:v>
      </x:c>
      <x:c r="E20" s="261"/>
      <x:c r="F20" s="286">
        <x:v>62</x:v>
      </x:c>
      <x:c r="G20" s="286"/>
      <x:c r="H20" s="58"/>
      <x:c r="J20" s="54"/>
      <x:c r="K20" s="58"/>
      <x:c r="L20" s="60"/>
      <x:c r="M20" s="11"/>
    </x:row>
    <x:row r="21" spans="4:13" ht="21.949999999999999" customHeight="1">
      <x:c r="D21" s="261" t="s">
        <x:v>114</x:v>
      </x:c>
      <x:c r="E21" s="261"/>
      <x:c r="F21" s="287">
        <x:f>SUM('1:25'!$F$20)</x:f>
        <x:v>1386</x:v>
      </x:c>
      <x:c r="G21" s="287"/>
      <x:c r="H21" s="58"/>
      <x:c r="J21" s="54"/>
      <x:c r="K21" s="58"/>
      <x:c r="L21" s="60"/>
      <x:c r="M21" s="11"/>
    </x:row>
    <x:row r="22" spans="1:13" ht="32.100000000000001" customHeight="1">
      <x:c r="A22" s="260" t="s">
        <x:v>83</x:v>
      </x:c>
      <x:c r="B22" s="261"/>
      <x:c r="C22" s="285"/>
      <x:c r="D22" s="285"/>
      <x:c r="E22" s="285"/>
      <x:c r="F22" s="285"/>
      <x:c r="G22" s="285"/>
      <x:c r="H22" s="54"/>
      <x:c r="J22" s="54"/>
      <x:c r="K22" s="58"/>
      <x:c r="L22" s="60"/>
      <x:c r="M22" s="11"/>
    </x:row>
    <x:row r="23" spans="1:15" ht="34.149999999999999" customHeight="1">
      <x:c r="A23" s="260" t="s">
        <x:v>124</x:v>
      </x:c>
      <x:c r="B23" s="261"/>
      <x:c r="C23" s="316"/>
      <x:c r="D23" s="317"/>
      <x:c r="E23" s="317"/>
      <x:c r="F23" s="317"/>
      <x:c r="G23" s="317"/>
      <x:c r="H23" s="107" t="s">
        <x:v>94</x:v>
      </x:c>
      <x:c r="I23" s="108">
        <x:f>SUM(I4:I22)</x:f>
        <x:v>3974865</x:v>
      </x:c>
      <x:c r="J23" s="61" t="s">
        <x:v>119</x:v>
      </x:c>
      <x:c r="K23" s="62">
        <x:f>SUM(K4:K22)</x:f>
        <x:v>241200</x:v>
      </x:c>
      <x:c r="M23" s="88" t="s">
        <x:v>93</x:v>
      </x:c>
      <x:c r="N23" s="283">
        <x:f>C5+C6</x:f>
        <x:v>37000</x:v>
      </x:c>
      <x:c r="O23" s="284"/>
    </x:row>
    <x:row r="24" spans="1:11" ht="34.149999999999999" customHeight="1">
      <x:c r="A24" s="260" t="s">
        <x:v>8</x:v>
      </x:c>
      <x:c r="B24" s="261"/>
      <x:c r="C24" s="261" t="s">
        <x:v>86</x:v>
      </x:c>
      <x:c r="D24" s="261"/>
      <x:c r="E24" s="261" t="s">
        <x:v>101</x:v>
      </x:c>
      <x:c r="F24" s="261"/>
      <x:c r="G24" s="261"/>
      <x:c r="H24" s="107" t="s">
        <x:v>8</x:v>
      </x:c>
      <x:c r="I24" s="109">
        <x:f>I23/A25</x:f>
        <x:v>0.86127386188814981</x:v>
      </x:c>
      <x:c r="J24" s="61" t="s">
        <x:v>8</x:v>
      </x:c>
      <x:c r="K24" s="63">
        <x:f>K23/A25</x:f>
        <x:v>0.052263222898745423</x:v>
      </x:c>
    </x:row>
    <x:row r="25" spans="1:11" ht="34.149999999999999" customHeight="1">
      <x:c r="A25" s="312">
        <x:f>C2</x:f>
        <x:v>4615100</x:v>
      </x:c>
      <x:c r="B25" s="276"/>
      <x:c r="C25" s="276">
        <x:f>E25/I1</x:f>
        <x:v>4289624</x:v>
      </x:c>
      <x:c r="D25" s="276"/>
      <x:c r="E25" s="276">
        <x:f>SUM('1:25'!$A$25)</x:f>
        <x:v>107240600</x:v>
      </x:c>
      <x:c r="F25" s="276"/>
      <x:c r="G25" s="276"/>
      <x:c r="H25" s="107" t="s">
        <x:v>33</x:v>
      </x:c>
      <x:c r="I25" s="108">
        <x:f>SUM('1'!$I$23)</x:f>
        <x:v>2230104</x:v>
      </x:c>
      <x:c r="J25" s="61" t="s">
        <x:v>33</x:v>
      </x:c>
      <x:c r="K25" s="62">
        <x:f>SUM('1:25'!$K$21)</x:f>
        <x:v>0</x:v>
      </x:c>
    </x:row>
    <x:row r="26" spans="1:11" ht="34.149999999999999" customHeight="1">
      <x:c r="A26" s="260" t="s">
        <x:v>142</x:v>
      </x:c>
      <x:c r="B26" s="261"/>
      <x:c r="C26" s="261"/>
      <x:c r="D26" s="261"/>
      <x:c r="E26" s="262"/>
      <x:c r="F26" s="262"/>
      <x:c r="G26" s="262"/>
      <x:c r="H26" s="107" t="s">
        <x:v>128</x:v>
      </x:c>
      <x:c r="I26" s="110">
        <x:f>I25/$E$25</x:f>
        <x:v>0.020795333110780804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8" t="s">
        <x:v>141</x:v>
      </x:c>
      <x:c r="B27" s="54" t="s">
        <x:v>44</x:v>
      </x:c>
      <x:c r="C27" s="276">
        <x:f>4000000/30</x:f>
        <x:v>133333.33333333334</x:v>
      </x:c>
      <x:c r="D27" s="276"/>
      <x:c r="E27" s="55" t="s">
        <x:v>147</x:v>
      </x:c>
      <x:c r="F27" s="262">
        <x:f>13000*5</x:f>
        <x:v>65000</x:v>
      </x:c>
      <x:c r="G27" s="262"/>
      <x:c r="H27" s="111" t="s">
        <x:v>118</x:v>
      </x:c>
      <x:c r="I27" s="112">
        <x:f>SUM(C27:D34,F27:G32)</x:f>
        <x:v>765133.33333333337</x:v>
      </x:c>
      <x:c r="M27" s="66"/>
    </x:row>
    <x:row r="28" spans="1:13" ht="30.949999999999999" customHeight="1">
      <x:c r="A28" s="319"/>
      <x:c r="B28" s="54" t="s">
        <x:v>23</x:v>
      </x:c>
      <x:c r="C28" s="276">
        <x:f>3800000/30</x:f>
        <x:v>126666.66666666667</x:v>
      </x:c>
      <x:c r="D28" s="276"/>
      <x:c r="E28" s="55" t="s">
        <x:v>149</x:v>
      </x:c>
      <x:c r="F28" s="276">
        <x:f>1500000/30</x:f>
        <x:v>50000</x:v>
      </x:c>
      <x:c r="G28" s="276"/>
      <x:c r="H28" s="111" t="s">
        <x:v>8</x:v>
      </x:c>
      <x:c r="I28" s="113">
        <x:f>I27/$A$25</x:f>
        <x:v>0.16578911255082954</x:v>
      </x:c>
      <x:c r="M28" s="66"/>
    </x:row>
    <x:row r="29" spans="1:13" ht="30.949999999999999" customHeight="1">
      <x:c r="A29" s="319"/>
      <x:c r="B29" s="54" t="s">
        <x:v>47</x:v>
      </x:c>
      <x:c r="C29" s="276">
        <x:f>3200000/30</x:f>
        <x:v>106666.66666666667</x:v>
      </x:c>
      <x:c r="D29" s="276"/>
      <x:c r="E29" s="54" t="s">
        <x:v>57</x:v>
      </x:c>
      <x:c r="F29" s="262">
        <x:v>46800</x:v>
      </x:c>
      <x:c r="G29" s="262"/>
      <x:c r="H29" s="111" t="s">
        <x:v>33</x:v>
      </x:c>
      <x:c r="I29" s="112">
        <x:f>SUM('1:25'!$I$25)</x:f>
        <x:v>55752600</x:v>
      </x:c>
      <x:c r="M29" s="66"/>
    </x:row>
    <x:row r="30" spans="1:13" ht="30.949999999999999" customHeight="1">
      <x:c r="A30" s="319"/>
      <x:c r="B30" s="54"/>
      <x:c r="C30" s="315"/>
      <x:c r="D30" s="315"/>
      <x:c r="E30" s="55"/>
      <x:c r="F30" s="310"/>
      <x:c r="G30" s="311"/>
      <x:c r="H30" s="111" t="s">
        <x:v>128</x:v>
      </x:c>
      <x:c r="I30" s="113">
        <x:f>I29/$I$27</x:f>
        <x:v>72.866515639975603</x:v>
      </x:c>
      <x:c r="M30" s="66"/>
    </x:row>
    <x:row r="31" spans="1:7" customHeight="1">
      <x:c r="A31" s="319"/>
      <x:c r="B31" s="54" t="s">
        <x:v>41</x:v>
      </x:c>
      <x:c r="C31" s="313">
        <x:f>3500000/30</x:f>
        <x:v>116666.66666666667</x:v>
      </x:c>
      <x:c r="D31" s="314"/>
      <x:c r="E31" s="55" t="s">
        <x:v>4</x:v>
      </x:c>
      <x:c r="F31" s="310">
        <x:v>120000</x:v>
      </x:c>
      <x:c r="G31" s="311"/>
    </x:row>
    <x:row r="32" spans="1:7" customHeight="1">
      <x:c r="A32" s="319"/>
      <x:c r="B32" s="54"/>
      <x:c r="C32" s="308"/>
      <x:c r="D32" s="309"/>
      <x:c r="E32" s="55" t="s">
        <x:v>138</x:v>
      </x:c>
      <x:c r="F32" s="310"/>
      <x:c r="G32" s="311"/>
    </x:row>
    <x:row r="33" spans="1:4" customHeight="1">
      <x:c r="A33" s="319"/>
      <x:c r="B33" s="54" t="s">
        <x:v>21</x:v>
      </x:c>
      <x:c r="C33" s="308"/>
      <x:c r="D33" s="309"/>
    </x:row>
    <x:row r="34" spans="1:4" customHeight="1">
      <x:c r="A34" s="320"/>
      <x:c r="B34" s="54"/>
      <x:c r="C34" s="310"/>
      <x:c r="D34" s="311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8"/>
  <x:dimension ref="A1:O34"/>
  <x:sheetViews>
    <x:sheetView topLeftCell="A1" zoomScale="85" zoomScaleNormal="85" zoomScaleSheetLayoutView="75" workbookViewId="0">
      <x:selection activeCell="J34" activeCellId="0" sqref="J34:J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11.75" style="53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152</x:v>
      </x:c>
      <x:c r="F1" s="68">
        <x:v>26</x:v>
      </x:c>
      <x:c r="G1" s="68" t="s">
        <x:v>28</x:v>
      </x:c>
      <x:c r="H1" s="52" t="s">
        <x:v>123</x:v>
      </x:c>
      <x:c r="I1" s="52">
        <x:f>F1-K1</x:f>
        <x:v>26</x:v>
      </x:c>
      <x:c r="J1" s="52" t="s">
        <x:v>98</x:v>
      </x:c>
      <x:c r="K1" s="52"/>
    </x:row>
    <x:row r="2" spans="1:11" ht="20.100000000000001" customHeight="1">
      <x:c r="A2" s="271" t="s">
        <x:v>9</x:v>
      </x:c>
      <x:c r="B2" s="272"/>
      <x:c r="C2" s="275">
        <x:f>SUM(C4:D7)</x:f>
        <x:v>5336500</x:v>
      </x:c>
      <x:c r="D2" s="275"/>
      <x:c r="E2" s="278" t="s">
        <x:v>40</x:v>
      </x:c>
      <x:c r="F2" s="279"/>
      <x:c r="G2" s="267">
        <x:v>80500</x:v>
      </x:c>
      <x:c r="H2" s="265" t="s">
        <x:v>6</x:v>
      </x:c>
      <x:c r="I2" s="266"/>
      <x:c r="J2" s="263" t="s">
        <x:v>74</x:v>
      </x:c>
      <x:c r="K2" s="264"/>
    </x:row>
    <x:row r="3" spans="1:11" ht="20.100000000000001" customHeight="1">
      <x:c r="A3" s="273"/>
      <x:c r="B3" s="274"/>
      <x:c r="C3" s="276"/>
      <x:c r="D3" s="276"/>
      <x:c r="E3" s="280"/>
      <x:c r="F3" s="281"/>
      <x:c r="G3" s="268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9" t="s">
        <x:v>22</x:v>
      </x:c>
      <x:c r="B4" s="270"/>
      <x:c r="C4" s="262">
        <x:v>5086500</x:v>
      </x:c>
      <x:c r="D4" s="262"/>
      <x:c r="E4" s="277" t="s">
        <x:v>146</x:v>
      </x:c>
      <x:c r="F4" s="277"/>
      <x:c r="G4" s="133">
        <x:f>INT(C4*0.0275)</x:f>
        <x:v>139878</x:v>
      </x:c>
      <x:c r="H4" s="54" t="s">
        <x:v>20</x:v>
      </x:c>
      <x:c r="I4" s="124"/>
      <x:c r="J4" s="80" t="s">
        <x:v>36</x:v>
      </x:c>
      <x:c r="K4" s="58"/>
    </x:row>
    <x:row r="5" spans="1:11" ht="30.949999999999999" customHeight="1">
      <x:c r="A5" s="269" t="s">
        <x:v>61</x:v>
      </x:c>
      <x:c r="B5" s="270"/>
      <x:c r="C5" s="262">
        <x:v>250000</x:v>
      </x:c>
      <x:c r="D5" s="262"/>
      <x:c r="E5" s="261" t="s">
        <x:v>70</x:v>
      </x:c>
      <x:c r="F5" s="261"/>
      <x:c r="G5" s="133">
        <x:f>INT(C5*0.01)</x:f>
        <x:v>2500</x:v>
      </x:c>
      <x:c r="H5" s="54" t="s">
        <x:v>6</x:v>
      </x:c>
      <x:c r="I5" s="124">
        <x:v>171720</x:v>
      </x:c>
      <x:c r="J5" s="81"/>
      <x:c r="K5" s="58"/>
    </x:row>
    <x:row r="6" spans="1:11" ht="21.949999999999999" customHeight="1">
      <x:c r="A6" s="256" t="s">
        <x:v>84</x:v>
      </x:c>
      <x:c r="B6" s="257"/>
      <x:c r="C6" s="301"/>
      <x:c r="D6" s="302"/>
      <x:c r="E6" s="288" t="s">
        <x:v>131</x:v>
      </x:c>
      <x:c r="F6" s="289"/>
      <x:c r="G6" s="282">
        <x:v>240000</x:v>
      </x:c>
      <x:c r="H6" s="54"/>
      <x:c r="I6" s="124"/>
      <x:c r="J6" s="81" t="s">
        <x:v>127</x:v>
      </x:c>
      <x:c r="K6" s="58">
        <x:v>84000</x:v>
      </x:c>
    </x:row>
    <x:row r="7" spans="1:11" ht="21.949999999999999" customHeight="1">
      <x:c r="A7" s="258"/>
      <x:c r="B7" s="259"/>
      <x:c r="C7" s="303"/>
      <x:c r="D7" s="304"/>
      <x:c r="E7" s="280"/>
      <x:c r="F7" s="281"/>
      <x:c r="G7" s="268"/>
      <x:c r="H7" s="54" t="s">
        <x:v>24</x:v>
      </x:c>
      <x:c r="I7" s="124">
        <x:v>378450</x:v>
      </x:c>
      <x:c r="J7" s="81" t="s">
        <x:v>116</x:v>
      </x:c>
      <x:c r="K7" s="58"/>
    </x:row>
    <x:row r="8" spans="1:11" ht="21.949999999999999" customHeight="1">
      <x:c r="A8" s="260" t="s">
        <x:v>134</x:v>
      </x:c>
      <x:c r="B8" s="261"/>
      <x:c r="C8" s="262">
        <x:v>91500</x:v>
      </x:c>
      <x:c r="D8" s="262"/>
      <x:c r="E8" s="288" t="s">
        <x:v>110</x:v>
      </x:c>
      <x:c r="F8" s="289"/>
      <x:c r="G8" s="294">
        <x:f>C5+G2-G6-C22</x:f>
        <x:v>90500</x:v>
      </x:c>
      <x:c r="H8" s="54" t="s">
        <x:v>45</x:v>
      </x:c>
      <x:c r="I8" s="124"/>
      <x:c r="J8" s="81"/>
      <x:c r="K8" s="58"/>
    </x:row>
    <x:row r="9" spans="1:11" ht="21.949999999999999" customHeight="1">
      <x:c r="A9" s="260"/>
      <x:c r="B9" s="261"/>
      <x:c r="C9" s="262"/>
      <x:c r="D9" s="262"/>
      <x:c r="E9" s="280"/>
      <x:c r="F9" s="281"/>
      <x:c r="G9" s="295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143</x:v>
      </x:c>
      <x:c r="B10" s="261"/>
      <x:c r="C10" s="262">
        <x:v>167000</x:v>
      </x:c>
      <x:c r="D10" s="262"/>
      <x:c r="E10" s="261" t="s">
        <x:v>87</x:v>
      </x:c>
      <x:c r="F10" s="261"/>
      <x:c r="G10" s="55"/>
      <x:c r="H10" s="54"/>
      <x:c r="I10" s="124"/>
      <x:c r="J10" s="54" t="s">
        <x:v>53</x:v>
      </x:c>
      <x:c r="K10" s="58"/>
    </x:row>
    <x:row r="11" spans="1:11" ht="33" customHeight="1">
      <x:c r="A11" s="260" t="s">
        <x:v>103</x:v>
      </x:c>
      <x:c r="B11" s="261"/>
      <x:c r="C11" s="300"/>
      <x:c r="D11" s="300"/>
      <x:c r="E11" s="300"/>
      <x:c r="F11" s="300"/>
      <x:c r="G11" s="300"/>
      <x:c r="H11" s="54" t="s">
        <x:v>58</x:v>
      </x:c>
      <x:c r="I11" s="58"/>
      <x:c r="J11" s="54" t="s">
        <x:v>82</x:v>
      </x:c>
      <x:c r="K11" s="151"/>
    </x:row>
    <x:row r="12" spans="1:13" ht="21.949999999999999" customHeight="1">
      <x:c r="A12" s="59" t="s">
        <x:v>48</x:v>
      </x:c>
      <x:c r="B12" s="298" t="s">
        <x:v>42</x:v>
      </x:c>
      <x:c r="C12" s="79">
        <x:v>3</x:v>
      </x:c>
      <x:c r="D12" s="288" t="s">
        <x:v>133</x:v>
      </x:c>
      <x:c r="E12" s="289"/>
      <x:c r="F12" s="292">
        <x:v>7</x:v>
      </x:c>
      <x:c r="G12" s="293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9"/>
      <x:c r="C13" s="134">
        <x:f>SUM('1:26'!$C$12)</x:f>
        <x:v>217</x:v>
      </x:c>
      <x:c r="D13" s="280"/>
      <x:c r="E13" s="281"/>
      <x:c r="F13" s="290">
        <x:f>SUM('1:26'!$F$12)</x:f>
        <x:v>142</x:v>
      </x:c>
      <x:c r="G13" s="291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8" t="s">
        <x:v>64</x:v>
      </x:c>
      <x:c r="C14" s="79">
        <x:v>8</x:v>
      </x:c>
      <x:c r="D14" s="288" t="s">
        <x:v>95</x:v>
      </x:c>
      <x:c r="E14" s="289"/>
      <x:c r="F14" s="292">
        <x:v>5</x:v>
      </x:c>
      <x:c r="G14" s="293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9"/>
      <x:c r="C15" s="134">
        <x:f>SUM('1:26'!$C$14)</x:f>
        <x:v>506</x:v>
      </x:c>
      <x:c r="D15" s="280"/>
      <x:c r="E15" s="281"/>
      <x:c r="F15" s="290">
        <x:f>SUM('1:26'!$F$14)</x:f>
        <x:v>223</x:v>
      </x:c>
      <x:c r="G15" s="291"/>
      <x:c r="H15" s="54" t="s">
        <x:v>106</x:v>
      </x:c>
      <x:c r="I15" s="58">
        <x:v>226950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8" t="s">
        <x:v>51</x:v>
      </x:c>
      <x:c r="C16" s="79">
        <x:v>6</x:v>
      </x:c>
      <x:c r="D16" s="288" t="s">
        <x:v>117</x:v>
      </x:c>
      <x:c r="E16" s="289"/>
      <x:c r="F16" s="286">
        <x:v>25</x:v>
      </x:c>
      <x:c r="G16" s="286"/>
      <x:c r="H16" s="54"/>
      <x:c r="I16" s="58"/>
      <x:c r="J16" s="54" t="s">
        <x:v>97</x:v>
      </x:c>
      <x:c r="K16" s="58">
        <x:v>181580</x:v>
      </x:c>
      <x:c r="L16" s="60"/>
      <x:c r="M16" s="11"/>
    </x:row>
    <x:row r="17" spans="1:13" ht="21.949999999999999" customHeight="1">
      <x:c r="A17" s="59" t="s">
        <x:v>96</x:v>
      </x:c>
      <x:c r="B17" s="299"/>
      <x:c r="C17" s="134">
        <x:f>SUM('1:26'!$C$16)</x:f>
        <x:v>117</x:v>
      </x:c>
      <x:c r="D17" s="280"/>
      <x:c r="E17" s="281"/>
      <x:c r="F17" s="287">
        <x:f>SUM('1:26'!$F$16)</x:f>
        <x:v>288</x:v>
      </x:c>
      <x:c r="G17" s="287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8" t="s">
        <x:v>91</x:v>
      </x:c>
      <x:c r="C18" s="79">
        <x:v>3</x:v>
      </x:c>
      <x:c r="D18" s="288" t="s">
        <x:v>130</x:v>
      </x:c>
      <x:c r="E18" s="289"/>
      <x:c r="F18" s="296">
        <x:v>8</x:v>
      </x:c>
      <x:c r="G18" s="297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9"/>
      <x:c r="C19" s="134">
        <x:f>SUM('1:26'!$C$18)</x:f>
        <x:v>258</x:v>
      </x:c>
      <x:c r="D19" s="280"/>
      <x:c r="E19" s="281"/>
      <x:c r="F19" s="287">
        <x:f>SUM('1:26'!$F$18)</x:f>
        <x:v>104</x:v>
      </x:c>
      <x:c r="G19" s="287"/>
      <x:c r="H19" s="58"/>
      <x:c r="I19" s="58"/>
      <x:c r="J19" s="54"/>
      <x:c r="K19" s="58"/>
      <x:c r="L19" s="60"/>
      <x:c r="M19" s="11"/>
    </x:row>
    <x:row r="20" spans="2:13" ht="21.949999999999999" customHeight="1">
      <x:c r="B20" s="52" t="s">
        <x:v>151</x:v>
      </x:c>
      <x:c r="D20" s="261" t="s">
        <x:v>113</x:v>
      </x:c>
      <x:c r="E20" s="261"/>
      <x:c r="F20" s="286">
        <x:v>49</x:v>
      </x:c>
      <x:c r="G20" s="286"/>
      <x:c r="H20" s="58"/>
      <x:c r="J20" s="54"/>
      <x:c r="K20" s="58"/>
      <x:c r="L20" s="60"/>
      <x:c r="M20" s="11"/>
    </x:row>
    <x:row r="21" spans="4:13" ht="21.949999999999999" customHeight="1">
      <x:c r="D21" s="261" t="s">
        <x:v>114</x:v>
      </x:c>
      <x:c r="E21" s="261"/>
      <x:c r="F21" s="287">
        <x:f>SUM('1:26'!$F$20)</x:f>
        <x:v>1435</x:v>
      </x:c>
      <x:c r="G21" s="287"/>
      <x:c r="H21" s="58"/>
      <x:c r="J21" s="54"/>
      <x:c r="K21" s="58"/>
      <x:c r="L21" s="60"/>
      <x:c r="M21" s="11"/>
    </x:row>
    <x:row r="22" spans="1:13" ht="32.100000000000001" customHeight="1">
      <x:c r="A22" s="260" t="s">
        <x:v>83</x:v>
      </x:c>
      <x:c r="B22" s="261"/>
      <x:c r="C22" s="285"/>
      <x:c r="D22" s="285"/>
      <x:c r="E22" s="285"/>
      <x:c r="F22" s="285"/>
      <x:c r="G22" s="285"/>
      <x:c r="H22" s="54"/>
      <x:c r="J22" s="54"/>
      <x:c r="K22" s="58"/>
      <x:c r="L22" s="60"/>
      <x:c r="M22" s="11"/>
    </x:row>
    <x:row r="23" spans="1:15" ht="34.149999999999999" customHeight="1">
      <x:c r="A23" s="260" t="s">
        <x:v>124</x:v>
      </x:c>
      <x:c r="B23" s="261"/>
      <x:c r="C23" s="316"/>
      <x:c r="D23" s="317"/>
      <x:c r="E23" s="317"/>
      <x:c r="F23" s="317"/>
      <x:c r="G23" s="317"/>
      <x:c r="H23" s="107" t="s">
        <x:v>94</x:v>
      </x:c>
      <x:c r="I23" s="108">
        <x:f>SUM(I4:I22)</x:f>
        <x:v>777120</x:v>
      </x:c>
      <x:c r="J23" s="61" t="s">
        <x:v>119</x:v>
      </x:c>
      <x:c r="K23" s="62">
        <x:f>SUM(K4:K22)</x:f>
        <x:v>265580</x:v>
      </x:c>
      <x:c r="M23" s="88" t="s">
        <x:v>93</x:v>
      </x:c>
      <x:c r="N23" s="283">
        <x:f>C5+C6</x:f>
        <x:v>250000</x:v>
      </x:c>
      <x:c r="O23" s="284"/>
    </x:row>
    <x:row r="24" spans="1:11" ht="34.149999999999999" customHeight="1">
      <x:c r="A24" s="260" t="s">
        <x:v>8</x:v>
      </x:c>
      <x:c r="B24" s="261"/>
      <x:c r="C24" s="261" t="s">
        <x:v>86</x:v>
      </x:c>
      <x:c r="D24" s="261"/>
      <x:c r="E24" s="261" t="s">
        <x:v>101</x:v>
      </x:c>
      <x:c r="F24" s="261"/>
      <x:c r="G24" s="261"/>
      <x:c r="H24" s="107" t="s">
        <x:v>8</x:v>
      </x:c>
      <x:c r="I24" s="109">
        <x:f>I23/A25</x:f>
        <x:v>0.14562353602548486</x:v>
      </x:c>
      <x:c r="J24" s="61" t="s">
        <x:v>8</x:v>
      </x:c>
      <x:c r="K24" s="63">
        <x:f>K23/A25</x:f>
        <x:v>0.049766701021268622</x:v>
      </x:c>
    </x:row>
    <x:row r="25" spans="1:11" ht="34.149999999999999" customHeight="1">
      <x:c r="A25" s="312">
        <x:f>C2</x:f>
        <x:v>5336500</x:v>
      </x:c>
      <x:c r="B25" s="276"/>
      <x:c r="C25" s="364">
        <x:f>E25/I1</x:f>
        <x:v>4329888.461538462</x:v>
      </x:c>
      <x:c r="D25" s="276"/>
      <x:c r="E25" s="276">
        <x:f>SUM('1:26'!$A$25)</x:f>
        <x:v>112577100</x:v>
      </x:c>
      <x:c r="F25" s="276"/>
      <x:c r="G25" s="276"/>
      <x:c r="H25" s="107" t="s">
        <x:v>33</x:v>
      </x:c>
      <x:c r="I25" s="108">
        <x:f>SUM('1'!$I$23)</x:f>
        <x:v>2230104</x:v>
      </x:c>
      <x:c r="J25" s="61" t="s">
        <x:v>33</x:v>
      </x:c>
      <x:c r="K25" s="62">
        <x:f>SUM('1:26'!$K$21)</x:f>
        <x:v>0</x:v>
      </x:c>
    </x:row>
    <x:row r="26" spans="1:11" ht="34.149999999999999" customHeight="1">
      <x:c r="A26" s="260" t="s">
        <x:v>142</x:v>
      </x:c>
      <x:c r="B26" s="261"/>
      <x:c r="C26" s="261"/>
      <x:c r="D26" s="261"/>
      <x:c r="E26" s="262"/>
      <x:c r="F26" s="262"/>
      <x:c r="G26" s="262"/>
      <x:c r="H26" s="107" t="s">
        <x:v>128</x:v>
      </x:c>
      <x:c r="I26" s="110">
        <x:f>I25/$E$25</x:f>
        <x:v>0.019809570507678738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8" t="s">
        <x:v>141</x:v>
      </x:c>
      <x:c r="B27" s="54" t="s">
        <x:v>44</x:v>
      </x:c>
      <x:c r="C27" s="276">
        <x:f>4000000/30</x:f>
        <x:v>133333.33333333334</x:v>
      </x:c>
      <x:c r="D27" s="276"/>
      <x:c r="E27" s="55" t="s">
        <x:v>147</x:v>
      </x:c>
      <x:c r="F27" s="262">
        <x:f>13000*5</x:f>
        <x:v>65000</x:v>
      </x:c>
      <x:c r="G27" s="262"/>
      <x:c r="H27" s="111" t="s">
        <x:v>118</x:v>
      </x:c>
      <x:c r="I27" s="112">
        <x:f>SUM(C27:D34,F27:G32)</x:f>
        <x:v>763833.33333333337</x:v>
      </x:c>
      <x:c r="M27" s="66"/>
    </x:row>
    <x:row r="28" spans="1:13" ht="30.949999999999999" customHeight="1">
      <x:c r="A28" s="319"/>
      <x:c r="B28" s="54" t="s">
        <x:v>23</x:v>
      </x:c>
      <x:c r="C28" s="276">
        <x:f>3800000/30</x:f>
        <x:v>126666.66666666667</x:v>
      </x:c>
      <x:c r="D28" s="276"/>
      <x:c r="E28" s="55" t="s">
        <x:v>149</x:v>
      </x:c>
      <x:c r="F28" s="276">
        <x:f>1500000/30</x:f>
        <x:v>50000</x:v>
      </x:c>
      <x:c r="G28" s="276"/>
      <x:c r="H28" s="111" t="s">
        <x:v>8</x:v>
      </x:c>
      <x:c r="I28" s="113">
        <x:f>I27/$A$25</x:f>
        <x:v>0.14313376432743061</x:v>
      </x:c>
      <x:c r="M28" s="66"/>
    </x:row>
    <x:row r="29" spans="1:13" ht="30.949999999999999" customHeight="1">
      <x:c r="A29" s="319"/>
      <x:c r="B29" s="54" t="s">
        <x:v>47</x:v>
      </x:c>
      <x:c r="C29" s="276">
        <x:f>3200000/30</x:f>
        <x:v>106666.66666666667</x:v>
      </x:c>
      <x:c r="D29" s="276"/>
      <x:c r="E29" s="54" t="s">
        <x:v>57</x:v>
      </x:c>
      <x:c r="F29" s="262"/>
      <x:c r="G29" s="262"/>
      <x:c r="H29" s="111" t="s">
        <x:v>33</x:v>
      </x:c>
      <x:c r="I29" s="112">
        <x:f>SUM('1:26'!$I$25)</x:f>
        <x:v>57982704</x:v>
      </x:c>
      <x:c r="M29" s="66"/>
    </x:row>
    <x:row r="30" spans="1:13" ht="30.949999999999999" customHeight="1">
      <x:c r="A30" s="319"/>
      <x:c r="B30" s="54"/>
      <x:c r="C30" s="315"/>
      <x:c r="D30" s="315"/>
      <x:c r="E30" s="55"/>
      <x:c r="F30" s="310"/>
      <x:c r="G30" s="311"/>
      <x:c r="H30" s="111" t="s">
        <x:v>128</x:v>
      </x:c>
      <x:c r="I30" s="113">
        <x:f>I29/$I$27</x:f>
        <x:v>75.91015142919484</x:v>
      </x:c>
      <x:c r="M30" s="66"/>
    </x:row>
    <x:row r="31" spans="1:7" customHeight="1">
      <x:c r="A31" s="319"/>
      <x:c r="B31" s="54" t="s">
        <x:v>41</x:v>
      </x:c>
      <x:c r="C31" s="313">
        <x:f>3500000/30</x:f>
        <x:v>116666.66666666667</x:v>
      </x:c>
      <x:c r="D31" s="314"/>
      <x:c r="E31" s="55" t="s">
        <x:v>4</x:v>
      </x:c>
      <x:c r="F31" s="310">
        <x:v>120000</x:v>
      </x:c>
      <x:c r="G31" s="311"/>
    </x:row>
    <x:row r="32" spans="1:7" customHeight="1">
      <x:c r="A32" s="319"/>
      <x:c r="B32" s="54"/>
      <x:c r="C32" s="308"/>
      <x:c r="D32" s="309"/>
      <x:c r="E32" s="55" t="s">
        <x:v>138</x:v>
      </x:c>
      <x:c r="F32" s="310"/>
      <x:c r="G32" s="311"/>
    </x:row>
    <x:row r="33" spans="1:4" customHeight="1">
      <x:c r="A33" s="319"/>
      <x:c r="B33" s="54" t="s">
        <x:v>21</x:v>
      </x:c>
      <x:c r="C33" s="308">
        <x:v>45500</x:v>
      </x:c>
      <x:c r="D33" s="309"/>
    </x:row>
    <x:row r="34" spans="1:4" customHeight="1">
      <x:c r="A34" s="320"/>
      <x:c r="B34" s="54"/>
      <x:c r="C34" s="310"/>
      <x:c r="D34" s="311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9"/>
  <x:dimension ref="A1:O34"/>
  <x:sheetViews>
    <x:sheetView topLeftCell="A1" zoomScale="85" zoomScaleNormal="85" zoomScaleSheetLayoutView="75" workbookViewId="0">
      <x:selection activeCell="J34" activeCellId="0" sqref="J34:J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152</x:v>
      </x:c>
      <x:c r="F1" s="68">
        <x:v>27</x:v>
      </x:c>
      <x:c r="G1" s="68" t="s">
        <x:v>18</x:v>
      </x:c>
      <x:c r="H1" s="52" t="s">
        <x:v>123</x:v>
      </x:c>
      <x:c r="I1" s="52">
        <x:f>F1-K1</x:f>
        <x:v>27</x:v>
      </x:c>
      <x:c r="J1" s="52" t="s">
        <x:v>98</x:v>
      </x:c>
      <x:c r="K1" s="52"/>
    </x:row>
    <x:row r="2" spans="1:11" ht="20.100000000000001" customHeight="1">
      <x:c r="A2" s="271" t="s">
        <x:v>9</x:v>
      </x:c>
      <x:c r="B2" s="272"/>
      <x:c r="C2" s="275">
        <x:f>SUM(C4:D7)</x:f>
        <x:v>4748000</x:v>
      </x:c>
      <x:c r="D2" s="275"/>
      <x:c r="E2" s="278" t="s">
        <x:v>40</x:v>
      </x:c>
      <x:c r="F2" s="279"/>
      <x:c r="G2" s="267">
        <x:v>91500</x:v>
      </x:c>
      <x:c r="H2" s="265" t="s">
        <x:v>6</x:v>
      </x:c>
      <x:c r="I2" s="266"/>
      <x:c r="J2" s="263" t="s">
        <x:v>74</x:v>
      </x:c>
      <x:c r="K2" s="264"/>
    </x:row>
    <x:row r="3" spans="1:11" ht="20.100000000000001" customHeight="1">
      <x:c r="A3" s="273"/>
      <x:c r="B3" s="274"/>
      <x:c r="C3" s="276"/>
      <x:c r="D3" s="276"/>
      <x:c r="E3" s="280"/>
      <x:c r="F3" s="281"/>
      <x:c r="G3" s="268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9" t="s">
        <x:v>22</x:v>
      </x:c>
      <x:c r="B4" s="270"/>
      <x:c r="C4" s="262">
        <x:v>3869000</x:v>
      </x:c>
      <x:c r="D4" s="262"/>
      <x:c r="E4" s="277" t="s">
        <x:v>146</x:v>
      </x:c>
      <x:c r="F4" s="277"/>
      <x:c r="G4" s="133">
        <x:f>INT(C4*0.0275)</x:f>
        <x:v>106397</x:v>
      </x:c>
      <x:c r="H4" s="54" t="s">
        <x:v>20</x:v>
      </x:c>
      <x:c r="I4" s="124">
        <x:v>238808</x:v>
      </x:c>
      <x:c r="J4" s="80" t="s">
        <x:v>36</x:v>
      </x:c>
      <x:c r="K4" s="58"/>
    </x:row>
    <x:row r="5" spans="1:11" ht="30.949999999999999" customHeight="1">
      <x:c r="A5" s="269" t="s">
        <x:v>61</x:v>
      </x:c>
      <x:c r="B5" s="270"/>
      <x:c r="C5" s="262">
        <x:v>879000</x:v>
      </x:c>
      <x:c r="D5" s="262"/>
      <x:c r="E5" s="261" t="s">
        <x:v>70</x:v>
      </x:c>
      <x:c r="F5" s="261"/>
      <x:c r="G5" s="133">
        <x:f>INT(C5*0.01)</x:f>
        <x:v>8790</x:v>
      </x:c>
      <x:c r="H5" s="54" t="s">
        <x:v>6</x:v>
      </x:c>
      <x:c r="I5" s="124"/>
      <x:c r="J5" s="81"/>
      <x:c r="K5" s="58"/>
    </x:row>
    <x:row r="6" spans="1:11" ht="21.949999999999999" customHeight="1">
      <x:c r="A6" s="256" t="s">
        <x:v>84</x:v>
      </x:c>
      <x:c r="B6" s="257"/>
      <x:c r="C6" s="301"/>
      <x:c r="D6" s="302"/>
      <x:c r="E6" s="288" t="s">
        <x:v>131</x:v>
      </x:c>
      <x:c r="F6" s="289"/>
      <x:c r="G6" s="282">
        <x:v>900000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8"/>
      <x:c r="B7" s="259"/>
      <x:c r="C7" s="303"/>
      <x:c r="D7" s="304"/>
      <x:c r="E7" s="280"/>
      <x:c r="F7" s="281"/>
      <x:c r="G7" s="268"/>
      <x:c r="H7" s="54" t="s">
        <x:v>24</x:v>
      </x:c>
      <x:c r="I7" s="124"/>
      <x:c r="J7" s="81" t="s">
        <x:v>116</x:v>
      </x:c>
      <x:c r="K7" s="58"/>
    </x:row>
    <x:row r="8" spans="1:11" ht="21.949999999999999" customHeight="1">
      <x:c r="A8" s="260" t="s">
        <x:v>134</x:v>
      </x:c>
      <x:c r="B8" s="261"/>
      <x:c r="C8" s="262">
        <x:v>70500</x:v>
      </x:c>
      <x:c r="D8" s="262"/>
      <x:c r="E8" s="288" t="s">
        <x:v>110</x:v>
      </x:c>
      <x:c r="F8" s="289"/>
      <x:c r="G8" s="294">
        <x:f>C5+G2-G6-C22</x:f>
        <x:v>70500</x:v>
      </x:c>
      <x:c r="H8" s="54" t="s">
        <x:v>45</x:v>
      </x:c>
      <x:c r="I8" s="124"/>
      <x:c r="J8" s="81"/>
      <x:c r="K8" s="58"/>
    </x:row>
    <x:row r="9" spans="1:11" ht="21.949999999999999" customHeight="1">
      <x:c r="A9" s="260"/>
      <x:c r="B9" s="261"/>
      <x:c r="C9" s="262"/>
      <x:c r="D9" s="262"/>
      <x:c r="E9" s="280"/>
      <x:c r="F9" s="281"/>
      <x:c r="G9" s="295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143</x:v>
      </x:c>
      <x:c r="B10" s="261"/>
      <x:c r="C10" s="262">
        <x:v>60000</x:v>
      </x:c>
      <x:c r="D10" s="262"/>
      <x:c r="E10" s="261" t="s">
        <x:v>87</x:v>
      </x:c>
      <x:c r="F10" s="261"/>
      <x:c r="G10" s="55"/>
      <x:c r="H10" s="54"/>
      <x:c r="I10" s="124"/>
      <x:c r="J10" s="54" t="s">
        <x:v>53</x:v>
      </x:c>
      <x:c r="K10" s="58"/>
    </x:row>
    <x:row r="11" spans="1:11" ht="33" customHeight="1">
      <x:c r="A11" s="260" t="s">
        <x:v>103</x:v>
      </x:c>
      <x:c r="B11" s="261"/>
      <x:c r="C11" s="300"/>
      <x:c r="D11" s="300"/>
      <x:c r="E11" s="300"/>
      <x:c r="F11" s="300"/>
      <x:c r="G11" s="300"/>
      <x:c r="H11" s="54" t="s">
        <x:v>58</x:v>
      </x:c>
      <x:c r="I11" s="58"/>
      <x:c r="J11" s="54" t="s">
        <x:v>82</x:v>
      </x:c>
      <x:c r="K11" s="151"/>
    </x:row>
    <x:row r="12" spans="1:13" ht="21.949999999999999" customHeight="1">
      <x:c r="A12" s="59" t="s">
        <x:v>48</x:v>
      </x:c>
      <x:c r="B12" s="298" t="s">
        <x:v>42</x:v>
      </x:c>
      <x:c r="C12" s="79">
        <x:v>13</x:v>
      </x:c>
      <x:c r="D12" s="288" t="s">
        <x:v>133</x:v>
      </x:c>
      <x:c r="E12" s="289"/>
      <x:c r="F12" s="292">
        <x:v>2</x:v>
      </x:c>
      <x:c r="G12" s="293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9"/>
      <x:c r="C13" s="134">
        <x:f>SUM('1:27'!$C$12)</x:f>
        <x:v>230</x:v>
      </x:c>
      <x:c r="D13" s="280"/>
      <x:c r="E13" s="281"/>
      <x:c r="F13" s="290">
        <x:f>SUM('1:27'!$F$12)</x:f>
        <x:v>144</x:v>
      </x:c>
      <x:c r="G13" s="291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8" t="s">
        <x:v>64</x:v>
      </x:c>
      <x:c r="C14" s="79">
        <x:v>20</x:v>
      </x:c>
      <x:c r="D14" s="288" t="s">
        <x:v>95</x:v>
      </x:c>
      <x:c r="E14" s="289"/>
      <x:c r="F14" s="292">
        <x:v>7</x:v>
      </x:c>
      <x:c r="G14" s="293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9"/>
      <x:c r="C15" s="134">
        <x:f>SUM('1:27'!$C$14)</x:f>
        <x:v>526</x:v>
      </x:c>
      <x:c r="D15" s="280"/>
      <x:c r="E15" s="281"/>
      <x:c r="F15" s="290">
        <x:f>SUM('1:27'!$F$14)</x:f>
        <x:v>230</x:v>
      </x:c>
      <x:c r="G15" s="291"/>
      <x:c r="H15" s="54" t="s">
        <x:v>106</x:v>
      </x:c>
      <x:c r="I15" s="58">
        <x:v>250150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8" t="s">
        <x:v>51</x:v>
      </x:c>
      <x:c r="C16" s="79">
        <x:v>6</x:v>
      </x:c>
      <x:c r="D16" s="288" t="s">
        <x:v>117</x:v>
      </x:c>
      <x:c r="E16" s="289"/>
      <x:c r="F16" s="286">
        <x:v>7</x:v>
      </x:c>
      <x:c r="G16" s="286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9"/>
      <x:c r="C17" s="134">
        <x:f>SUM('1:27'!$C$16)</x:f>
        <x:v>123</x:v>
      </x:c>
      <x:c r="D17" s="280"/>
      <x:c r="E17" s="281"/>
      <x:c r="F17" s="287">
        <x:f>SUM('1:27'!$F$16)</x:f>
        <x:v>295</x:v>
      </x:c>
      <x:c r="G17" s="287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8" t="s">
        <x:v>91</x:v>
      </x:c>
      <x:c r="C18" s="79">
        <x:v>8</x:v>
      </x:c>
      <x:c r="D18" s="288" t="s">
        <x:v>130</x:v>
      </x:c>
      <x:c r="E18" s="289"/>
      <x:c r="F18" s="296">
        <x:v>2</x:v>
      </x:c>
      <x:c r="G18" s="297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9"/>
      <x:c r="C19" s="134">
        <x:f>SUM('1:27'!$C$18)</x:f>
        <x:v>266</x:v>
      </x:c>
      <x:c r="D19" s="280"/>
      <x:c r="E19" s="281"/>
      <x:c r="F19" s="287">
        <x:f>SUM('1:27'!$F$18)</x:f>
        <x:v>106</x:v>
      </x:c>
      <x:c r="G19" s="287"/>
      <x:c r="H19" s="58"/>
      <x:c r="I19" s="58"/>
      <x:c r="J19" s="54"/>
      <x:c r="K19" s="58"/>
      <x:c r="L19" s="60"/>
      <x:c r="M19" s="11"/>
    </x:row>
    <x:row r="20" spans="2:13" ht="21.949999999999999" customHeight="1">
      <x:c r="B20" s="52" t="s">
        <x:v>151</x:v>
      </x:c>
      <x:c r="D20" s="261" t="s">
        <x:v>113</x:v>
      </x:c>
      <x:c r="E20" s="261"/>
      <x:c r="F20" s="286">
        <x:v>62</x:v>
      </x:c>
      <x:c r="G20" s="286"/>
      <x:c r="H20" s="58"/>
      <x:c r="J20" s="54"/>
      <x:c r="K20" s="58"/>
      <x:c r="L20" s="60"/>
      <x:c r="M20" s="11"/>
    </x:row>
    <x:row r="21" spans="4:13" ht="21.949999999999999" customHeight="1">
      <x:c r="D21" s="261" t="s">
        <x:v>114</x:v>
      </x:c>
      <x:c r="E21" s="261"/>
      <x:c r="F21" s="287">
        <x:f>SUM('1:27'!$F$20)</x:f>
        <x:v>1497</x:v>
      </x:c>
      <x:c r="G21" s="287"/>
      <x:c r="H21" s="58"/>
      <x:c r="J21" s="54"/>
      <x:c r="K21" s="58"/>
      <x:c r="L21" s="60"/>
      <x:c r="M21" s="11"/>
    </x:row>
    <x:row r="22" spans="1:13" ht="32.100000000000001" customHeight="1">
      <x:c r="A22" s="260" t="s">
        <x:v>83</x:v>
      </x:c>
      <x:c r="B22" s="261"/>
      <x:c r="C22" s="285"/>
      <x:c r="D22" s="285"/>
      <x:c r="E22" s="285"/>
      <x:c r="F22" s="285"/>
      <x:c r="G22" s="285"/>
      <x:c r="H22" s="54"/>
      <x:c r="J22" s="54"/>
      <x:c r="K22" s="58"/>
      <x:c r="L22" s="60"/>
      <x:c r="M22" s="11"/>
    </x:row>
    <x:row r="23" spans="1:15" ht="34.149999999999999" customHeight="1">
      <x:c r="A23" s="260" t="s">
        <x:v>124</x:v>
      </x:c>
      <x:c r="B23" s="261"/>
      <x:c r="C23" s="316"/>
      <x:c r="D23" s="317"/>
      <x:c r="E23" s="317"/>
      <x:c r="F23" s="317"/>
      <x:c r="G23" s="317"/>
      <x:c r="H23" s="107" t="s">
        <x:v>94</x:v>
      </x:c>
      <x:c r="I23" s="108">
        <x:f>SUM(I4:I22)</x:f>
        <x:v>488958</x:v>
      </x:c>
      <x:c r="J23" s="61" t="s">
        <x:v>119</x:v>
      </x:c>
      <x:c r="K23" s="62">
        <x:f>SUM(K4:K22)</x:f>
        <x:v>0</x:v>
      </x:c>
      <x:c r="M23" s="88" t="s">
        <x:v>93</x:v>
      </x:c>
      <x:c r="N23" s="283">
        <x:f>C5+C6</x:f>
        <x:v>879000</x:v>
      </x:c>
      <x:c r="O23" s="284"/>
    </x:row>
    <x:row r="24" spans="1:11" ht="34.149999999999999" customHeight="1">
      <x:c r="A24" s="260" t="s">
        <x:v>8</x:v>
      </x:c>
      <x:c r="B24" s="261"/>
      <x:c r="C24" s="261" t="s">
        <x:v>86</x:v>
      </x:c>
      <x:c r="D24" s="261"/>
      <x:c r="E24" s="261" t="s">
        <x:v>101</x:v>
      </x:c>
      <x:c r="F24" s="261"/>
      <x:c r="G24" s="261"/>
      <x:c r="H24" s="107" t="s">
        <x:v>8</x:v>
      </x:c>
      <x:c r="I24" s="109">
        <x:f>I23/A25</x:f>
        <x:v>0.10298188711036226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12">
        <x:f>C2</x:f>
        <x:v>4748000</x:v>
      </x:c>
      <x:c r="B25" s="276"/>
      <x:c r="C25" s="276">
        <x:f>E25/I1</x:f>
        <x:v>4345374.0740740737</x:v>
      </x:c>
      <x:c r="D25" s="276"/>
      <x:c r="E25" s="276">
        <x:f>SUM('1:27'!$A$25)</x:f>
        <x:v>117325100</x:v>
      </x:c>
      <x:c r="F25" s="276"/>
      <x:c r="G25" s="276"/>
      <x:c r="H25" s="107" t="s">
        <x:v>33</x:v>
      </x:c>
      <x:c r="I25" s="108">
        <x:f>SUM('1'!$I$23)</x:f>
        <x:v>2230104</x:v>
      </x:c>
      <x:c r="J25" s="61" t="s">
        <x:v>33</x:v>
      </x:c>
      <x:c r="K25" s="62">
        <x:f>SUM('1:27'!$K$21)</x:f>
        <x:v>0</x:v>
      </x:c>
    </x:row>
    <x:row r="26" spans="1:11" ht="34.149999999999999" customHeight="1">
      <x:c r="A26" s="260" t="s">
        <x:v>142</x:v>
      </x:c>
      <x:c r="B26" s="261"/>
      <x:c r="C26" s="261"/>
      <x:c r="D26" s="261"/>
      <x:c r="E26" s="262"/>
      <x:c r="F26" s="262"/>
      <x:c r="G26" s="262"/>
      <x:c r="H26" s="107" t="s">
        <x:v>128</x:v>
      </x:c>
      <x:c r="I26" s="110">
        <x:f>I25/$E$25</x:f>
        <x:v>0.01900790197493972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8" t="s">
        <x:v>141</x:v>
      </x:c>
      <x:c r="B27" s="54" t="s">
        <x:v>44</x:v>
      </x:c>
      <x:c r="C27" s="276">
        <x:f>4000000/30</x:f>
        <x:v>133333.33333333334</x:v>
      </x:c>
      <x:c r="D27" s="276"/>
      <x:c r="E27" s="55" t="s">
        <x:v>147</x:v>
      </x:c>
      <x:c r="F27" s="262"/>
      <x:c r="G27" s="262"/>
      <x:c r="H27" s="111" t="s">
        <x:v>118</x:v>
      </x:c>
      <x:c r="I27" s="112">
        <x:f>SUM(C27:D34,F27:G32)</x:f>
        <x:v>870333.33333333337</x:v>
      </x:c>
      <x:c r="M27" s="66"/>
    </x:row>
    <x:row r="28" spans="1:13" ht="30.949999999999999" customHeight="1">
      <x:c r="A28" s="319"/>
      <x:c r="B28" s="54" t="s">
        <x:v>23</x:v>
      </x:c>
      <x:c r="C28" s="276">
        <x:f>3800000/30</x:f>
        <x:v>126666.66666666667</x:v>
      </x:c>
      <x:c r="D28" s="276"/>
      <x:c r="E28" s="55" t="s">
        <x:v>149</x:v>
      </x:c>
      <x:c r="F28" s="276">
        <x:f>1500000/30</x:f>
        <x:v>50000</x:v>
      </x:c>
      <x:c r="G28" s="276"/>
      <x:c r="H28" s="111" t="s">
        <x:v>8</x:v>
      </x:c>
      <x:c r="I28" s="113">
        <x:f>I27/$A$25</x:f>
        <x:v>0.18330525133389497</x:v>
      </x:c>
      <x:c r="M28" s="66"/>
    </x:row>
    <x:row r="29" spans="1:13" ht="30.949999999999999" customHeight="1">
      <x:c r="A29" s="319"/>
      <x:c r="B29" s="54" t="s">
        <x:v>47</x:v>
      </x:c>
      <x:c r="C29" s="276">
        <x:f>3200000/30</x:f>
        <x:v>106666.66666666667</x:v>
      </x:c>
      <x:c r="D29" s="276"/>
      <x:c r="E29" s="54" t="s">
        <x:v>57</x:v>
      </x:c>
      <x:c r="F29" s="262"/>
      <x:c r="G29" s="262"/>
      <x:c r="H29" s="111" t="s">
        <x:v>33</x:v>
      </x:c>
      <x:c r="I29" s="112">
        <x:f>SUM('1:27'!$I$25)</x:f>
        <x:v>60212808</x:v>
      </x:c>
      <x:c r="M29" s="66"/>
    </x:row>
    <x:row r="30" spans="1:13" ht="30.949999999999999" customHeight="1">
      <x:c r="A30" s="319"/>
      <x:c r="B30" s="54"/>
      <x:c r="C30" s="315"/>
      <x:c r="D30" s="315"/>
      <x:c r="E30" s="55"/>
      <x:c r="F30" s="310"/>
      <x:c r="G30" s="311"/>
      <x:c r="H30" s="111" t="s">
        <x:v>128</x:v>
      </x:c>
      <x:c r="I30" s="113">
        <x:f>I29/$I$27</x:f>
        <x:v>69.183617004978927</x:v>
      </x:c>
      <x:c r="M30" s="66"/>
    </x:row>
    <x:row r="31" spans="1:7" customHeight="1">
      <x:c r="A31" s="319"/>
      <x:c r="B31" s="54" t="s">
        <x:v>41</x:v>
      </x:c>
      <x:c r="C31" s="313">
        <x:f>3500000/30</x:f>
        <x:v>116666.66666666667</x:v>
      </x:c>
      <x:c r="D31" s="314"/>
      <x:c r="E31" s="55" t="s">
        <x:v>4</x:v>
      </x:c>
      <x:c r="F31" s="310">
        <x:v>142000</x:v>
      </x:c>
      <x:c r="G31" s="311"/>
    </x:row>
    <x:row r="32" spans="1:7" customHeight="1">
      <x:c r="A32" s="319"/>
      <x:c r="B32" s="54"/>
      <x:c r="C32" s="308"/>
      <x:c r="D32" s="309"/>
      <x:c r="E32" s="55" t="s">
        <x:v>138</x:v>
      </x:c>
      <x:c r="F32" s="310">
        <x:v>143000</x:v>
      </x:c>
      <x:c r="G32" s="311"/>
    </x:row>
    <x:row r="33" spans="1:4" customHeight="1">
      <x:c r="A33" s="319"/>
      <x:c r="B33" s="54" t="s">
        <x:v>21</x:v>
      </x:c>
      <x:c r="C33" s="308">
        <x:v>52000</x:v>
      </x:c>
      <x:c r="D33" s="309"/>
    </x:row>
    <x:row r="34" spans="1:4" customHeight="1">
      <x:c r="A34" s="320"/>
      <x:c r="B34" s="54"/>
      <x:c r="C34" s="310"/>
      <x:c r="D34" s="311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0"/>
  <x:dimension ref="A1:O34"/>
  <x:sheetViews>
    <x:sheetView topLeftCell="A3" zoomScale="85" zoomScaleNormal="85" zoomScaleSheetLayoutView="75" workbookViewId="0">
      <x:selection activeCell="J34" activeCellId="0" sqref="J34:J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152</x:v>
      </x:c>
      <x:c r="F1" s="68">
        <x:v>28</x:v>
      </x:c>
      <x:c r="G1" s="68" t="s">
        <x:v>19</x:v>
      </x:c>
      <x:c r="H1" s="52" t="s">
        <x:v>123</x:v>
      </x:c>
      <x:c r="I1" s="52">
        <x:f>F1-K1</x:f>
        <x:v>28</x:v>
      </x:c>
      <x:c r="J1" s="52" t="s">
        <x:v>98</x:v>
      </x:c>
      <x:c r="K1" s="52"/>
    </x:row>
    <x:row r="2" spans="1:11" ht="20.100000000000001" customHeight="1">
      <x:c r="A2" s="271" t="s">
        <x:v>9</x:v>
      </x:c>
      <x:c r="B2" s="272"/>
      <x:c r="C2" s="275">
        <x:f>SUM(C4:D7)</x:f>
        <x:v>5207500</x:v>
      </x:c>
      <x:c r="D2" s="275"/>
      <x:c r="E2" s="278" t="s">
        <x:v>40</x:v>
      </x:c>
      <x:c r="F2" s="279"/>
      <x:c r="G2" s="267">
        <x:v>70500</x:v>
      </x:c>
      <x:c r="H2" s="265" t="s">
        <x:v>6</x:v>
      </x:c>
      <x:c r="I2" s="266"/>
      <x:c r="J2" s="263" t="s">
        <x:v>74</x:v>
      </x:c>
      <x:c r="K2" s="264"/>
    </x:row>
    <x:row r="3" spans="1:11" ht="20.100000000000001" customHeight="1">
      <x:c r="A3" s="273"/>
      <x:c r="B3" s="274"/>
      <x:c r="C3" s="276"/>
      <x:c r="D3" s="276"/>
      <x:c r="E3" s="280"/>
      <x:c r="F3" s="281"/>
      <x:c r="G3" s="268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9" t="s">
        <x:v>22</x:v>
      </x:c>
      <x:c r="B4" s="270"/>
      <x:c r="C4" s="262">
        <x:v>4473500</x:v>
      </x:c>
      <x:c r="D4" s="262"/>
      <x:c r="E4" s="277" t="s">
        <x:v>146</x:v>
      </x:c>
      <x:c r="F4" s="277"/>
      <x:c r="G4" s="133">
        <x:f>INT(C4*0.0275)</x:f>
        <x:v>123021</x:v>
      </x:c>
      <x:c r="H4" s="54" t="s">
        <x:v>20</x:v>
      </x:c>
      <x:c r="I4" s="124"/>
      <x:c r="J4" s="80" t="s">
        <x:v>36</x:v>
      </x:c>
      <x:c r="K4" s="58"/>
    </x:row>
    <x:row r="5" spans="1:11" ht="30.949999999999999" customHeight="1">
      <x:c r="A5" s="269" t="s">
        <x:v>61</x:v>
      </x:c>
      <x:c r="B5" s="270"/>
      <x:c r="C5" s="262">
        <x:v>734000</x:v>
      </x:c>
      <x:c r="D5" s="262"/>
      <x:c r="E5" s="261" t="s">
        <x:v>70</x:v>
      </x:c>
      <x:c r="F5" s="261"/>
      <x:c r="G5" s="133">
        <x:f>INT(C5*0.01)</x:f>
        <x:v>7340</x:v>
      </x:c>
      <x:c r="H5" s="54" t="s">
        <x:v>6</x:v>
      </x:c>
      <x:c r="I5" s="124"/>
      <x:c r="J5" s="81"/>
      <x:c r="K5" s="58"/>
    </x:row>
    <x:row r="6" spans="1:11" ht="21.949999999999999" customHeight="1">
      <x:c r="A6" s="256" t="s">
        <x:v>84</x:v>
      </x:c>
      <x:c r="B6" s="257"/>
      <x:c r="C6" s="301"/>
      <x:c r="D6" s="302"/>
      <x:c r="E6" s="288" t="s">
        <x:v>131</x:v>
      </x:c>
      <x:c r="F6" s="289"/>
      <x:c r="G6" s="282">
        <x:v>740000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8"/>
      <x:c r="B7" s="259"/>
      <x:c r="C7" s="303"/>
      <x:c r="D7" s="304"/>
      <x:c r="E7" s="280"/>
      <x:c r="F7" s="281"/>
      <x:c r="G7" s="268"/>
      <x:c r="H7" s="54" t="s">
        <x:v>24</x:v>
      </x:c>
      <x:c r="I7" s="124"/>
      <x:c r="J7" s="81" t="s">
        <x:v>116</x:v>
      </x:c>
      <x:c r="K7" s="58"/>
    </x:row>
    <x:row r="8" spans="1:11" ht="21.949999999999999" customHeight="1">
      <x:c r="A8" s="260" t="s">
        <x:v>134</x:v>
      </x:c>
      <x:c r="B8" s="261"/>
      <x:c r="C8" s="262">
        <x:v>64500</x:v>
      </x:c>
      <x:c r="D8" s="262"/>
      <x:c r="E8" s="288" t="s">
        <x:v>110</x:v>
      </x:c>
      <x:c r="F8" s="289"/>
      <x:c r="G8" s="294">
        <x:f>C5+G2-G6-C22</x:f>
        <x:v>64500</x:v>
      </x:c>
      <x:c r="H8" s="54" t="s">
        <x:v>45</x:v>
      </x:c>
      <x:c r="I8" s="124"/>
      <x:c r="J8" s="81"/>
      <x:c r="K8" s="58"/>
    </x:row>
    <x:row r="9" spans="1:11" ht="21.949999999999999" customHeight="1">
      <x:c r="A9" s="260"/>
      <x:c r="B9" s="261"/>
      <x:c r="C9" s="262"/>
      <x:c r="D9" s="262"/>
      <x:c r="E9" s="280"/>
      <x:c r="F9" s="281"/>
      <x:c r="G9" s="295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143</x:v>
      </x:c>
      <x:c r="B10" s="261"/>
      <x:c r="C10" s="262">
        <x:v>60000</x:v>
      </x:c>
      <x:c r="D10" s="262"/>
      <x:c r="E10" s="261" t="s">
        <x:v>87</x:v>
      </x:c>
      <x:c r="F10" s="261"/>
      <x:c r="G10" s="55"/>
      <x:c r="H10" s="54"/>
      <x:c r="I10" s="124"/>
      <x:c r="J10" s="54" t="s">
        <x:v>53</x:v>
      </x:c>
      <x:c r="K10" s="58"/>
    </x:row>
    <x:row r="11" spans="1:11" ht="33" customHeight="1">
      <x:c r="A11" s="260" t="s">
        <x:v>103</x:v>
      </x:c>
      <x:c r="B11" s="261"/>
      <x:c r="C11" s="300"/>
      <x:c r="D11" s="300"/>
      <x:c r="E11" s="300"/>
      <x:c r="F11" s="300"/>
      <x:c r="G11" s="300"/>
      <x:c r="H11" s="54" t="s">
        <x:v>58</x:v>
      </x:c>
      <x:c r="I11" s="58"/>
      <x:c r="J11" s="54" t="s">
        <x:v>82</x:v>
      </x:c>
      <x:c r="K11" s="151"/>
    </x:row>
    <x:row r="12" spans="1:13" ht="21.949999999999999" customHeight="1">
      <x:c r="A12" s="59" t="s">
        <x:v>48</x:v>
      </x:c>
      <x:c r="B12" s="298" t="s">
        <x:v>42</x:v>
      </x:c>
      <x:c r="C12" s="79">
        <x:v>4</x:v>
      </x:c>
      <x:c r="D12" s="288" t="s">
        <x:v>133</x:v>
      </x:c>
      <x:c r="E12" s="289"/>
      <x:c r="F12" s="292">
        <x:v>9</x:v>
      </x:c>
      <x:c r="G12" s="293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9"/>
      <x:c r="C13" s="134">
        <x:f>SUM('1:28'!$C$12)</x:f>
        <x:v>234</x:v>
      </x:c>
      <x:c r="D13" s="280"/>
      <x:c r="E13" s="281"/>
      <x:c r="F13" s="290">
        <x:f>SUM('1:28'!$F$12)</x:f>
        <x:v>153</x:v>
      </x:c>
      <x:c r="G13" s="291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8" t="s">
        <x:v>64</x:v>
      </x:c>
      <x:c r="C14" s="79">
        <x:v>19</x:v>
      </x:c>
      <x:c r="D14" s="288" t="s">
        <x:v>95</x:v>
      </x:c>
      <x:c r="E14" s="289"/>
      <x:c r="F14" s="292">
        <x:v>16</x:v>
      </x:c>
      <x:c r="G14" s="293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9"/>
      <x:c r="C15" s="134">
        <x:f>SUM('1:28'!$C$14)</x:f>
        <x:v>545</x:v>
      </x:c>
      <x:c r="D15" s="280"/>
      <x:c r="E15" s="281"/>
      <x:c r="F15" s="290">
        <x:f>SUM('1:28'!$F$14)</x:f>
        <x:v>246</x:v>
      </x:c>
      <x:c r="G15" s="291"/>
      <x:c r="H15" s="54" t="s">
        <x:v>106</x:v>
      </x:c>
      <x:c r="I15" s="58"/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8" t="s">
        <x:v>51</x:v>
      </x:c>
      <x:c r="C16" s="79">
        <x:v>3</x:v>
      </x:c>
      <x:c r="D16" s="288" t="s">
        <x:v>117</x:v>
      </x:c>
      <x:c r="E16" s="289"/>
      <x:c r="F16" s="286">
        <x:v>16</x:v>
      </x:c>
      <x:c r="G16" s="286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9"/>
      <x:c r="C17" s="134">
        <x:f>SUM('1:28'!$C$16)</x:f>
        <x:v>126</x:v>
      </x:c>
      <x:c r="D17" s="280"/>
      <x:c r="E17" s="281"/>
      <x:c r="F17" s="287">
        <x:f>SUM('1:28'!$F$16)</x:f>
        <x:v>311</x:v>
      </x:c>
      <x:c r="G17" s="287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8" t="s">
        <x:v>91</x:v>
      </x:c>
      <x:c r="C18" s="79">
        <x:v>8</x:v>
      </x:c>
      <x:c r="D18" s="288" t="s">
        <x:v>130</x:v>
      </x:c>
      <x:c r="E18" s="289"/>
      <x:c r="F18" s="296">
        <x:v>1</x:v>
      </x:c>
      <x:c r="G18" s="297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9"/>
      <x:c r="C19" s="134">
        <x:f>SUM('1:28'!$C$18)</x:f>
        <x:v>274</x:v>
      </x:c>
      <x:c r="D19" s="280"/>
      <x:c r="E19" s="281"/>
      <x:c r="F19" s="287">
        <x:f>SUM('1:28'!$F$18)</x:f>
        <x:v>107</x:v>
      </x:c>
      <x:c r="G19" s="287"/>
      <x:c r="H19" s="58"/>
      <x:c r="I19" s="58"/>
      <x:c r="J19" s="54"/>
      <x:c r="K19" s="58"/>
      <x:c r="L19" s="60"/>
      <x:c r="M19" s="11"/>
    </x:row>
    <x:row r="20" spans="2:13" ht="21.949999999999999" customHeight="1">
      <x:c r="B20" s="52" t="s">
        <x:v>151</x:v>
      </x:c>
      <x:c r="D20" s="261" t="s">
        <x:v>113</x:v>
      </x:c>
      <x:c r="E20" s="261"/>
      <x:c r="F20" s="286">
        <x:v>40</x:v>
      </x:c>
      <x:c r="G20" s="286"/>
      <x:c r="H20" s="58"/>
      <x:c r="J20" s="54"/>
      <x:c r="K20" s="58"/>
      <x:c r="L20" s="60"/>
      <x:c r="M20" s="11"/>
    </x:row>
    <x:row r="21" spans="4:13" ht="21.949999999999999" customHeight="1">
      <x:c r="D21" s="261" t="s">
        <x:v>114</x:v>
      </x:c>
      <x:c r="E21" s="261"/>
      <x:c r="F21" s="287">
        <x:f>SUM('1:28'!$F$20)</x:f>
        <x:v>1537</x:v>
      </x:c>
      <x:c r="G21" s="287"/>
      <x:c r="H21" s="58"/>
      <x:c r="J21" s="54"/>
      <x:c r="K21" s="58"/>
      <x:c r="L21" s="60"/>
      <x:c r="M21" s="11"/>
    </x:row>
    <x:row r="22" spans="1:13" ht="32.100000000000001" customHeight="1">
      <x:c r="A22" s="260" t="s">
        <x:v>83</x:v>
      </x:c>
      <x:c r="B22" s="261"/>
      <x:c r="C22" s="285"/>
      <x:c r="D22" s="285"/>
      <x:c r="E22" s="285"/>
      <x:c r="F22" s="285"/>
      <x:c r="G22" s="285"/>
      <x:c r="H22" s="54"/>
      <x:c r="J22" s="54"/>
      <x:c r="K22" s="58"/>
      <x:c r="L22" s="60"/>
      <x:c r="M22" s="11"/>
    </x:row>
    <x:row r="23" spans="1:15" ht="34.149999999999999" customHeight="1">
      <x:c r="A23" s="260" t="s">
        <x:v>124</x:v>
      </x:c>
      <x:c r="B23" s="261"/>
      <x:c r="C23" s="316"/>
      <x:c r="D23" s="317"/>
      <x:c r="E23" s="317"/>
      <x:c r="F23" s="317"/>
      <x:c r="G23" s="317"/>
      <x:c r="H23" s="107" t="s">
        <x:v>94</x:v>
      </x:c>
      <x:c r="I23" s="108">
        <x:f>SUM(I4:I22)</x:f>
        <x:v>0</x:v>
      </x:c>
      <x:c r="J23" s="61" t="s">
        <x:v>119</x:v>
      </x:c>
      <x:c r="K23" s="62">
        <x:f>SUM(K4:K22)</x:f>
        <x:v>0</x:v>
      </x:c>
      <x:c r="M23" s="88" t="s">
        <x:v>93</x:v>
      </x:c>
      <x:c r="N23" s="283">
        <x:f>C5+C6</x:f>
        <x:v>734000</x:v>
      </x:c>
      <x:c r="O23" s="284"/>
    </x:row>
    <x:row r="24" spans="1:11" ht="34.149999999999999" customHeight="1">
      <x:c r="A24" s="260" t="s">
        <x:v>8</x:v>
      </x:c>
      <x:c r="B24" s="261"/>
      <x:c r="C24" s="261" t="s">
        <x:v>86</x:v>
      </x:c>
      <x:c r="D24" s="261"/>
      <x:c r="E24" s="261" t="s">
        <x:v>101</x:v>
      </x:c>
      <x:c r="F24" s="261"/>
      <x:c r="G24" s="261"/>
      <x:c r="H24" s="107" t="s">
        <x:v>8</x:v>
      </x:c>
      <x:c r="I24" s="109">
        <x:f>I23/A25</x:f>
        <x:v>0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12">
        <x:f>C2</x:f>
        <x:v>5207500</x:v>
      </x:c>
      <x:c r="B25" s="276"/>
      <x:c r="C25" s="276">
        <x:f>E25/I1</x:f>
        <x:v>4376164.2857142854</x:v>
      </x:c>
      <x:c r="D25" s="276"/>
      <x:c r="E25" s="276">
        <x:f>SUM('1:28'!$A$25)</x:f>
        <x:v>122532600</x:v>
      </x:c>
      <x:c r="F25" s="276"/>
      <x:c r="G25" s="276"/>
      <x:c r="H25" s="107" t="s">
        <x:v>33</x:v>
      </x:c>
      <x:c r="I25" s="108">
        <x:f>SUM('1'!$I$23)</x:f>
        <x:v>2230104</x:v>
      </x:c>
      <x:c r="J25" s="61" t="s">
        <x:v>33</x:v>
      </x:c>
      <x:c r="K25" s="62">
        <x:f>SUM('1:28'!$K$21)</x:f>
        <x:v>0</x:v>
      </x:c>
    </x:row>
    <x:row r="26" spans="1:11" ht="34.149999999999999" customHeight="1">
      <x:c r="A26" s="260" t="s">
        <x:v>142</x:v>
      </x:c>
      <x:c r="B26" s="261"/>
      <x:c r="C26" s="261"/>
      <x:c r="D26" s="261"/>
      <x:c r="E26" s="262"/>
      <x:c r="F26" s="262"/>
      <x:c r="G26" s="262"/>
      <x:c r="H26" s="107" t="s">
        <x:v>128</x:v>
      </x:c>
      <x:c r="I26" s="110">
        <x:f>I25/$E$25</x:f>
        <x:v>0.01820008716047811</x:v>
      </x:c>
      <x:c r="J26" s="64" t="s">
        <x:v>128</x:v>
      </x:c>
      <x:c r="K26" s="65">
        <x:f>K25/$E$25</x:f>
        <x:v>0</x:v>
      </x:c>
    </x:row>
    <x:row r="27" spans="1:13" ht="30.949999999999999" customHeight="1">
      <x:c r="A27" s="318" t="s">
        <x:v>141</x:v>
      </x:c>
      <x:c r="B27" s="54" t="s">
        <x:v>44</x:v>
      </x:c>
      <x:c r="C27" s="276">
        <x:f>4000000/30</x:f>
        <x:v>133333.33333333334</x:v>
      </x:c>
      <x:c r="D27" s="276"/>
      <x:c r="E27" s="55" t="s">
        <x:v>147</x:v>
      </x:c>
      <x:c r="F27" s="262"/>
      <x:c r="G27" s="262"/>
      <x:c r="H27" s="111" t="s">
        <x:v>118</x:v>
      </x:c>
      <x:c r="I27" s="112">
        <x:f>SUM(C27:D34,F27:G32)</x:f>
        <x:v>898333.33333333337</x:v>
      </x:c>
      <x:c r="M27" s="66"/>
    </x:row>
    <x:row r="28" spans="1:13" ht="30.949999999999999" customHeight="1">
      <x:c r="A28" s="319"/>
      <x:c r="B28" s="54" t="s">
        <x:v>23</x:v>
      </x:c>
      <x:c r="C28" s="276">
        <x:f>3800000/30</x:f>
        <x:v>126666.66666666667</x:v>
      </x:c>
      <x:c r="D28" s="276"/>
      <x:c r="E28" s="55" t="s">
        <x:v>149</x:v>
      </x:c>
      <x:c r="F28" s="276">
        <x:f>1500000/30</x:f>
        <x:v>50000</x:v>
      </x:c>
      <x:c r="G28" s="276"/>
      <x:c r="H28" s="111" t="s">
        <x:v>8</x:v>
      </x:c>
      <x:c r="I28" s="113">
        <x:f>I27/$A$25</x:f>
        <x:v>0.1725076012161946</x:v>
      </x:c>
      <x:c r="M28" s="66"/>
    </x:row>
    <x:row r="29" spans="1:13" ht="30.949999999999999" customHeight="1">
      <x:c r="A29" s="319"/>
      <x:c r="B29" s="54" t="s">
        <x:v>47</x:v>
      </x:c>
      <x:c r="C29" s="276">
        <x:f>3200000/30</x:f>
        <x:v>106666.66666666667</x:v>
      </x:c>
      <x:c r="D29" s="276"/>
      <x:c r="E29" s="54" t="s">
        <x:v>57</x:v>
      </x:c>
      <x:c r="F29" s="262"/>
      <x:c r="G29" s="262"/>
      <x:c r="H29" s="111" t="s">
        <x:v>33</x:v>
      </x:c>
      <x:c r="I29" s="112">
        <x:f>SUM('1:28'!$I$25)</x:f>
        <x:v>62442912</x:v>
      </x:c>
      <x:c r="M29" s="66"/>
    </x:row>
    <x:row r="30" spans="1:13" ht="30.949999999999999" customHeight="1">
      <x:c r="A30" s="319"/>
      <x:c r="B30" s="54"/>
      <x:c r="C30" s="315"/>
      <x:c r="D30" s="315"/>
      <x:c r="E30" s="55"/>
      <x:c r="F30" s="310"/>
      <x:c r="G30" s="311"/>
      <x:c r="H30" s="111" t="s">
        <x:v>128</x:v>
      </x:c>
      <x:c r="I30" s="113">
        <x:f>I29/$I$27</x:f>
        <x:v>69.509735064935057</x:v>
      </x:c>
      <x:c r="M30" s="66"/>
    </x:row>
    <x:row r="31" spans="1:7" customHeight="1">
      <x:c r="A31" s="319"/>
      <x:c r="B31" s="54" t="s">
        <x:v>41</x:v>
      </x:c>
      <x:c r="C31" s="313">
        <x:f>3500000/30</x:f>
        <x:v>116666.66666666667</x:v>
      </x:c>
      <x:c r="D31" s="314"/>
      <x:c r="E31" s="55" t="s">
        <x:v>4</x:v>
      </x:c>
      <x:c r="F31" s="310">
        <x:v>130000</x:v>
      </x:c>
      <x:c r="G31" s="311"/>
    </x:row>
    <x:row r="32" spans="1:7" customHeight="1">
      <x:c r="A32" s="319"/>
      <x:c r="B32" s="54"/>
      <x:c r="C32" s="308"/>
      <x:c r="D32" s="309"/>
      <x:c r="E32" s="55" t="s">
        <x:v>138</x:v>
      </x:c>
      <x:c r="F32" s="310">
        <x:v>92000</x:v>
      </x:c>
      <x:c r="G32" s="311"/>
    </x:row>
    <x:row r="33" spans="1:4" customHeight="1">
      <x:c r="A33" s="319"/>
      <x:c r="B33" s="54" t="s">
        <x:v>21</x:v>
      </x:c>
      <x:c r="C33" s="308">
        <x:v>143000</x:v>
      </x:c>
      <x:c r="D33" s="309"/>
    </x:row>
    <x:row r="34" spans="1:4" customHeight="1">
      <x:c r="A34" s="320"/>
      <x:c r="B34" s="54"/>
      <x:c r="C34" s="310"/>
      <x:c r="D34" s="311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1"/>
  <x:dimension ref="A1:O34"/>
  <x:sheetViews>
    <x:sheetView topLeftCell="A1" zoomScale="85" zoomScaleNormal="85" zoomScaleSheetLayoutView="75" workbookViewId="0">
      <x:selection activeCell="J34" activeCellId="0" sqref="J34:J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152</x:v>
      </x:c>
      <x:c r="F1" s="68">
        <x:v>29</x:v>
      </x:c>
      <x:c r="G1" s="68" t="s">
        <x:v>49</x:v>
      </x:c>
      <x:c r="H1" s="52" t="s">
        <x:v>123</x:v>
      </x:c>
      <x:c r="I1" s="52">
        <x:f>F1-K1</x:f>
        <x:v>29</x:v>
      </x:c>
      <x:c r="J1" s="52" t="s">
        <x:v>98</x:v>
      </x:c>
      <x:c r="K1" s="52"/>
    </x:row>
    <x:row r="2" spans="1:11" ht="20.100000000000001" customHeight="1">
      <x:c r="A2" s="271" t="s">
        <x:v>9</x:v>
      </x:c>
      <x:c r="B2" s="272"/>
      <x:c r="C2" s="275">
        <x:f>SUM(C4:D7)</x:f>
        <x:v>3639000</x:v>
      </x:c>
      <x:c r="D2" s="275"/>
      <x:c r="E2" s="278" t="s">
        <x:v>40</x:v>
      </x:c>
      <x:c r="F2" s="279"/>
      <x:c r="G2" s="267">
        <x:v>64500</x:v>
      </x:c>
      <x:c r="H2" s="265" t="s">
        <x:v>6</x:v>
      </x:c>
      <x:c r="I2" s="266"/>
      <x:c r="J2" s="263" t="s">
        <x:v>74</x:v>
      </x:c>
      <x:c r="K2" s="264"/>
    </x:row>
    <x:row r="3" spans="1:11" ht="20.100000000000001" customHeight="1">
      <x:c r="A3" s="273"/>
      <x:c r="B3" s="274"/>
      <x:c r="C3" s="276"/>
      <x:c r="D3" s="276"/>
      <x:c r="E3" s="280"/>
      <x:c r="F3" s="281"/>
      <x:c r="G3" s="268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9" t="s">
        <x:v>22</x:v>
      </x:c>
      <x:c r="B4" s="270"/>
      <x:c r="C4" s="262">
        <x:v>3391000</x:v>
      </x:c>
      <x:c r="D4" s="262"/>
      <x:c r="E4" s="277" t="s">
        <x:v>146</x:v>
      </x:c>
      <x:c r="F4" s="277"/>
      <x:c r="G4" s="133">
        <x:f>INT(C4*0.0275)</x:f>
        <x:v>93252</x:v>
      </x:c>
      <x:c r="H4" s="54" t="s">
        <x:v>20</x:v>
      </x:c>
      <x:c r="I4" s="124">
        <x:v>904000</x:v>
      </x:c>
      <x:c r="J4" s="80" t="s">
        <x:v>36</x:v>
      </x:c>
      <x:c r="K4" s="58"/>
    </x:row>
    <x:row r="5" spans="1:11" ht="30.949999999999999" customHeight="1">
      <x:c r="A5" s="269" t="s">
        <x:v>61</x:v>
      </x:c>
      <x:c r="B5" s="270"/>
      <x:c r="C5" s="262">
        <x:v>248000</x:v>
      </x:c>
      <x:c r="D5" s="262"/>
      <x:c r="E5" s="261" t="s">
        <x:v>70</x:v>
      </x:c>
      <x:c r="F5" s="261"/>
      <x:c r="G5" s="133">
        <x:f>INT(C5*0.01)</x:f>
        <x:v>2480</x:v>
      </x:c>
      <x:c r="H5" s="54" t="s">
        <x:v>6</x:v>
      </x:c>
      <x:c r="I5" s="124">
        <x:v>620082</x:v>
      </x:c>
      <x:c r="J5" s="81"/>
      <x:c r="K5" s="58"/>
    </x:row>
    <x:row r="6" spans="1:11" ht="21.949999999999999" customHeight="1">
      <x:c r="A6" s="256" t="s">
        <x:v>84</x:v>
      </x:c>
      <x:c r="B6" s="257"/>
      <x:c r="C6" s="301"/>
      <x:c r="D6" s="302"/>
      <x:c r="E6" s="288" t="s">
        <x:v>131</x:v>
      </x:c>
      <x:c r="F6" s="289"/>
      <x:c r="G6" s="282">
        <x:v>200000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8"/>
      <x:c r="B7" s="259"/>
      <x:c r="C7" s="303"/>
      <x:c r="D7" s="304"/>
      <x:c r="E7" s="280"/>
      <x:c r="F7" s="281"/>
      <x:c r="G7" s="268"/>
      <x:c r="H7" s="54" t="s">
        <x:v>24</x:v>
      </x:c>
      <x:c r="I7" s="124">
        <x:v>714500</x:v>
      </x:c>
      <x:c r="J7" s="81" t="s">
        <x:v>116</x:v>
      </x:c>
      <x:c r="K7" s="58"/>
    </x:row>
    <x:row r="8" spans="1:11" ht="21.949999999999999" customHeight="1">
      <x:c r="A8" s="260" t="s">
        <x:v>134</x:v>
      </x:c>
      <x:c r="B8" s="261"/>
      <x:c r="C8" s="262">
        <x:v>112500</x:v>
      </x:c>
      <x:c r="D8" s="262"/>
      <x:c r="E8" s="288" t="s">
        <x:v>110</x:v>
      </x:c>
      <x:c r="F8" s="289"/>
      <x:c r="G8" s="294">
        <x:f>C5+G2-G6-C22</x:f>
        <x:v>112500</x:v>
      </x:c>
      <x:c r="H8" s="54" t="s">
        <x:v>45</x:v>
      </x:c>
      <x:c r="I8" s="124">
        <x:v>65000</x:v>
      </x:c>
      <x:c r="J8" s="81"/>
      <x:c r="K8" s="58"/>
    </x:row>
    <x:row r="9" spans="1:11" ht="21.949999999999999" customHeight="1">
      <x:c r="A9" s="260"/>
      <x:c r="B9" s="261"/>
      <x:c r="C9" s="262"/>
      <x:c r="D9" s="262"/>
      <x:c r="E9" s="280"/>
      <x:c r="F9" s="281"/>
      <x:c r="G9" s="295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143</x:v>
      </x:c>
      <x:c r="B10" s="261"/>
      <x:c r="C10" s="262">
        <x:v>21500</x:v>
      </x:c>
      <x:c r="D10" s="262"/>
      <x:c r="E10" s="261" t="s">
        <x:v>87</x:v>
      </x:c>
      <x:c r="F10" s="261"/>
      <x:c r="G10" s="55"/>
      <x:c r="H10" s="54"/>
      <x:c r="I10" s="124"/>
      <x:c r="J10" s="54" t="s">
        <x:v>53</x:v>
      </x:c>
      <x:c r="K10" s="58">
        <x:v>13000</x:v>
      </x:c>
    </x:row>
    <x:row r="11" spans="1:11" ht="33" customHeight="1">
      <x:c r="A11" s="260" t="s">
        <x:v>103</x:v>
      </x:c>
      <x:c r="B11" s="261"/>
      <x:c r="C11" s="300"/>
      <x:c r="D11" s="300"/>
      <x:c r="E11" s="300"/>
      <x:c r="F11" s="300"/>
      <x:c r="G11" s="300"/>
      <x:c r="H11" s="54" t="s">
        <x:v>58</x:v>
      </x:c>
      <x:c r="I11" s="58">
        <x:v>100000</x:v>
      </x:c>
      <x:c r="J11" s="54" t="s">
        <x:v>82</x:v>
      </x:c>
      <x:c r="K11" s="151"/>
    </x:row>
    <x:row r="12" spans="1:13" ht="21.949999999999999" customHeight="1">
      <x:c r="A12" s="59" t="s">
        <x:v>48</x:v>
      </x:c>
      <x:c r="B12" s="298" t="s">
        <x:v>42</x:v>
      </x:c>
      <x:c r="C12" s="79">
        <x:v>11</x:v>
      </x:c>
      <x:c r="D12" s="288" t="s">
        <x:v>133</x:v>
      </x:c>
      <x:c r="E12" s="289"/>
      <x:c r="F12" s="292">
        <x:v>2</x:v>
      </x:c>
      <x:c r="G12" s="293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9"/>
      <x:c r="C13" s="134">
        <x:f>SUM('1:29'!$C$12)</x:f>
        <x:v>245</x:v>
      </x:c>
      <x:c r="D13" s="280"/>
      <x:c r="E13" s="281"/>
      <x:c r="F13" s="290">
        <x:f>SUM('1:29'!$F$12)</x:f>
        <x:v>155</x:v>
      </x:c>
      <x:c r="G13" s="291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8" t="s">
        <x:v>64</x:v>
      </x:c>
      <x:c r="C14" s="79">
        <x:v>2</x:v>
      </x:c>
      <x:c r="D14" s="288" t="s">
        <x:v>95</x:v>
      </x:c>
      <x:c r="E14" s="289"/>
      <x:c r="F14" s="292">
        <x:v>1</x:v>
      </x:c>
      <x:c r="G14" s="293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9"/>
      <x:c r="C15" s="134">
        <x:f>SUM('1:29'!$C$14)</x:f>
        <x:v>547</x:v>
      </x:c>
      <x:c r="D15" s="280"/>
      <x:c r="E15" s="281"/>
      <x:c r="F15" s="290">
        <x:f>SUM('1:29'!$F$14)</x:f>
        <x:v>247</x:v>
      </x:c>
      <x:c r="G15" s="291"/>
      <x:c r="H15" s="54" t="s">
        <x:v>106</x:v>
      </x:c>
      <x:c r="I15" s="58">
        <x:v>93800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8" t="s">
        <x:v>51</x:v>
      </x:c>
      <x:c r="C16" s="79">
        <x:v>0</x:v>
      </x:c>
      <x:c r="D16" s="288" t="s">
        <x:v>117</x:v>
      </x:c>
      <x:c r="E16" s="289"/>
      <x:c r="F16" s="286">
        <x:v>0</x:v>
      </x:c>
      <x:c r="G16" s="286"/>
      <x:c r="H16" s="54"/>
      <x:c r="I16" s="58"/>
      <x:c r="J16" s="54" t="s">
        <x:v>97</x:v>
      </x:c>
      <x:c r="K16" s="58">
        <x:v>290180</x:v>
      </x:c>
      <x:c r="L16" s="60"/>
      <x:c r="M16" s="11"/>
    </x:row>
    <x:row r="17" spans="1:13" ht="21.949999999999999" customHeight="1">
      <x:c r="A17" s="59" t="s">
        <x:v>96</x:v>
      </x:c>
      <x:c r="B17" s="299"/>
      <x:c r="C17" s="134">
        <x:f>SUM('1:29'!$C$16)</x:f>
        <x:v>126</x:v>
      </x:c>
      <x:c r="D17" s="280"/>
      <x:c r="E17" s="281"/>
      <x:c r="F17" s="287">
        <x:f>SUM('1:29'!$F$16)</x:f>
        <x:v>311</x:v>
      </x:c>
      <x:c r="G17" s="287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8" t="s">
        <x:v>91</x:v>
      </x:c>
      <x:c r="C18" s="79">
        <x:v>3</x:v>
      </x:c>
      <x:c r="D18" s="288" t="s">
        <x:v>130</x:v>
      </x:c>
      <x:c r="E18" s="289"/>
      <x:c r="F18" s="296">
        <x:v>3</x:v>
      </x:c>
      <x:c r="G18" s="297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9"/>
      <x:c r="C19" s="134">
        <x:f>SUM('1:29'!$C$18)</x:f>
        <x:v>277</x:v>
      </x:c>
      <x:c r="D19" s="280"/>
      <x:c r="E19" s="281"/>
      <x:c r="F19" s="287">
        <x:f>SUM('1:29'!$F$18)</x:f>
        <x:v>110</x:v>
      </x:c>
      <x:c r="G19" s="287"/>
      <x:c r="H19" s="58"/>
      <x:c r="I19" s="58"/>
      <x:c r="J19" s="54"/>
      <x:c r="K19" s="58"/>
      <x:c r="L19" s="60"/>
      <x:c r="M19" s="11"/>
    </x:row>
    <x:row r="20" spans="2:13" ht="21.949999999999999" customHeight="1">
      <x:c r="B20" s="52" t="s">
        <x:v>151</x:v>
      </x:c>
      <x:c r="D20" s="261" t="s">
        <x:v>113</x:v>
      </x:c>
      <x:c r="E20" s="261"/>
      <x:c r="F20" s="286">
        <x:v>45</x:v>
      </x:c>
      <x:c r="G20" s="286"/>
      <x:c r="H20" s="58"/>
      <x:c r="J20" s="54"/>
      <x:c r="K20" s="58"/>
      <x:c r="L20" s="60"/>
      <x:c r="M20" s="11"/>
    </x:row>
    <x:row r="21" spans="4:13" ht="21.949999999999999" customHeight="1">
      <x:c r="D21" s="261" t="s">
        <x:v>114</x:v>
      </x:c>
      <x:c r="E21" s="261"/>
      <x:c r="F21" s="287">
        <x:f>SUM('1:29'!$F$20)</x:f>
        <x:v>1582</x:v>
      </x:c>
      <x:c r="G21" s="287"/>
      <x:c r="H21" s="58"/>
      <x:c r="J21" s="54"/>
      <x:c r="K21" s="58"/>
      <x:c r="L21" s="60"/>
      <x:c r="M21" s="11"/>
    </x:row>
    <x:row r="22" spans="1:13" ht="32.100000000000001" customHeight="1">
      <x:c r="A22" s="260" t="s">
        <x:v>83</x:v>
      </x:c>
      <x:c r="B22" s="261"/>
      <x:c r="C22" s="285"/>
      <x:c r="D22" s="285"/>
      <x:c r="E22" s="285"/>
      <x:c r="F22" s="285"/>
      <x:c r="G22" s="285"/>
      <x:c r="H22" s="54"/>
      <x:c r="J22" s="54"/>
      <x:c r="K22" s="58"/>
      <x:c r="L22" s="60"/>
      <x:c r="M22" s="11"/>
    </x:row>
    <x:row r="23" spans="1:15" ht="34.149999999999999" customHeight="1">
      <x:c r="A23" s="260" t="s">
        <x:v>124</x:v>
      </x:c>
      <x:c r="B23" s="261"/>
      <x:c r="C23" s="316"/>
      <x:c r="D23" s="317"/>
      <x:c r="E23" s="317"/>
      <x:c r="F23" s="317"/>
      <x:c r="G23" s="317"/>
      <x:c r="H23" s="107" t="s">
        <x:v>94</x:v>
      </x:c>
      <x:c r="I23" s="108">
        <x:f>SUM(I4:I22)</x:f>
        <x:v>2497382</x:v>
      </x:c>
      <x:c r="J23" s="61" t="s">
        <x:v>119</x:v>
      </x:c>
      <x:c r="K23" s="62">
        <x:f>SUM(K4:K22)</x:f>
        <x:v>303180</x:v>
      </x:c>
      <x:c r="M23" s="88" t="s">
        <x:v>93</x:v>
      </x:c>
      <x:c r="N23" s="283">
        <x:f>C5+C6</x:f>
        <x:v>248000</x:v>
      </x:c>
      <x:c r="O23" s="284"/>
    </x:row>
    <x:row r="24" spans="1:11" ht="34.149999999999999" customHeight="1">
      <x:c r="A24" s="260" t="s">
        <x:v>8</x:v>
      </x:c>
      <x:c r="B24" s="261"/>
      <x:c r="C24" s="261" t="s">
        <x:v>86</x:v>
      </x:c>
      <x:c r="D24" s="261"/>
      <x:c r="E24" s="261" t="s">
        <x:v>101</x:v>
      </x:c>
      <x:c r="F24" s="261"/>
      <x:c r="G24" s="261"/>
      <x:c r="H24" s="107" t="s">
        <x:v>8</x:v>
      </x:c>
      <x:c r="I24" s="109">
        <x:f>I23/A25</x:f>
        <x:v>0.6862824951909865</x:v>
      </x:c>
      <x:c r="J24" s="61" t="s">
        <x:v>8</x:v>
      </x:c>
      <x:c r="K24" s="63">
        <x:f>K23/A25</x:f>
        <x:v>0.083314097279472379</x:v>
      </x:c>
    </x:row>
    <x:row r="25" spans="1:11" ht="34.149999999999999" customHeight="1">
      <x:c r="A25" s="312">
        <x:f>C2</x:f>
        <x:v>3639000</x:v>
      </x:c>
      <x:c r="B25" s="276"/>
      <x:c r="C25" s="276">
        <x:f>E25/I1</x:f>
        <x:v>4350744.8275862066</x:v>
      </x:c>
      <x:c r="D25" s="276"/>
      <x:c r="E25" s="276">
        <x:f>SUM('1:29'!$A$25)</x:f>
        <x:v>126171600</x:v>
      </x:c>
      <x:c r="F25" s="276"/>
      <x:c r="G25" s="276"/>
      <x:c r="H25" s="107" t="s">
        <x:v>33</x:v>
      </x:c>
      <x:c r="I25" s="108">
        <x:f>SUM('1'!$I$23)</x:f>
        <x:v>2230104</x:v>
      </x:c>
      <x:c r="J25" s="61" t="s">
        <x:v>33</x:v>
      </x:c>
      <x:c r="K25" s="62">
        <x:f>SUM('1:29'!$K$23)</x:f>
        <x:v>2776020</x:v>
      </x:c>
    </x:row>
    <x:row r="26" spans="1:11" ht="34.149999999999999" customHeight="1">
      <x:c r="A26" s="260" t="s">
        <x:v>142</x:v>
      </x:c>
      <x:c r="B26" s="261"/>
      <x:c r="C26" s="261"/>
      <x:c r="D26" s="261"/>
      <x:c r="E26" s="262"/>
      <x:c r="F26" s="262"/>
      <x:c r="G26" s="262"/>
      <x:c r="H26" s="107" t="s">
        <x:v>128</x:v>
      </x:c>
      <x:c r="I26" s="110">
        <x:f>I25/$E$25</x:f>
        <x:v>0.017675166202219834</x:v>
      </x:c>
      <x:c r="J26" s="64" t="s">
        <x:v>128</x:v>
      </x:c>
      <x:c r="K26" s="65">
        <x:f>K25/$E$25</x:f>
        <x:v>0.022001940214755142</x:v>
      </x:c>
    </x:row>
    <x:row r="27" spans="1:13" ht="30.949999999999999" customHeight="1">
      <x:c r="A27" s="318" t="s">
        <x:v>141</x:v>
      </x:c>
      <x:c r="B27" s="54" t="s">
        <x:v>44</x:v>
      </x:c>
      <x:c r="C27" s="276">
        <x:f>4000000/30</x:f>
        <x:v>133333.33333333334</x:v>
      </x:c>
      <x:c r="D27" s="276"/>
      <x:c r="E27" s="55" t="s">
        <x:v>147</x:v>
      </x:c>
      <x:c r="F27" s="262">
        <x:v>58500</x:v>
      </x:c>
      <x:c r="G27" s="262"/>
      <x:c r="H27" s="111" t="s">
        <x:v>118</x:v>
      </x:c>
      <x:c r="I27" s="112">
        <x:f>SUM(C27:D34,F27:G32)</x:f>
        <x:v>758633.33333333337</x:v>
      </x:c>
      <x:c r="M27" s="66"/>
    </x:row>
    <x:row r="28" spans="1:13" ht="30.949999999999999" customHeight="1">
      <x:c r="A28" s="319"/>
      <x:c r="B28" s="54" t="s">
        <x:v>23</x:v>
      </x:c>
      <x:c r="C28" s="276">
        <x:f>3800000/30</x:f>
        <x:v>126666.66666666667</x:v>
      </x:c>
      <x:c r="D28" s="276"/>
      <x:c r="E28" s="55" t="s">
        <x:v>149</x:v>
      </x:c>
      <x:c r="F28" s="276">
        <x:f>1500000/30</x:f>
        <x:v>50000</x:v>
      </x:c>
      <x:c r="G28" s="276"/>
      <x:c r="H28" s="111" t="s">
        <x:v>8</x:v>
      </x:c>
      <x:c r="I28" s="113">
        <x:f>I27/$A$25</x:f>
        <x:v>0.20847302372446644</x:v>
      </x:c>
      <x:c r="M28" s="66"/>
    </x:row>
    <x:row r="29" spans="1:13" ht="30.949999999999999" customHeight="1">
      <x:c r="A29" s="319"/>
      <x:c r="B29" s="54" t="s">
        <x:v>47</x:v>
      </x:c>
      <x:c r="C29" s="276">
        <x:f>3200000/30</x:f>
        <x:v>106666.66666666667</x:v>
      </x:c>
      <x:c r="D29" s="276"/>
      <x:c r="E29" s="54" t="s">
        <x:v>57</x:v>
      </x:c>
      <x:c r="F29" s="262">
        <x:v>46800</x:v>
      </x:c>
      <x:c r="G29" s="262"/>
      <x:c r="H29" s="111" t="s">
        <x:v>33</x:v>
      </x:c>
      <x:c r="I29" s="112">
        <x:f>SUM('1:29'!$I$27)</x:f>
        <x:v>23046466.666666664</x:v>
      </x:c>
      <x:c r="M29" s="66"/>
    </x:row>
    <x:row r="30" spans="1:13" ht="30.949999999999999" customHeight="1">
      <x:c r="A30" s="319"/>
      <x:c r="B30" s="54"/>
      <x:c r="C30" s="315"/>
      <x:c r="D30" s="315"/>
      <x:c r="E30" s="55"/>
      <x:c r="F30" s="310"/>
      <x:c r="G30" s="311"/>
      <x:c r="H30" s="111" t="s">
        <x:v>128</x:v>
      </x:c>
      <x:c r="I30" s="113">
        <x:f>I29/$I$27</x:f>
        <x:v>30.378927017883029</x:v>
      </x:c>
      <x:c r="M30" s="66"/>
    </x:row>
    <x:row r="31" spans="1:7" customHeight="1">
      <x:c r="A31" s="319"/>
      <x:c r="B31" s="54" t="s">
        <x:v>41</x:v>
      </x:c>
      <x:c r="C31" s="313">
        <x:f>3500000/30</x:f>
        <x:v>116666.66666666667</x:v>
      </x:c>
      <x:c r="D31" s="314"/>
      <x:c r="E31" s="55" t="s">
        <x:v>4</x:v>
      </x:c>
      <x:c r="F31" s="310">
        <x:v>120000</x:v>
      </x:c>
      <x:c r="G31" s="311"/>
    </x:row>
    <x:row r="32" spans="1:7" customHeight="1">
      <x:c r="A32" s="319"/>
      <x:c r="B32" s="54"/>
      <x:c r="C32" s="308"/>
      <x:c r="D32" s="309"/>
      <x:c r="E32" s="55" t="s">
        <x:v>138</x:v>
      </x:c>
      <x:c r="F32" s="310"/>
      <x:c r="G32" s="311"/>
    </x:row>
    <x:row r="33" spans="1:4" customHeight="1">
      <x:c r="A33" s="319"/>
      <x:c r="B33" s="54" t="s">
        <x:v>21</x:v>
      </x:c>
      <x:c r="C33" s="308"/>
      <x:c r="D33" s="309"/>
    </x:row>
    <x:row r="34" spans="1:4" customHeight="1">
      <x:c r="A34" s="320"/>
      <x:c r="B34" s="54"/>
      <x:c r="C34" s="310"/>
      <x:c r="D34" s="311"/>
    </x:row>
  </x:sheetData>
  <x:mergeCells count="74"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F32:G32"/>
    <x:mergeCell ref="A25:B25"/>
    <x:mergeCell ref="C25:D25"/>
    <x:mergeCell ref="E25:G25"/>
    <x:mergeCell ref="A26:B26"/>
    <x:mergeCell ref="C26:D26"/>
    <x:mergeCell ref="E26:G26"/>
    <x:mergeCell ref="A23:B23"/>
    <x:mergeCell ref="C23:G23"/>
    <x:mergeCell ref="N23:O23"/>
    <x:mergeCell ref="A24:B24"/>
    <x:mergeCell ref="C24:D24"/>
    <x:mergeCell ref="E24:G24"/>
    <x:mergeCell ref="D20:E20"/>
    <x:mergeCell ref="F20:G20"/>
    <x:mergeCell ref="D21:E21"/>
    <x:mergeCell ref="F21:G21"/>
    <x:mergeCell ref="A22:B22"/>
    <x:mergeCell ref="C22:G22"/>
    <x:mergeCell ref="B16:B17"/>
    <x:mergeCell ref="F16:G16"/>
    <x:mergeCell ref="F17:G17"/>
    <x:mergeCell ref="B18:B19"/>
    <x:mergeCell ref="F18:G18"/>
    <x:mergeCell ref="F19:G19"/>
    <x:mergeCell ref="B14:B15"/>
    <x:mergeCell ref="F14:G14"/>
    <x:mergeCell ref="F15:G15"/>
    <x:mergeCell ref="B12:B13"/>
    <x:mergeCell ref="F12:G12"/>
    <x:mergeCell ref="F13:G1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J2:K2"/>
    <x:mergeCell ref="A2:B3"/>
    <x:mergeCell ref="C2:D3"/>
    <x:mergeCell ref="E2:F3"/>
    <x:mergeCell ref="G2:G3"/>
    <x:mergeCell ref="H2:I2"/>
    <x:mergeCell ref="D14:E15"/>
    <x:mergeCell ref="D12:E13"/>
    <x:mergeCell ref="D18:E19"/>
    <x:mergeCell ref="D16:E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2"/>
  <x:dimension ref="A1:O34"/>
  <x:sheetViews>
    <x:sheetView topLeftCell="A24" zoomScale="85" zoomScaleNormal="85" zoomScaleSheetLayoutView="75" workbookViewId="0">
      <x:selection activeCell="J34" activeCellId="0" sqref="J34:J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125</x:v>
      </x:c>
      <x:c r="D1" s="68"/>
      <x:c r="E1" s="68" t="s">
        <x:v>152</x:v>
      </x:c>
      <x:c r="F1" s="68">
        <x:v>30</x:v>
      </x:c>
      <x:c r="G1" s="68" t="s">
        <x:v>62</x:v>
      </x:c>
      <x:c r="H1" s="52" t="s">
        <x:v>123</x:v>
      </x:c>
      <x:c r="I1" s="52">
        <x:f>F1-K1</x:f>
        <x:v>30</x:v>
      </x:c>
      <x:c r="J1" s="52" t="s">
        <x:v>98</x:v>
      </x:c>
      <x:c r="K1" s="52"/>
    </x:row>
    <x:row r="2" spans="1:11" ht="20.100000000000001" customHeight="1">
      <x:c r="A2" s="271" t="s">
        <x:v>9</x:v>
      </x:c>
      <x:c r="B2" s="272"/>
      <x:c r="C2" s="275">
        <x:f>SUM(C4:D7)</x:f>
        <x:v>4079000</x:v>
      </x:c>
      <x:c r="D2" s="275"/>
      <x:c r="E2" s="278" t="s">
        <x:v>40</x:v>
      </x:c>
      <x:c r="F2" s="279"/>
      <x:c r="G2" s="267">
        <x:v>112500</x:v>
      </x:c>
      <x:c r="H2" s="265" t="s">
        <x:v>6</x:v>
      </x:c>
      <x:c r="I2" s="266"/>
      <x:c r="J2" s="263" t="s">
        <x:v>74</x:v>
      </x:c>
      <x:c r="K2" s="264"/>
    </x:row>
    <x:row r="3" spans="1:11" ht="20.100000000000001" customHeight="1">
      <x:c r="A3" s="273"/>
      <x:c r="B3" s="274"/>
      <x:c r="C3" s="276"/>
      <x:c r="D3" s="276"/>
      <x:c r="E3" s="280"/>
      <x:c r="F3" s="281"/>
      <x:c r="G3" s="268"/>
      <x:c r="H3" s="54" t="s">
        <x:v>26</x:v>
      </x:c>
      <x:c r="I3" s="56" t="s">
        <x:v>39</x:v>
      </x:c>
      <x:c r="J3" s="57" t="s">
        <x:v>26</x:v>
      </x:c>
      <x:c r="K3" s="56" t="s">
        <x:v>39</x:v>
      </x:c>
    </x:row>
    <x:row r="4" spans="1:11" ht="30.949999999999999" customHeight="1">
      <x:c r="A4" s="269" t="s">
        <x:v>22</x:v>
      </x:c>
      <x:c r="B4" s="270"/>
      <x:c r="C4" s="262">
        <x:v>3734000</x:v>
      </x:c>
      <x:c r="D4" s="262"/>
      <x:c r="E4" s="277" t="s">
        <x:v>146</x:v>
      </x:c>
      <x:c r="F4" s="277"/>
      <x:c r="G4" s="133">
        <x:f>INT(C4*0.0275)</x:f>
        <x:v>102685</x:v>
      </x:c>
      <x:c r="H4" s="54" t="s">
        <x:v>20</x:v>
      </x:c>
      <x:c r="I4" s="124">
        <x:v>1585215</x:v>
      </x:c>
      <x:c r="J4" s="80" t="s">
        <x:v>36</x:v>
      </x:c>
      <x:c r="K4" s="58"/>
    </x:row>
    <x:row r="5" spans="1:11" ht="30.949999999999999" customHeight="1">
      <x:c r="A5" s="269" t="s">
        <x:v>61</x:v>
      </x:c>
      <x:c r="B5" s="270"/>
      <x:c r="C5" s="262">
        <x:v>345000</x:v>
      </x:c>
      <x:c r="D5" s="262"/>
      <x:c r="E5" s="261" t="s">
        <x:v>70</x:v>
      </x:c>
      <x:c r="F5" s="261"/>
      <x:c r="G5" s="133">
        <x:f>INT(C5*0.01)</x:f>
        <x:v>3450</x:v>
      </x:c>
      <x:c r="H5" s="54" t="s">
        <x:v>6</x:v>
      </x:c>
      <x:c r="I5" s="124"/>
      <x:c r="J5" s="81"/>
      <x:c r="K5" s="58"/>
    </x:row>
    <x:row r="6" spans="1:11" ht="21.949999999999999" customHeight="1">
      <x:c r="A6" s="256" t="s">
        <x:v>84</x:v>
      </x:c>
      <x:c r="B6" s="257"/>
      <x:c r="C6" s="301"/>
      <x:c r="D6" s="302"/>
      <x:c r="E6" s="288" t="s">
        <x:v>131</x:v>
      </x:c>
      <x:c r="F6" s="289"/>
      <x:c r="G6" s="282">
        <x:v>350000</x:v>
      </x:c>
      <x:c r="H6" s="54"/>
      <x:c r="I6" s="124"/>
      <x:c r="J6" s="81" t="s">
        <x:v>127</x:v>
      </x:c>
      <x:c r="K6" s="58"/>
    </x:row>
    <x:row r="7" spans="1:11" ht="21.949999999999999" customHeight="1">
      <x:c r="A7" s="258"/>
      <x:c r="B7" s="259"/>
      <x:c r="C7" s="303"/>
      <x:c r="D7" s="304"/>
      <x:c r="E7" s="280"/>
      <x:c r="F7" s="281"/>
      <x:c r="G7" s="268"/>
      <x:c r="H7" s="54" t="s">
        <x:v>24</x:v>
      </x:c>
      <x:c r="I7" s="124"/>
      <x:c r="J7" s="81" t="s">
        <x:v>116</x:v>
      </x:c>
      <x:c r="K7" s="58"/>
    </x:row>
    <x:row r="8" spans="1:11" ht="21.949999999999999" customHeight="1">
      <x:c r="A8" s="260" t="s">
        <x:v>134</x:v>
      </x:c>
      <x:c r="B8" s="261"/>
      <x:c r="C8" s="262">
        <x:v>107500</x:v>
      </x:c>
      <x:c r="D8" s="262"/>
      <x:c r="E8" s="288" t="s">
        <x:v>110</x:v>
      </x:c>
      <x:c r="F8" s="289"/>
      <x:c r="G8" s="294">
        <x:f>C5+G2-G6-C22</x:f>
        <x:v>107500</x:v>
      </x:c>
      <x:c r="H8" s="54" t="s">
        <x:v>45</x:v>
      </x:c>
      <x:c r="I8" s="124"/>
      <x:c r="J8" s="81"/>
      <x:c r="K8" s="58"/>
    </x:row>
    <x:row r="9" spans="1:11" ht="21.949999999999999" customHeight="1">
      <x:c r="A9" s="260"/>
      <x:c r="B9" s="261"/>
      <x:c r="C9" s="262"/>
      <x:c r="D9" s="262"/>
      <x:c r="E9" s="280"/>
      <x:c r="F9" s="281"/>
      <x:c r="G9" s="295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143</x:v>
      </x:c>
      <x:c r="B10" s="261"/>
      <x:c r="C10" s="262">
        <x:v>60000</x:v>
      </x:c>
      <x:c r="D10" s="262"/>
      <x:c r="E10" s="261" t="s">
        <x:v>87</x:v>
      </x:c>
      <x:c r="F10" s="261"/>
      <x:c r="G10" s="55"/>
      <x:c r="H10" s="54"/>
      <x:c r="I10" s="124"/>
      <x:c r="J10" s="54" t="s">
        <x:v>53</x:v>
      </x:c>
      <x:c r="K10" s="58"/>
    </x:row>
    <x:row r="11" spans="1:11" ht="33" customHeight="1">
      <x:c r="A11" s="260" t="s">
        <x:v>103</x:v>
      </x:c>
      <x:c r="B11" s="261"/>
      <x:c r="C11" s="300"/>
      <x:c r="D11" s="300"/>
      <x:c r="E11" s="300"/>
      <x:c r="F11" s="300"/>
      <x:c r="G11" s="300"/>
      <x:c r="H11" s="54" t="s">
        <x:v>58</x:v>
      </x:c>
      <x:c r="I11" s="58"/>
      <x:c r="J11" s="54" t="s">
        <x:v>82</x:v>
      </x:c>
      <x:c r="K11" s="151"/>
    </x:row>
    <x:row r="12" spans="1:13" ht="21.949999999999999" customHeight="1">
      <x:c r="A12" s="59" t="s">
        <x:v>48</x:v>
      </x:c>
      <x:c r="B12" s="298" t="s">
        <x:v>42</x:v>
      </x:c>
      <x:c r="C12" s="79">
        <x:v>6</x:v>
      </x:c>
      <x:c r="D12" s="288" t="s">
        <x:v>133</x:v>
      </x:c>
      <x:c r="E12" s="289"/>
      <x:c r="F12" s="292">
        <x:v>11</x:v>
      </x:c>
      <x:c r="G12" s="293"/>
      <x:c r="H12" s="54" t="s">
        <x:v>102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96</x:v>
      </x:c>
      <x:c r="B13" s="299"/>
      <x:c r="C13" s="134">
        <x:f>SUM('1:30'!$C$12)</x:f>
        <x:v>251</x:v>
      </x:c>
      <x:c r="D13" s="280"/>
      <x:c r="E13" s="281"/>
      <x:c r="F13" s="290">
        <x:f>SUM('1:30'!$F$12)</x:f>
        <x:v>166</x:v>
      </x:c>
      <x:c r="G13" s="291"/>
      <x:c r="H13" s="54" t="s">
        <x:v>126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48</x:v>
      </x:c>
      <x:c r="B14" s="298" t="s">
        <x:v>64</x:v>
      </x:c>
      <x:c r="C14" s="79">
        <x:v>28</x:v>
      </x:c>
      <x:c r="D14" s="288" t="s">
        <x:v>95</x:v>
      </x:c>
      <x:c r="E14" s="289"/>
      <x:c r="F14" s="292">
        <x:v>1</x:v>
      </x:c>
      <x:c r="G14" s="293"/>
      <x:c r="H14" s="54" t="s">
        <x:v>111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96</x:v>
      </x:c>
      <x:c r="B15" s="299"/>
      <x:c r="C15" s="134">
        <x:f>SUM('1:30'!$C$14)</x:f>
        <x:v>575</x:v>
      </x:c>
      <x:c r="D15" s="280"/>
      <x:c r="E15" s="281"/>
      <x:c r="F15" s="290">
        <x:f>SUM('1:30'!$F$14)</x:f>
        <x:v>248</x:v>
      </x:c>
      <x:c r="G15" s="291"/>
      <x:c r="H15" s="54" t="s">
        <x:v>106</x:v>
      </x:c>
      <x:c r="I15" s="58">
        <x:v>241800</x:v>
      </x:c>
      <x:c r="J15" s="54" t="s">
        <x:v>74</x:v>
      </x:c>
      <x:c r="K15" s="58"/>
      <x:c r="L15" s="60"/>
      <x:c r="M15" s="11"/>
    </x:row>
    <x:row r="16" spans="1:13" ht="21.949999999999999" customHeight="1">
      <x:c r="A16" s="59" t="s">
        <x:v>48</x:v>
      </x:c>
      <x:c r="B16" s="298" t="s">
        <x:v>51</x:v>
      </x:c>
      <x:c r="C16" s="79">
        <x:v>4</x:v>
      </x:c>
      <x:c r="D16" s="288" t="s">
        <x:v>117</x:v>
      </x:c>
      <x:c r="E16" s="289"/>
      <x:c r="F16" s="286">
        <x:v>6</x:v>
      </x:c>
      <x:c r="G16" s="286"/>
      <x:c r="H16" s="54"/>
      <x:c r="I16" s="58"/>
      <x:c r="J16" s="54" t="s">
        <x:v>97</x:v>
      </x:c>
      <x:c r="K16" s="58"/>
      <x:c r="L16" s="60"/>
      <x:c r="M16" s="11"/>
    </x:row>
    <x:row r="17" spans="1:13" ht="21.949999999999999" customHeight="1">
      <x:c r="A17" s="59" t="s">
        <x:v>96</x:v>
      </x:c>
      <x:c r="B17" s="299"/>
      <x:c r="C17" s="134">
        <x:f>SUM('1:30'!$C$16)</x:f>
        <x:v>130</x:v>
      </x:c>
      <x:c r="D17" s="280"/>
      <x:c r="E17" s="281"/>
      <x:c r="F17" s="287">
        <x:f>SUM('1:30'!$F$16)</x:f>
        <x:v>317</x:v>
      </x:c>
      <x:c r="G17" s="287"/>
      <x:c r="H17" s="54" t="s">
        <x:v>7</x:v>
      </x:c>
      <x:c r="I17" s="58"/>
      <x:c r="J17" s="54" t="s">
        <x:v>90</x:v>
      </x:c>
      <x:c r="K17" s="58"/>
      <x:c r="L17" s="60"/>
      <x:c r="M17" s="11"/>
    </x:row>
    <x:row r="18" spans="1:13" ht="21.949999999999999" customHeight="1">
      <x:c r="A18" s="59" t="s">
        <x:v>48</x:v>
      </x:c>
      <x:c r="B18" s="298" t="s">
        <x:v>91</x:v>
      </x:c>
      <x:c r="C18" s="79">
        <x:v>9</x:v>
      </x:c>
      <x:c r="D18" s="288" t="s">
        <x:v>130</x:v>
      </x:c>
      <x:c r="E18" s="289"/>
      <x:c r="F18" s="296">
        <x:v>0</x:v>
      </x:c>
      <x:c r="G18" s="297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96</x:v>
      </x:c>
      <x:c r="B19" s="299"/>
      <x:c r="C19" s="134">
        <x:f>SUM('1:30'!$C$18)</x:f>
        <x:v>286</x:v>
      </x:c>
      <x:c r="D19" s="280"/>
      <x:c r="E19" s="281"/>
      <x:c r="F19" s="287">
        <x:f>SUM('1:30'!$F$18)</x:f>
        <x:v>110</x:v>
      </x:c>
      <x:c r="G19" s="287"/>
      <x:c r="H19" s="58"/>
      <x:c r="I19" s="58"/>
      <x:c r="J19" s="54"/>
      <x:c r="K19" s="58"/>
      <x:c r="L19" s="60"/>
      <x:c r="M19" s="11"/>
    </x:row>
    <x:row r="20" spans="2:13" ht="21.949999999999999" customHeight="1">
      <x:c r="B20" s="52" t="s">
        <x:v>151</x:v>
      </x:c>
      <x:c r="D20" s="261" t="s">
        <x:v>113</x:v>
      </x:c>
      <x:c r="E20" s="261"/>
      <x:c r="F20" s="286">
        <x:v>56</x:v>
      </x:c>
      <x:c r="G20" s="286"/>
      <x:c r="H20" s="58"/>
      <x:c r="J20" s="54"/>
      <x:c r="K20" s="58"/>
      <x:c r="L20" s="60"/>
      <x:c r="M20" s="11"/>
    </x:row>
    <x:row r="21" spans="4:13" ht="21.949999999999999" customHeight="1">
      <x:c r="D21" s="261" t="s">
        <x:v>114</x:v>
      </x:c>
      <x:c r="E21" s="261"/>
      <x:c r="F21" s="287">
        <x:f>SUM('1:30'!$F$20)</x:f>
        <x:v>1638</x:v>
      </x:c>
      <x:c r="G21" s="287"/>
      <x:c r="H21" s="58"/>
      <x:c r="J21" s="54"/>
      <x:c r="K21" s="58"/>
      <x:c r="L21" s="60"/>
      <x:c r="M21" s="11"/>
    </x:row>
    <x:row r="22" spans="1:13" ht="32.100000000000001" customHeight="1">
      <x:c r="A22" s="260" t="s">
        <x:v>83</x:v>
      </x:c>
      <x:c r="B22" s="261"/>
      <x:c r="C22" s="285"/>
      <x:c r="D22" s="285"/>
      <x:c r="E22" s="285"/>
      <x:c r="F22" s="285"/>
      <x:c r="G22" s="285"/>
      <x:c r="H22" s="54"/>
      <x:c r="J22" s="54"/>
      <x:c r="K22" s="58"/>
      <x:c r="L22" s="60"/>
      <x:c r="M22" s="11"/>
    </x:row>
    <x:row r="23" spans="1:15" ht="34.149999999999999" customHeight="1">
      <x:c r="A23" s="260" t="s">
        <x:v>124</x:v>
      </x:c>
      <x:c r="B23" s="261"/>
      <x:c r="C23" s="316"/>
      <x:c r="D23" s="317"/>
      <x:c r="E23" s="317"/>
      <x:c r="F23" s="317"/>
      <x:c r="G23" s="317"/>
      <x:c r="H23" s="107" t="s">
        <x:v>94</x:v>
      </x:c>
      <x:c r="I23" s="108">
        <x:f>SUM(I4:I22)</x:f>
        <x:v>1827015</x:v>
      </x:c>
      <x:c r="J23" s="61" t="s">
        <x:v>119</x:v>
      </x:c>
      <x:c r="K23" s="62">
        <x:f>SUM(K4:K22)</x:f>
        <x:v>0</x:v>
      </x:c>
      <x:c r="M23" s="88" t="s">
        <x:v>93</x:v>
      </x:c>
      <x:c r="N23" s="283">
        <x:f>C5+C6</x:f>
        <x:v>345000</x:v>
      </x:c>
      <x:c r="O23" s="284"/>
    </x:row>
    <x:row r="24" spans="1:11" ht="34.149999999999999" customHeight="1">
      <x:c r="A24" s="260" t="s">
        <x:v>8</x:v>
      </x:c>
      <x:c r="B24" s="261"/>
      <x:c r="C24" s="261" t="s">
        <x:v>86</x:v>
      </x:c>
      <x:c r="D24" s="261"/>
      <x:c r="E24" s="261" t="s">
        <x:v>101</x:v>
      </x:c>
      <x:c r="F24" s="261"/>
      <x:c r="G24" s="261"/>
      <x:c r="H24" s="107" t="s">
        <x:v>8</x:v>
      </x:c>
      <x:c r="I24" s="109">
        <x:f>I23/A25</x:f>
        <x:v>0.44790757538612402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12">
        <x:f>C2</x:f>
        <x:v>4079000</x:v>
      </x:c>
      <x:c r="B25" s="276"/>
      <x:c r="C25" s="276">
        <x:f>E25/I1</x:f>
        <x:v>4341686.666666667</x:v>
      </x:c>
      <x:c r="D25" s="276"/>
      <x:c r="E25" s="276">
        <x:f>SUM('1:30'!$A$25)</x:f>
        <x:v>130250600</x:v>
      </x:c>
      <x:c r="F25" s="276"/>
      <x:c r="G25" s="276"/>
      <x:c r="H25" s="107" t="s">
        <x:v>33</x:v>
      </x:c>
      <x:c r="I25" s="108">
        <x:f>SUM('1'!$I$23)</x:f>
        <x:v>2230104</x:v>
      </x:c>
      <x:c r="J25" s="61" t="s">
        <x:v>33</x:v>
      </x:c>
      <x:c r="K25" s="62">
        <x:f>SUM('1:30'!$K$23)</x:f>
        <x:v>2776020</x:v>
      </x:c>
    </x:row>
    <x:row r="26" spans="1:11" ht="34.149999999999999" customHeight="1">
      <x:c r="A26" s="260" t="s">
        <x:v>142</x:v>
      </x:c>
      <x:c r="B26" s="261"/>
      <x:c r="C26" s="261"/>
      <x:c r="D26" s="261"/>
      <x:c r="E26" s="262"/>
      <x:c r="F26" s="262"/>
      <x:c r="G26" s="262"/>
      <x:c r="H26" s="107" t="s">
        <x:v>128</x:v>
      </x:c>
      <x:c r="I26" s="110">
        <x:f>I25/$E$25</x:f>
        <x:v>0.017121640898391254</x:v>
      </x:c>
      <x:c r="J26" s="64" t="s">
        <x:v>128</x:v>
      </x:c>
      <x:c r="K26" s="65">
        <x:f>K25/$E$25</x:f>
        <x:v>0.02131291525720419</x:v>
      </x:c>
    </x:row>
    <x:row r="27" spans="1:13" ht="30.949999999999999" customHeight="1">
      <x:c r="A27" s="318" t="s">
        <x:v>141</x:v>
      </x:c>
      <x:c r="B27" s="54" t="s">
        <x:v>44</x:v>
      </x:c>
      <x:c r="C27" s="276">
        <x:f>4000000/30</x:f>
        <x:v>133333.33333333334</x:v>
      </x:c>
      <x:c r="D27" s="276"/>
      <x:c r="E27" s="55" t="s">
        <x:v>147</x:v>
      </x:c>
      <x:c r="F27" s="262">
        <x:f>13000*3.5</x:f>
        <x:v>45500</x:v>
      </x:c>
      <x:c r="G27" s="262"/>
      <x:c r="H27" s="111" t="s">
        <x:v>118</x:v>
      </x:c>
      <x:c r="I27" s="112">
        <x:f>SUM(C27:D34,F27:G32)</x:f>
        <x:v>791783.33333333337</x:v>
      </x:c>
      <x:c r="M27" s="66"/>
    </x:row>
    <x:row r="28" spans="1:13" ht="30.949999999999999" customHeight="1">
      <x:c r="A28" s="319"/>
      <x:c r="B28" s="54" t="s">
        <x:v>23</x:v>
      </x:c>
      <x:c r="C28" s="276">
        <x:f>3800000/30</x:f>
        <x:v>126666.66666666667</x:v>
      </x:c>
      <x:c r="D28" s="276"/>
      <x:c r="E28" s="55" t="s">
        <x:v>149</x:v>
      </x:c>
      <x:c r="F28" s="276">
        <x:f>1500000/30</x:f>
        <x:v>50000</x:v>
      </x:c>
      <x:c r="G28" s="276"/>
      <x:c r="H28" s="111" t="s">
        <x:v>8</x:v>
      </x:c>
      <x:c r="I28" s="113">
        <x:f>I27/$A$25</x:f>
        <x:v>0.19411211898341096</x:v>
      </x:c>
      <x:c r="M28" s="66"/>
    </x:row>
    <x:row r="29" spans="1:13" ht="30.949999999999999" customHeight="1">
      <x:c r="A29" s="319"/>
      <x:c r="B29" s="54" t="s">
        <x:v>47</x:v>
      </x:c>
      <x:c r="C29" s="276">
        <x:f>3200000/30</x:f>
        <x:v>106666.66666666667</x:v>
      </x:c>
      <x:c r="D29" s="276"/>
      <x:c r="E29" s="54" t="s">
        <x:v>57</x:v>
      </x:c>
      <x:c r="F29" s="262">
        <x:v>40950</x:v>
      </x:c>
      <x:c r="G29" s="262"/>
      <x:c r="H29" s="111" t="s">
        <x:v>33</x:v>
      </x:c>
      <x:c r="I29" s="112">
        <x:f>SUM('1:30'!$I$27)</x:f>
        <x:v>23838249.999999996</x:v>
      </x:c>
      <x:c r="M29" s="66"/>
    </x:row>
    <x:row r="30" spans="1:13" ht="30.949999999999999" customHeight="1">
      <x:c r="A30" s="319"/>
      <x:c r="B30" s="54"/>
      <x:c r="C30" s="315"/>
      <x:c r="D30" s="315"/>
      <x:c r="E30" s="55"/>
      <x:c r="F30" s="310"/>
      <x:c r="G30" s="311"/>
      <x:c r="H30" s="111" t="s">
        <x:v>128</x:v>
      </x:c>
      <x:c r="I30" s="113">
        <x:f>I29/$I$27</x:f>
        <x:v>30.107036857726225</x:v>
      </x:c>
      <x:c r="M30" s="66"/>
    </x:row>
    <x:row r="31" spans="1:7" customHeight="1">
      <x:c r="A31" s="319"/>
      <x:c r="B31" s="54" t="s">
        <x:v>41</x:v>
      </x:c>
      <x:c r="C31" s="313">
        <x:f>3500000/30</x:f>
        <x:v>116666.66666666667</x:v>
      </x:c>
      <x:c r="D31" s="314"/>
      <x:c r="E31" s="55" t="s">
        <x:v>4</x:v>
      </x:c>
      <x:c r="F31" s="310">
        <x:v>120000</x:v>
      </x:c>
      <x:c r="G31" s="311"/>
    </x:row>
    <x:row r="32" spans="1:7" customHeight="1">
      <x:c r="A32" s="319"/>
      <x:c r="B32" s="54"/>
      <x:c r="C32" s="308"/>
      <x:c r="D32" s="309"/>
      <x:c r="E32" s="55" t="s">
        <x:v>138</x:v>
      </x:c>
      <x:c r="F32" s="310"/>
      <x:c r="G32" s="311"/>
    </x:row>
    <x:row r="33" spans="1:4" customHeight="1">
      <x:c r="A33" s="319"/>
      <x:c r="B33" s="54" t="s">
        <x:v>21</x:v>
      </x:c>
      <x:c r="C33" s="308">
        <x:f>13000*4</x:f>
        <x:v>52000</x:v>
      </x:c>
      <x:c r="D33" s="309"/>
    </x:row>
    <x:row r="34" spans="1:4" customHeight="1">
      <x:c r="A34" s="320"/>
      <x:c r="B34" s="54"/>
      <x:c r="C34" s="310"/>
      <x:c r="D34" s="311"/>
    </x:row>
  </x:sheetData>
  <x:mergeCells count="74"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F32:G32"/>
    <x:mergeCell ref="A25:B25"/>
    <x:mergeCell ref="C25:D25"/>
    <x:mergeCell ref="E25:G25"/>
    <x:mergeCell ref="A26:B26"/>
    <x:mergeCell ref="C26:D26"/>
    <x:mergeCell ref="E26:G26"/>
    <x:mergeCell ref="A23:B23"/>
    <x:mergeCell ref="C23:G23"/>
    <x:mergeCell ref="N23:O23"/>
    <x:mergeCell ref="A24:B24"/>
    <x:mergeCell ref="C24:D24"/>
    <x:mergeCell ref="E24:G24"/>
    <x:mergeCell ref="D20:E20"/>
    <x:mergeCell ref="F20:G20"/>
    <x:mergeCell ref="D21:E21"/>
    <x:mergeCell ref="F21:G21"/>
    <x:mergeCell ref="A22:B22"/>
    <x:mergeCell ref="C22:G22"/>
    <x:mergeCell ref="B16:B17"/>
    <x:mergeCell ref="F16:G16"/>
    <x:mergeCell ref="F17:G17"/>
    <x:mergeCell ref="B18:B19"/>
    <x:mergeCell ref="F18:G18"/>
    <x:mergeCell ref="F19:G19"/>
    <x:mergeCell ref="B14:B15"/>
    <x:mergeCell ref="F14:G14"/>
    <x:mergeCell ref="F15:G15"/>
    <x:mergeCell ref="B12:B13"/>
    <x:mergeCell ref="F12:G12"/>
    <x:mergeCell ref="F13:G1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J2:K2"/>
    <x:mergeCell ref="A2:B3"/>
    <x:mergeCell ref="C2:D3"/>
    <x:mergeCell ref="E2:F3"/>
    <x:mergeCell ref="G2:G3"/>
    <x:mergeCell ref="H2:I2"/>
    <x:mergeCell ref="D14:E15"/>
    <x:mergeCell ref="D12:E13"/>
    <x:mergeCell ref="D18:E19"/>
    <x:mergeCell ref="D16:E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4"/>
  <x:dimension ref="A1:A1"/>
  <x:sheetViews>
    <x:sheetView topLeftCell="A1" zoomScale="66" zoomScaleNormal="66" zoomScaleSheetLayoutView="75" workbookViewId="0">
      <x:selection activeCell="A1" activeCellId="0" sqref="A1:A1"/>
    </x:sheetView>
  </x:sheetViews>
  <x:sheetFormatPr defaultColWidth="9" defaultRowHeight="16.5"/>
  <x:sheetData/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3" baseType="lpstr">
      <vt:lpstr>월합산</vt:lpstr>
      <vt:lpstr>결산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Chart1</vt:lpstr>
    </vt:vector>
  </ep:TitlesOfParts>
  <ep:TotalTime>325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현지</dc:creator>
  <cp:lastModifiedBy>신재호</cp:lastModifiedBy>
  <cp:revision>63</cp:revision>
  <cp:lastPrinted>2020-08-02T09:11:11.000</cp:lastPrinted>
  <dcterms:created xsi:type="dcterms:W3CDTF">2017-10-12T05:43:00.000</dcterms:created>
  <dcterms:modified xsi:type="dcterms:W3CDTF">2026-04-27T17:08:55.567</dcterms:modified>
  <cp:version>1000.0100.01</cp:version>
</cp:coreProperties>
</file>