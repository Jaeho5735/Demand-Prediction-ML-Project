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현재_통합_문서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23" activeTab="1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29" sheetId="31" r:id="rId34"/>
    <x:sheet name="30" sheetId="32" r:id="rId35"/>
    <x:sheet name="31" sheetId="33" r:id="rId36"/>
    <x:sheet name="Chart1" sheetId="34" state="hidden" r:id="rId37"/>
  </x:sheets>
  <x:definedNames>
    <x:definedName name="_xlnm.Print_Area" localSheetId="18">'17'!$A$1:$O$34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<x:sst xmlns:r="http://schemas.openxmlformats.org/officeDocument/2006/relationships" xmlns:c="http://schemas.openxmlformats.org/drawingml/2006/chart" xmlns:x="http://schemas.openxmlformats.org/spreadsheetml/2006/main" count="3043" uniqueCount="164">
  <x:si>
    <x:t>V</x:t>
  </x:si>
  <x:si>
    <x:t>변동비</x:t>
  </x:si>
  <x:si>
    <x:t>항목</x:t>
  </x:si>
  <x:si>
    <x:t>만</x:t>
  </x:si>
  <x:si>
    <x:t>파출</x:t>
  </x:si>
  <x:si>
    <x:t>포스</x:t>
  </x:si>
  <x:si>
    <x:t>식자재</x:t>
  </x:si>
  <x:si>
    <x:t>막걸리</x:t>
  </x:si>
  <x:si>
    <x:t>일매출</x:t>
  </x:si>
  <x:si>
    <x:t>매출</x:t>
  </x:si>
  <x:si>
    <x:t>수도</x:t>
  </x:si>
  <x:si>
    <x:t>총매출</x:t>
  </x:si>
  <x:si>
    <x:t>시제</x:t>
  </x:si>
  <x:si>
    <x:t>오백</x:t>
  </x:si>
  <x:si>
    <x:t>입금</x:t>
  </x:si>
  <x:si>
    <x:t>F</x:t>
  </x:si>
  <x:si>
    <x:t>뚝배기</x:t>
  </x:si>
  <x:si>
    <x:t>잔금</x:t>
  </x:si>
  <x:si>
    <x:t>토</x:t>
  </x:si>
  <x:si>
    <x:t>일</x:t>
  </x:si>
  <x:si>
    <x:t>고기</x:t>
  </x:si>
  <x:si>
    <x:t>알바B</x:t>
  </x:si>
  <x:si>
    <x:t>카드</x:t>
  </x:si>
  <x:si>
    <x:t>직원B</x:t>
  </x:si>
  <x:si>
    <x:t>주류</x:t>
  </x:si>
  <x:si>
    <x:t>총비용</x:t>
  </x:si>
  <x:si>
    <x:t>업체</x:t>
  </x:si>
  <x:si>
    <x:t>수</x:t>
  </x:si>
  <x:si>
    <x:t>금</x:t>
  </x:si>
  <x:si>
    <x:t>고정비</x:t>
  </x:si>
  <x:si>
    <x:t>가스비</x:t>
  </x:si>
  <x:si>
    <x:t>배달</x:t>
  </x:si>
  <x:si>
    <x:t>누계</x:t>
  </x:si>
  <x:si>
    <x:t>S</x:t>
  </x:si>
  <x:si>
    <x:t>월세</x:t>
  </x:si>
  <x:si>
    <x:t>숯</x:t>
  </x:si>
  <x:si>
    <x:t>인터넷</x:t>
  </x:si>
  <x:si>
    <x:t>마케팅</x:t>
  </x:si>
  <x:si>
    <x:t>금액</x:t>
  </x:si>
  <x:si>
    <x:t>시재</x:t>
  </x:si>
  <x:si>
    <x:t>직원C</x:t>
  </x:si>
  <x:si>
    <x:t>목살</x:t>
  </x:si>
  <x:si>
    <x:t>백이하</x:t>
  </x:si>
  <x:si>
    <x:t>직원A</x:t>
  </x:si>
  <x:si>
    <x:t>쌀</x:t>
  </x:si>
  <x:si>
    <x:t>세무사</x:t>
  </x:si>
  <x:si>
    <x:t>직원D</x:t>
  </x:si>
  <x:si>
    <x:t>개수</x:t>
  </x:si>
  <x:si>
    <x:t>월</x:t>
  </x:si>
  <x:si>
    <x:t>목</x:t>
  </x:si>
  <x:si>
    <x:t>육회</x:t>
  </x:si>
  <x:si>
    <x:t>천</x:t>
  </x:si>
  <x:si>
    <x:t>발매트</x:t>
  </x:si>
  <x:si>
    <x:t>합계</x:t>
  </x:si>
  <x:si>
    <x:t>V/S</x:t>
  </x:si>
  <x:si>
    <x:t>급여</x:t>
  </x:si>
  <x:si>
    <x:t>알바X</x:t>
  </x:si>
  <x:si>
    <x:t>참기름</x:t>
  </x:si>
  <x:si>
    <x:t>전기세</x:t>
  </x:si>
  <x:si>
    <x:t>매출액</x:t>
  </x:si>
  <x:si>
    <x:t>현금</x:t>
  </x:si>
  <x:si>
    <x:t>화</x:t>
  </x:si>
  <x:si>
    <x:t>`</x:t>
  </x:si>
  <x:si>
    <x:t>삼겹살</x:t>
  </x:si>
  <x:si>
    <x:t>손익분기점 매출액 X</x:t>
  </x:si>
  <x:si>
    <x:t>take
out</x:t>
  </x:si>
  <x:si>
    <x:t>손익분기점 매출액</x:t>
  </x:si>
  <x:si>
    <x:t>퇴직금(10%)</x:t>
  </x:si>
  <x:si>
    <x:t>현금수수료 (1%)</x:t>
  </x:si>
  <x:si>
    <x:t>현금수수료(1%)</x:t>
  </x:si>
  <x:si>
    <x:t>월   합  산</x:t>
  </x:si>
  <x:si>
    <x:t>마  감  잔  금</x:t>
  </x:si>
  <x:si>
    <x:t>비       고</x:t>
  </x:si>
  <x:si>
    <x:t>비품 및 기타경비</x:t>
  </x:si>
  <x:si>
    <x:t>비품 및 
기타경비</x:t>
  </x:si>
  <x:si>
    <x:t>종량재봉투</x:t>
  </x:si>
  <x:si>
    <x:t>목표일매출</x:t>
  </x:si>
  <x:si>
    <x:t>4대보험료</x:t>
  </x:si>
  <x:si>
    <x:t>소     계</x:t>
  </x:si>
  <x:si>
    <x:t>변동비용</x:t>
  </x:si>
  <x:si>
    <x:t>화재보험</x:t>
  </x:si>
  <x:si>
    <x:t>불판세척</x:t>
  </x:si>
  <x:si>
    <x:t>중간출금</x:t>
  </x:si>
  <x:si>
    <x:t>페이결제</x:t>
  </x:si>
  <x:si>
    <x:t>목표월매출</x:t>
  </x:si>
  <x:si>
    <x:t>일평균매출</x:t>
  </x:si>
  <x:si>
    <x:t>카드할인</x:t>
  </x:si>
  <x:si>
    <x:t>영업일수</x:t>
  </x:si>
  <x:si>
    <x:t>세전이익</x:t>
  </x:si>
  <x:si>
    <x:t>다이소 구매</x:t>
  </x:si>
  <x:si>
    <x:t>소갈비살</x:t>
  </x:si>
  <x:si>
    <x:t>고정비용</x:t>
  </x:si>
  <x:si>
    <x:t>현금합계</x:t>
  </x:si>
  <x:si>
    <x:t>식자재합계</x:t>
  </x:si>
  <x:si>
    <x:t>돼지양념갈비</x:t>
  </x:si>
  <x:si>
    <x:t>매출누계</x:t>
  </x:si>
  <x:si>
    <x:t>인터넷 주문</x:t>
  </x:si>
  <x:si>
    <x:t>휴무일수</x:t>
  </x:si>
  <x:si>
    <x:t>종합소득세</x:t>
  </x:si>
  <x:si>
    <x:t>쿠쿠(블루문)</x:t>
  </x:si>
  <x:si>
    <x:t>누적총매출</x:t>
  </x:si>
  <x:si>
    <x:t>부탄가스</x:t>
  </x:si>
  <x:si>
    <x:t>할인내역</x:t>
  </x:si>
  <x:si>
    <x:t>할인금액</x:t>
  </x:si>
  <x:si>
    <x:t>손익분기점</x:t>
  </x:si>
  <x:si>
    <x:t>식자재2</x:t>
  </x:si>
  <x:si>
    <x:t>세후이익</x:t>
  </x:si>
  <x:si>
    <x:t>세금부가세</x:t>
  </x:si>
  <x:si>
    <x:t>항목별 소계</x:t>
  </x:si>
  <x:si>
    <x:t>마감잔금</x:t>
  </x:si>
  <x:si>
    <x:t>깍두기,계란</x:t>
  </x:si>
  <x:si>
    <x:t>합    계</x:t>
  </x:si>
  <x:si>
    <x:t>테이블수</x:t>
  </x:si>
  <x:si>
    <x:t>누적테이블</x:t>
  </x:si>
  <x:si>
    <x:t>매출 비율</x:t>
  </x:si>
  <x:si>
    <x:t>종량제봉투</x:t>
  </x:si>
  <x:si>
    <x:t>한우업진살</x:t>
  </x:si>
  <x:si>
    <x:t>인건비합계</x:t>
  </x:si>
  <x:si>
    <x:t>기타경비합계</x:t>
  </x:si>
  <x:si>
    <x:t>금고잔액</x:t>
  </x:si>
  <x:si>
    <x:t>코카콜라</x:t>
  </x:si>
  <x:si>
    <x:t>카드매출</x:t>
  </x:si>
  <x:si>
    <x:t>실영업일수</x:t>
  </x:si>
  <x:si>
    <x:t>출금내역</x:t>
  </x:si>
  <x:si>
    <x:t>2025년</x:t>
  </x:si>
  <x:si>
    <x:t>코카콜라음료</x:t>
  </x:si>
  <x:si>
    <x:t>음식물스티커</x:t>
  </x:si>
  <x:si>
    <x:t>누적매출</x:t>
  </x:si>
  <x:si>
    <x:t>현금매출</x:t>
  </x:si>
  <x:si>
    <x:t>LA양념갈비</x:t>
  </x:si>
  <x:si>
    <x:t>통장입금</x:t>
  </x:si>
  <x:si>
    <x:t>중간입금</x:t>
  </x:si>
  <x:si>
    <x:t>LA갈비</x:t>
  </x:si>
  <x:si>
    <x:t>금고 실잔액</x:t>
  </x:si>
  <x:si>
    <x:t>페이매출</x:t>
  </x:si>
  <x:si>
    <x:t>항목 비율</x:t>
  </x:si>
  <x:si>
    <x:t>입금내역</x:t>
  </x:si>
  <x:si>
    <x:t>홀 파출</x:t>
  </x:si>
  <x:si>
    <x:t>배달료누계</x:t>
  </x:si>
  <x:si>
    <x:t>변동비율</x:t>
  </x:si>
  <x:si>
    <x:t>인
건
비</x:t>
  </x:si>
  <x:si>
    <x:t>전   월</x:t>
  </x:si>
  <x:si>
    <x:t>현금할인</x:t>
  </x:si>
  <x:si>
    <x:t>매출대비 비율</x:t>
  </x:si>
  <x:si>
    <x:t>X=F/(1-(V/S))</x:t>
  </x:si>
  <x:si>
    <x:t>카드수수료(2.75%)</x:t>
  </x:si>
  <x:si>
    <x:t>선결제 86,000원</x:t>
  </x:si>
  <x:si>
    <x:t>선결제, 슈퍼멤버스</x:t>
  </x:si>
  <x:si>
    <x:t>10월 테이블수</x:t>
  </x:si>
  <x:si>
    <x:t>선결제, 멤버스</x:t>
  </x:si>
  <x:si>
    <x:t>알바C</x:t>
  </x:si>
  <x:si>
    <x:t>ㄴ</x:t>
  </x:si>
  <x:si>
    <x:t>직원F</x:t>
  </x:si>
  <x:si>
    <x:t>선결제 124,000 + 슈퍼 멤버스 30,800 = 154,800원</x:t>
  </x:si>
  <x:si>
    <x:t>2천원 중국인할인 58,000 슈퍼멤버스</x:t>
  </x:si>
  <x:si>
    <x:t>선결제</x:t>
  </x:si>
  <x:si>
    <x:t>,</x:t>
  </x:si>
  <x:si>
    <x:t>금요일</x:t>
  </x:si>
  <x:si>
    <x:t>10월</x:t>
  </x:si>
  <x:si>
    <x:t>선결제 할인 32,000원</x:t>
  </x:si>
  <x:si>
    <x:t>선결제 20,000원 할인</x:t>
  </x:si>
  <x:si>
    <x:t>슈퍼멤버스 59,000원</x:t>
  </x:si>
  <x:si>
    <x:t>슈퍼멤버스 블랙 52,000</x:t>
  </x:si>
  <x:si>
    <x:t>슈퍼멤버스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</x:si>
</x:sst>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f2f2f2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61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2" xfId="1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5" borderId="8" xfId="2" applyNumberFormat="1" applyFont="1" applyFill="1" applyBorder="1">
      <x:alignment horizontal="general" vertical="center"/>
    </x:xf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6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6" xfId="0" applyNumberFormat="1" applyFont="1" applyBorder="1" applyAlignment="1">
          <x:alignment horizontal="center" vertical="top" wrapText="1"/>
        </x:xf>
      </mc:Fallback>
    </mc:AlternateContent>
    <x:xf numFmtId="9" fontId="0" fillId="0" borderId="8" xfId="1" applyNumberFormat="1" applyBorder="1">
      <x:alignment horizontal="general" vertical="center"/>
    </x:xf>
    <x:xf numFmtId="9" fontId="0" fillId="0" borderId="27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5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5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6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6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3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3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x:xf numFmtId="0" fontId="6" fillId="0" borderId="32" xfId="0" applyNumberFormat="1" applyFont="1" applyBorder="1" applyAlignment="1">
      <x:alignment horizontal="left" vertical="top"/>
    </x:xf>
    <x:xf numFmtId="0" fontId="6" fillId="0" borderId="57" xfId="0" applyNumberFormat="1" applyFont="1" applyBorder="1" applyAlignment="1">
      <x:alignment horizontal="left" vertical="top"/>
    </x:xf>
    <x:xf numFmtId="0" fontId="6" fillId="0" borderId="58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59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60" xfId="0" applyNumberFormat="1" applyFont="1" applyBorder="1" applyAlignment="1">
      <x:alignment horizontal="left" vertical="top"/>
    </x:xf>
    <x:xf numFmtId="0" fontId="6" fillId="0" borderId="6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3" xfId="2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 applyAlignment="1">
      <x:alignment horizontal="left" vertical="top"/>
    </x:xf>
    <x:xf numFmtId="0" fontId="6" fillId="0" borderId="64" xfId="0" applyNumberFormat="1" applyFont="1" applyBorder="1" applyAlignment="1">
      <x:alignment horizontal="left" vertical="center"/>
    </x:xf>
    <x:xf numFmtId="0" fontId="6" fillId="0" borderId="65" xfId="0" applyNumberFormat="1" applyFont="1" applyBorder="1" applyAlignment="1">
      <x:alignment horizontal="left" vertical="center"/>
    </x:xf>
    <x:xf numFmtId="0" fontId="20" fillId="0" borderId="66" xfId="0" applyNumberFormat="1" applyFont="1" applyBorder="1" applyAlignment="1">
      <x:alignment horizontal="left" vertical="center"/>
    </x:xf>
    <x:xf numFmtId="0" fontId="20" fillId="0" borderId="67" xfId="0" applyNumberFormat="1" applyFont="1" applyBorder="1" applyAlignment="1">
      <x:alignment horizontal="left" vertical="center"/>
    </x:xf>
    <x:xf numFmtId="41" fontId="6" fillId="0" borderId="62" xfId="2" applyNumberFormat="1" applyFont="1" applyBorder="1" applyAlignment="1">
      <x:alignment horizontal="left" vertical="top"/>
    </x:xf>
    <x:xf numFmtId="41" fontId="6" fillId="0" borderId="68" xfId="2" applyNumberFormat="1" applyFont="1" applyBorder="1" applyAlignment="1">
      <x:alignment horizontal="left" vertical="top"/>
    </x:xf>
    <x:xf numFmtId="41" fontId="6" fillId="0" borderId="29" xfId="2" applyNumberFormat="1" applyFont="1" applyBorder="1" applyAlignment="1">
      <x:alignment horizontal="left" vertical="top"/>
    </x:xf>
    <x:xf numFmtId="41" fontId="6" fillId="0" borderId="69" xfId="2" applyNumberFormat="1" applyFont="1" applyBorder="1" applyAlignment="1">
      <x:alignment horizontal="left" vertical="top"/>
    </x:xf>
    <x:xf numFmtId="0" fontId="6" fillId="0" borderId="62" xfId="0" applyNumberFormat="1" applyFont="1" applyBorder="1" applyAlignment="1">
      <x:alignment horizontal="left" vertical="top"/>
    </x:xf>
    <x:xf numFmtId="0" fontId="6" fillId="0" borderId="68" xfId="0" applyNumberFormat="1" applyFont="1" applyBorder="1" applyAlignment="1">
      <x:alignment horizontal="left" vertical="top"/>
    </x:xf>
    <x:xf numFmtId="0" fontId="6" fillId="0" borderId="29" xfId="0" applyNumberFormat="1" applyFont="1" applyBorder="1" applyAlignment="1">
      <x:alignment horizontal="left" vertical="top"/>
    </x:xf>
    <x:xf numFmtId="0" fontId="6" fillId="0" borderId="69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3" xfId="0" applyNumberFormat="1" applyFont="1" applyFill="1" applyBorder="1" applyAlignment="1">
          <x:alignment horizontal="center" vertical="center"/>
        </x:xf>
      </mc:Fallback>
    </mc:AlternateContent>
    <x:xf numFmtId="0" fontId="7" fillId="2" borderId="74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4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3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9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9" borderId="1" xfId="2" applyNumberFormat="1" applyFont="1" applyFill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8" xfId="0" applyNumberFormat="1" applyFont="1" applyBorder="1" applyAlignment="1">
          <x:alignment horizontal="center" vertical="center"/>
        </x:xf>
      </mc:Fallback>
    </mc:AlternateContent>
    <x:xf numFmtId="0" fontId="15" fillId="0" borderId="62" xfId="0" applyNumberFormat="1" applyFont="1" applyBorder="1" applyAlignment="1">
      <x:alignment horizontal="left" vertical="top" wrapText="1"/>
    </x:xf>
    <x:xf numFmtId="0" fontId="15" fillId="0" borderId="68" xfId="0" applyNumberFormat="1" applyFont="1" applyBorder="1" applyAlignment="1">
      <x:alignment horizontal="left" vertical="top" wrapText="1"/>
    </x:xf>
    <x:xf numFmtId="0" fontId="15" fillId="0" borderId="29" xfId="0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9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9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62" xfId="0" applyNumberFormat="1" applyFont="1" applyBorder="1" applyAlignment="1">
      <x:alignment horizontal="left" vertical="center" wrapText="1"/>
    </x:xf>
    <x:xf numFmtId="0" fontId="15" fillId="0" borderId="68" xfId="0" applyNumberFormat="1" applyFont="1" applyBorder="1" applyAlignment="1">
      <x:alignment horizontal="left" vertical="center" wrapText="1"/>
    </x:xf>
    <x:xf numFmtId="0" fontId="15" fillId="0" borderId="29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3" xfId="0" applyNumberFormat="1" applyFont="1" applyBorder="1" applyAlignment="1">
          <x:alignment horizontal="center" vertical="center"/>
        </x:xf>
      </mc:Fallback>
    </mc:AlternateContent>
    <x:xf numFmtId="41" fontId="16" fillId="0" borderId="62" xfId="2" applyNumberFormat="1" applyFont="1" applyBorder="1" applyAlignment="1">
      <x:alignment horizontal="left" vertical="center"/>
    </x:xf>
    <x:xf numFmtId="41" fontId="16" fillId="0" borderId="68" xfId="2" applyNumberFormat="1" applyFont="1" applyBorder="1" applyAlignment="1">
      <x:alignment horizontal="left" vertical="center"/>
    </x:xf>
    <x:xf numFmtId="41" fontId="16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9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9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9" borderId="2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9" borderId="2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right" vertical="center"/>
        </x:xf>
      </mc:Fallback>
    </mc:AlternateContent>
    <x:xf numFmtId="41" fontId="15" fillId="0" borderId="62" xfId="2" applyNumberFormat="1" applyFont="1" applyBorder="1" applyAlignment="1">
      <x:alignment horizontal="left" vertical="center"/>
    </x:xf>
    <x:xf numFmtId="41" fontId="15" fillId="0" borderId="68" xfId="2" applyNumberFormat="1" applyFont="1" applyBorder="1" applyAlignment="1">
      <x:alignment horizontal="left" vertical="center"/>
    </x:xf>
    <x:xf numFmtId="41" fontId="15" fillId="0" borderId="29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3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5" fillId="5" borderId="1" xfId="2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37" Type="http://schemas.openxmlformats.org/officeDocument/2006/relationships/worksheet" Target="worksheets/sheet34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10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2025년3,707,0003,186,000521,000135,400237,000슈퍼멤버스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3707000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8</c:v>
                </c:pt>
                <c:pt idx="1">
                  <c:v>93</c:v>
                </c:pt>
                <c:pt idx="2">
                  <c:v>15</c:v>
                </c:pt>
                <c:pt idx="3">
                  <c:v>252</c:v>
                </c:pt>
                <c:pt idx="4">
                  <c:v>5</c:v>
                </c:pt>
                <c:pt idx="5">
                  <c:v>39</c:v>
                </c:pt>
                <c:pt idx="6">
                  <c:v>14</c:v>
                </c:pt>
                <c:pt idx="7">
                  <c:v>142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4562850</c:v>
                </c:pt>
                <c:pt idx="14">
                  <c:v/>
                </c:pt>
                <c:pt idx="15">
                  <c:v>129032.258064516</c:v>
                </c:pt>
                <c:pt idx="16">
                  <c:v>122580.64516129</c:v>
                </c:pt>
                <c:pt idx="17">
                  <c:v>103225.806451613</c:v>
                </c:pt>
                <c:pt idx="18">
                  <c:v/>
                </c:pt>
                <c:pt idx="19">
                  <c:v>112903.225806452</c:v>
                </c:pt>
                <c:pt idx="20">
                  <c:v/>
                </c:pt>
                <c:pt idx="21">
                  <c:v>45500</c:v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3707000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10월시재카드수수료(2.75%)현금수수료(1%)통장입금마감잔금카드할인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3707000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45628500</c:v>
                </c:pt>
                <c:pt idx="14">
                  <c:v/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3707000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5</c:v>
                </c:pt>
                <c:pt idx="1">
                  <c:v>67</c:v>
                </c:pt>
                <c:pt idx="2">
                  <c:v>4</c:v>
                </c:pt>
                <c:pt idx="3">
                  <c:v>121</c:v>
                </c:pt>
                <c:pt idx="4">
                  <c:v>8</c:v>
                </c:pt>
                <c:pt idx="5">
                  <c:v>52</c:v>
                </c:pt>
                <c:pt idx="6">
                  <c:v>2</c:v>
                </c:pt>
                <c:pt idx="7">
                  <c:v>52</c:v>
                </c:pt>
                <c:pt idx="8">
                  <c:v>62</c:v>
                </c:pt>
                <c:pt idx="9">
                  <c:v>619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>65000</c:v>
                </c:pt>
                <c:pt idx="16">
                  <c:v>48387.0967741935</c:v>
                </c:pt>
                <c:pt idx="17">
                  <c:v/>
                </c:pt>
                <c:pt idx="18">
                  <c:v/>
                </c:pt>
                <c:pt idx="19">
                  <c:v>120000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금144,40087,6155,210530,000135,400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3707000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3707000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10금액452,000228,956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3707000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'10'!$I$13:$I$34</c:f>
              <c:numCache>
                <c:formatCode>General</c:formatCode>
                <c:ptCount val="22"/>
                <c:pt idx="0">
                  <c:v/>
                </c:pt>
                <c:pt idx="1">
                  <c:v/>
                </c:pt>
                <c:pt idx="2">
                  <c:v>271000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951956</c:v>
                </c:pt>
                <c:pt idx="11">
                  <c:v>0.256799568384138</c:v>
                </c:pt>
                <c:pt idx="12">
                  <c:v>5314487</c:v>
                </c:pt>
                <c:pt idx="13">
                  <c:v>0.116472971936399</c:v>
                </c:pt>
                <c:pt idx="14">
                  <c:v>746629.032258065</c:v>
                </c:pt>
                <c:pt idx="15">
                  <c:v>0.201410583290549</c:v>
                </c:pt>
                <c:pt idx="16">
                  <c:v>53144870</c:v>
                </c:pt>
                <c:pt idx="17">
                  <c:v>71.1797528677281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3707000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삼겹살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9">
                    <c:v>직원C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3707000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>447821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447821</c:v>
                </c:pt>
                <c:pt idx="12">
                  <c:v>0.120804154302671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0.xml.rels><?xml version="1.0" encoding="UTF-8" standalone="yes" ?><Relationships xmlns="http://schemas.openxmlformats.org/package/2006/relationships"><Relationship Id="rId1" Type="http://schemas.openxmlformats.org/officeDocument/2006/relationships/chart" Target="../charts/chart10.xml"  /></Relationships>
</file>

<file path=xl/drawings/drawing1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43" t="s">
        <x:v>70</x:v>
      </x:c>
      <x:c r="B1" s="243"/>
      <x:c r="C1" s="243"/>
      <x:c r="D1" s="243"/>
      <x:c r="E1" s="243"/>
      <x:c r="F1" s="243"/>
      <x:c r="G1" s="243"/>
      <x:c r="H1" s="243"/>
      <x:c r="I1" s="243"/>
      <x:c r="J1" s="243"/>
      <x:c r="K1" s="243"/>
    </x:row>
    <x:row r="2" spans="1:11" ht="30.949999999999999" customHeight="1">
      <x:c r="A2" s="197" t="s">
        <x:v>9</x:v>
      </x:c>
      <x:c r="B2" s="198"/>
      <x:c r="C2" s="199">
        <x:f>C3+G3+C5</x:f>
        <x:v>0</x:v>
      </x:c>
      <x:c r="D2" s="200"/>
      <x:c r="E2" s="201" t="s">
        <x:v>12</x:v>
      </x:c>
      <x:c r="F2" s="202"/>
      <x:c r="G2" s="6"/>
      <x:c r="H2" s="203" t="s">
        <x:v>72</x:v>
      </x:c>
      <x:c r="I2" s="204"/>
      <x:c r="J2" s="204"/>
      <x:c r="K2" s="205"/>
    </x:row>
    <x:row r="3" spans="1:11" ht="30.949999999999999" customHeight="1">
      <x:c r="A3" s="206" t="s">
        <x:v>121</x:v>
      </x:c>
      <x:c r="B3" s="207"/>
      <x:c r="C3" s="208">
        <x:f>SUM('1'!C3)</x:f>
        <x:v>0</x:v>
      </x:c>
      <x:c r="D3" s="208"/>
      <x:c r="E3" s="207" t="s">
        <x:v>128</x:v>
      </x:c>
      <x:c r="F3" s="207"/>
      <x:c r="G3" s="7">
        <x:f>SUM('1'!G3)</x:f>
        <x:v>0</x:v>
      </x:c>
      <x:c r="H3" s="209"/>
      <x:c r="I3" s="210"/>
      <x:c r="J3" s="210"/>
      <x:c r="K3" s="211"/>
    </x:row>
    <x:row r="4" spans="1:11" ht="30.949999999999999" customHeight="1">
      <x:c r="A4" s="218" t="s">
        <x:v>119</x:v>
      </x:c>
      <x:c r="B4" s="219"/>
      <x:c r="C4" s="220">
        <x:f>C21</x:f>
        <x:v>0</x:v>
      </x:c>
      <x:c r="D4" s="220"/>
      <x:c r="E4" s="221" t="s">
        <x:v>14</x:v>
      </x:c>
      <x:c r="F4" s="219"/>
      <x:c r="G4" s="8">
        <x:f>C17</x:f>
        <x:v>0</x:v>
      </x:c>
      <x:c r="H4" s="212"/>
      <x:c r="I4" s="213"/>
      <x:c r="J4" s="213"/>
      <x:c r="K4" s="214"/>
    </x:row>
    <x:row r="5" spans="1:11" ht="30.949999999999999" customHeight="1">
      <x:c r="A5" s="206" t="s">
        <x:v>103</x:v>
      </x:c>
      <x:c r="B5" s="207"/>
      <x:c r="C5" s="222">
        <x:f>C6+G6</x:f>
        <x:v>0</x:v>
      </x:c>
      <x:c r="D5" s="223"/>
      <x:c r="E5" s="221" t="s">
        <x:v>17</x:v>
      </x:c>
      <x:c r="F5" s="219"/>
      <x:c r="G5" s="8">
        <x:f>C4-G4</x:f>
        <x:v>0</x:v>
      </x:c>
      <x:c r="H5" s="212"/>
      <x:c r="I5" s="213"/>
      <x:c r="J5" s="213"/>
      <x:c r="K5" s="214"/>
    </x:row>
    <x:row r="6" spans="1:11" ht="30.949999999999999" customHeight="1">
      <x:c r="A6" s="206" t="s">
        <x:v>142</x:v>
      </x:c>
      <x:c r="B6" s="207"/>
      <x:c r="C6" s="208">
        <x:f>SUM('1'!C7)</x:f>
        <x:v>0</x:v>
      </x:c>
      <x:c r="D6" s="208"/>
      <x:c r="E6" s="207" t="s">
        <x:v>86</x:v>
      </x:c>
      <x:c r="F6" s="207"/>
      <x:c r="G6" s="7">
        <x:f>SUM('1'!G7)</x:f>
        <x:v>0</x:v>
      </x:c>
      <x:c r="H6" s="212"/>
      <x:c r="I6" s="213"/>
      <x:c r="J6" s="213"/>
      <x:c r="K6" s="214"/>
    </x:row>
    <x:row r="7" spans="1:11" ht="30.949999999999999" customHeight="1">
      <x:c r="A7" s="206" t="s">
        <x:v>102</x:v>
      </x:c>
      <x:c r="B7" s="207"/>
      <x:c r="C7" s="224"/>
      <x:c r="D7" s="224"/>
      <x:c r="E7" s="224"/>
      <x:c r="F7" s="224"/>
      <x:c r="G7" s="224"/>
      <x:c r="H7" s="215"/>
      <x:c r="I7" s="216"/>
      <x:c r="J7" s="216"/>
      <x:c r="K7" s="217"/>
    </x:row>
    <x:row r="8" spans="1:11" ht="30.949999999999999" customHeight="1">
      <x:c r="A8" s="206"/>
      <x:c r="B8" s="207"/>
      <x:c r="C8" s="224"/>
      <x:c r="D8" s="224"/>
      <x:c r="E8" s="224"/>
      <x:c r="F8" s="224"/>
      <x:c r="G8" s="224"/>
      <x:c r="H8" s="5" t="s">
        <x:v>65</x:v>
      </x:c>
      <x:c r="I8" s="225" t="s">
        <x:v>95</x:v>
      </x:c>
      <x:c r="J8" s="226"/>
      <x:c r="K8" s="9">
        <x:f>SUM('1'!K9)</x:f>
        <x:v>0</x:v>
      </x:c>
    </x:row>
    <x:row r="9" spans="1:11" ht="30.949999999999999" customHeight="1">
      <x:c r="A9" s="206"/>
      <x:c r="B9" s="207"/>
      <x:c r="C9" s="224"/>
      <x:c r="D9" s="224"/>
      <x:c r="E9" s="224"/>
      <x:c r="F9" s="224"/>
      <x:c r="G9" s="224"/>
      <x:c r="H9" s="207" t="s">
        <x:v>31</x:v>
      </x:c>
      <x:c r="I9" s="225" t="s">
        <x:v>95</x:v>
      </x:c>
      <x:c r="J9" s="226"/>
      <x:c r="K9" s="9">
        <x:f>SUM('1'!K10)</x:f>
        <x:v>0</x:v>
      </x:c>
    </x:row>
    <x:row r="10" spans="1:11" ht="30.949999999999999" customHeight="1">
      <x:c r="A10" s="206"/>
      <x:c r="B10" s="207"/>
      <x:c r="C10" s="224"/>
      <x:c r="D10" s="224"/>
      <x:c r="E10" s="224"/>
      <x:c r="F10" s="224"/>
      <x:c r="G10" s="224"/>
      <x:c r="H10" s="207"/>
      <x:c r="I10" s="227" t="s">
        <x:v>138</x:v>
      </x:c>
      <x:c r="J10" s="228"/>
      <x:c r="K10" s="10">
        <x:f>SUM('1'!K11)</x:f>
        <x:v>0</x:v>
      </x:c>
    </x:row>
    <x:row r="11" spans="1:11" ht="32.100000000000001" customHeight="1">
      <x:c r="A11" s="218" t="s">
        <x:v>82</x:v>
      </x:c>
      <x:c r="B11" s="219"/>
      <x:c r="C11" s="229"/>
      <x:c r="D11" s="230"/>
      <x:c r="E11" s="230"/>
      <x:c r="F11" s="230"/>
      <x:c r="G11" s="231"/>
      <x:c r="H11" s="3" t="s">
        <x:v>131</x:v>
      </x:c>
      <x:c r="I11" s="229"/>
      <x:c r="J11" s="230"/>
      <x:c r="K11" s="232"/>
    </x:row>
    <x:row r="12" spans="1:11" ht="69.950000000000003" customHeight="1">
      <x:c r="A12" s="218" t="s">
        <x:v>123</x:v>
      </x:c>
      <x:c r="B12" s="219"/>
      <x:c r="C12" s="233"/>
      <x:c r="D12" s="234"/>
      <x:c r="E12" s="234"/>
      <x:c r="F12" s="234"/>
      <x:c r="G12" s="235"/>
      <x:c r="H12" s="3" t="s">
        <x:v>136</x:v>
      </x:c>
      <x:c r="I12" s="233"/>
      <x:c r="J12" s="234"/>
      <x:c r="K12" s="236"/>
    </x:row>
    <x:row r="13" spans="1:11" ht="30.949999999999999" customHeight="1">
      <x:c r="A13" s="206" t="s">
        <x:v>87</x:v>
      </x:c>
      <x:c r="B13" s="207"/>
      <x:c r="C13" s="221" t="s">
        <x:v>85</x:v>
      </x:c>
      <x:c r="D13" s="219"/>
      <x:c r="E13" s="221" t="s">
        <x:v>100</x:v>
      </x:c>
      <x:c r="F13" s="237"/>
      <x:c r="G13" s="219"/>
      <x:c r="H13" s="207" t="s">
        <x:v>76</x:v>
      </x:c>
      <x:c r="I13" s="207"/>
      <x:c r="J13" s="207" t="s">
        <x:v>84</x:v>
      </x:c>
      <x:c r="K13" s="238"/>
    </x:row>
    <x:row r="14" spans="1:11" ht="30.949999999999999" customHeight="1">
      <x:c r="A14" s="239">
        <x:f>C2</x:f>
        <x:v>0</x:v>
      </x:c>
      <x:c r="B14" s="240"/>
      <x:c r="C14" s="241" t="e">
        <x:f>ROUNDDOWN((E14/A14),-4)</x:f>
        <x:v>#DIV/0!</x:v>
      </x:c>
      <x:c r="D14" s="240"/>
      <x:c r="E14" s="241">
        <x:f>C2</x:f>
        <x:v>0</x:v>
      </x:c>
      <x:c r="F14" s="242"/>
      <x:c r="G14" s="240"/>
      <x:c r="H14" s="233"/>
      <x:c r="I14" s="235"/>
      <x:c r="J14" s="233"/>
      <x:c r="K14" s="236"/>
    </x:row>
    <x:row r="15" spans="1:11" ht="30.949999999999999" customHeight="1">
      <x:c r="A15" s="206" t="s">
        <x:v>141</x:v>
      </x:c>
      <x:c r="B15" s="207"/>
      <x:c r="C15" s="221"/>
      <x:c r="D15" s="219"/>
      <x:c r="E15" s="221"/>
      <x:c r="F15" s="237"/>
      <x:c r="G15" s="219"/>
      <x:c r="H15" s="233"/>
      <x:c r="I15" s="235"/>
      <x:c r="J15" s="233"/>
      <x:c r="K15" s="236"/>
    </x:row>
    <x:row r="16" spans="1:11" ht="30.949999999999999" customHeight="1">
      <x:c r="A16" s="218" t="s">
        <x:v>71</x:v>
      </x:c>
      <x:c r="B16" s="237"/>
      <x:c r="C16" s="237"/>
      <x:c r="D16" s="237"/>
      <x:c r="E16" s="237"/>
      <x:c r="F16" s="219"/>
      <x:c r="G16" s="207" t="s">
        <x:v>71</x:v>
      </x:c>
      <x:c r="H16" s="207"/>
      <x:c r="I16" s="207"/>
      <x:c r="J16" s="207"/>
      <x:c r="K16" s="238"/>
    </x:row>
    <x:row r="17" spans="1:11" ht="30.949999999999999" customHeight="1">
      <x:c r="A17" s="206" t="s">
        <x:v>3</x:v>
      </x:c>
      <x:c r="B17" s="207"/>
      <x:c r="C17" s="208"/>
      <x:c r="D17" s="208"/>
      <x:c r="E17" s="208"/>
      <x:c r="F17" s="208"/>
      <x:c r="G17" s="3" t="s">
        <x:v>3</x:v>
      </x:c>
      <x:c r="H17" s="208"/>
      <x:c r="I17" s="208"/>
      <x:c r="J17" s="208"/>
      <x:c r="K17" s="244"/>
    </x:row>
    <x:row r="18" spans="1:11" ht="30.949999999999999" customHeight="1">
      <x:c r="A18" s="206" t="s">
        <x:v>51</x:v>
      </x:c>
      <x:c r="B18" s="207"/>
      <x:c r="C18" s="208"/>
      <x:c r="D18" s="208"/>
      <x:c r="E18" s="208"/>
      <x:c r="F18" s="208"/>
      <x:c r="G18" s="3" t="s">
        <x:v>51</x:v>
      </x:c>
      <x:c r="H18" s="208"/>
      <x:c r="I18" s="208"/>
      <x:c r="J18" s="208"/>
      <x:c r="K18" s="244"/>
    </x:row>
    <x:row r="19" spans="1:11" ht="30.949999999999999" customHeight="1">
      <x:c r="A19" s="206" t="s">
        <x:v>13</x:v>
      </x:c>
      <x:c r="B19" s="207"/>
      <x:c r="C19" s="208"/>
      <x:c r="D19" s="208"/>
      <x:c r="E19" s="208"/>
      <x:c r="F19" s="208"/>
      <x:c r="G19" s="3" t="s">
        <x:v>13</x:v>
      </x:c>
      <x:c r="H19" s="208"/>
      <x:c r="I19" s="208"/>
      <x:c r="J19" s="208"/>
      <x:c r="K19" s="244"/>
    </x:row>
    <x:row r="20" spans="1:11" ht="30.949999999999999" customHeight="1">
      <x:c r="A20" s="206" t="s">
        <x:v>42</x:v>
      </x:c>
      <x:c r="B20" s="207"/>
      <x:c r="C20" s="208"/>
      <x:c r="D20" s="208"/>
      <x:c r="E20" s="208"/>
      <x:c r="F20" s="208"/>
      <x:c r="G20" s="3" t="s">
        <x:v>42</x:v>
      </x:c>
      <x:c r="H20" s="208"/>
      <x:c r="I20" s="208"/>
      <x:c r="J20" s="208"/>
      <x:c r="K20" s="244"/>
    </x:row>
    <x:row r="21" spans="1:11" ht="30.949999999999999" customHeight="1">
      <x:c r="A21" s="245" t="s">
        <x:v>53</x:v>
      </x:c>
      <x:c r="B21" s="246"/>
      <x:c r="C21" s="247">
        <x:f>SUM(C17:E20)</x:f>
        <x:v>0</x:v>
      </x:c>
      <x:c r="D21" s="248"/>
      <x:c r="E21" s="248"/>
      <x:c r="F21" s="249"/>
      <x:c r="G21" s="4" t="s">
        <x:v>53</x:v>
      </x:c>
      <x:c r="H21" s="250">
        <x:f>SUM(H17:K20)</x:f>
        <x:v>0</x:v>
      </x:c>
      <x:c r="I21" s="250"/>
      <x:c r="J21" s="250"/>
      <x:c r="K21" s="251"/>
    </x:row>
  </x:sheetData>
  <x:mergeCells count="62"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  <x:mergeCell ref="E6:F6"/>
    <x:mergeCell ref="A7:B10"/>
    <x:mergeCell ref="C7:G10"/>
    <x:mergeCell ref="I8:J8"/>
    <x:mergeCell ref="H9:H10"/>
    <x:mergeCell ref="I9:J9"/>
    <x:mergeCell ref="I10:J10"/>
    <x:mergeCell ref="A11:B11"/>
    <x:mergeCell ref="C11:G11"/>
    <x:mergeCell ref="I11:K11"/>
    <x:mergeCell ref="A12:B12"/>
    <x:mergeCell ref="C12:G12"/>
    <x:mergeCell ref="I12:K12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abSelected="1" topLeftCell="A19" zoomScale="90" zoomScaleNormal="90" zoomScaleSheetLayoutView="75" workbookViewId="0">
      <x:selection activeCell="N16" activeCellId="0" sqref="N16:N16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0.875" style="1" customWidth="1"/>
    <x:col min="13" max="13" width="14.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40" t="s">
        <x:v>158</x:v>
      </x:c>
    </x:row>
    <x:row r="2" spans="1:2" ht="16.399999999999999">
      <x:c r="A2" s="11"/>
      <x:c r="B2" s="11"/>
    </x:row>
    <x:row r="3" ht="16.399999999999999"/>
    <x:row r="4" spans="1:16" customHeight="1">
      <x:c r="A4" s="174" t="s">
        <x:v>91</x:v>
      </x:c>
      <x:c r="B4" s="175"/>
      <x:c r="C4" s="175"/>
      <x:c r="D4" s="175"/>
      <x:c r="E4" s="176"/>
      <x:c r="F4" s="174" t="s">
        <x:v>79</x:v>
      </x:c>
      <x:c r="G4" s="175"/>
      <x:c r="H4" s="175"/>
      <x:c r="I4" s="175"/>
      <x:c r="J4" s="175"/>
      <x:c r="K4" s="176"/>
      <x:c r="M4" s="70"/>
      <x:c r="N4" s="70"/>
      <x:c r="O4" s="70"/>
      <x:c r="P4" s="70"/>
    </x:row>
    <x:row r="5" spans="1:16" s="15" customFormat="1" ht="17.149999999999999">
      <x:c r="A5" s="177" t="s">
        <x:v>2</x:v>
      </x:c>
      <x:c r="B5" s="178"/>
      <x:c r="C5" s="13"/>
      <x:c r="D5" s="13" t="s">
        <x:v>108</x:v>
      </x:c>
      <x:c r="E5" s="14" t="s">
        <x:v>143</x:v>
      </x:c>
      <x:c r="F5" s="12" t="s">
        <x:v>2</x:v>
      </x:c>
      <x:c r="G5" s="13" t="s">
        <x:v>26</x:v>
      </x:c>
      <x:c r="H5" s="13" t="s">
        <x:v>38</x:v>
      </x:c>
      <x:c r="I5" s="14"/>
      <x:c r="J5" s="13" t="s">
        <x:v>108</x:v>
      </x:c>
      <x:c r="K5" s="14"/>
      <x:c r="M5" s="77" t="s">
        <x:v>130</x:v>
      </x:c>
      <x:c r="N5" s="127">
        <x:f>SUM('1:31'!G6)</x:f>
        <x:v>19580000</x:v>
      </x:c>
      <x:c r="O5" s="70"/>
      <x:c r="P5" s="70"/>
    </x:row>
    <x:row r="6" spans="1:16" ht="16.399999999999999">
      <x:c r="A6" s="153" t="s">
        <x:v>34</x:v>
      </x:c>
      <x:c r="B6" s="154"/>
      <x:c r="C6" s="16">
        <x:v>6985000</x:v>
      </x:c>
      <x:c r="D6" s="16">
        <x:f>C6</x:f>
        <x:v>6985000</x:v>
      </x:c>
      <x:c r="E6" s="146">
        <x:f>D6/$B$45</x:f>
        <x:v>0.048117095725121531</x:v>
      </x:c>
      <x:c r="F6" s="169" t="s">
        <x:v>6</x:v>
      </x:c>
      <x:c r="G6" s="67" t="s">
        <x:v>20</x:v>
      </x:c>
      <x:c r="H6" s="16">
        <x:f>SUM('1:31'!I4)</x:f>
        <x:v>42002597</x:v>
      </x:c>
      <x:c r="I6" s="71">
        <x:f>H6/$B$45</x:f>
        <x:v>0.28934044102400897</x:v>
      </x:c>
      <x:c r="J6" s="172">
        <x:f>SUM(H6:H18)</x:f>
        <x:v>60280853</x:v>
      </x:c>
      <x:c r="K6" s="179">
        <x:f>J6/$B$45</x:f>
        <x:v>0.41525262336334712</x:v>
      </x:c>
      <x:c r="M6" s="76"/>
      <x:c r="N6" s="128"/>
      <x:c r="O6" s="70"/>
      <x:c r="P6" s="70"/>
    </x:row>
    <x:row r="7" spans="1:16" ht="16.75">
      <x:c r="A7" s="153" t="s">
        <x:v>37</x:v>
      </x:c>
      <x:c r="B7" s="154"/>
      <x:c r="C7" s="16">
        <x:v>2600000</x:v>
      </x:c>
      <x:c r="D7" s="16">
        <x:f>C7</x:f>
        <x:v>2600000</x:v>
      </x:c>
      <x:c r="E7" s="17">
        <x:f t="shared" ref="E7:E17" si="0">D7/$B$45</x:f>
        <x:v>0.017910443648577808</x:v>
      </x:c>
      <x:c r="F7" s="170"/>
      <x:c r="G7" s="67" t="s">
        <x:v>6</x:v>
      </x:c>
      <x:c r="H7" s="16">
        <x:f>SUM('1:31'!I5)</x:f>
        <x:v>8022346</x:v>
      </x:c>
      <x:c r="I7" s="71">
        <x:f>H7/$B$45</x:f>
        <x:v>0.055262990754766761</x:v>
      </x:c>
      <x:c r="J7" s="159"/>
      <x:c r="K7" s="168"/>
      <x:c r="M7" s="145" t="s">
        <x:v>63</x:v>
      </x:c>
      <x:c r="N7" s="129">
        <x:f>SUM('31'!C15)</x:f>
        <x:v>767</x:v>
      </x:c>
      <x:c r="O7" s="70"/>
      <x:c r="P7" s="70"/>
    </x:row>
    <x:row r="8" spans="1:16" ht="16.399999999999999">
      <x:c r="A8" s="153" t="s">
        <x:v>5</x:v>
      </x:c>
      <x:c r="B8" s="154"/>
      <x:c r="C8" s="16">
        <x:v>154000</x:v>
      </x:c>
      <x:c r="D8" s="16">
        <x:f t="shared" ref="D8:D17" si="1">C8</x:f>
        <x:v>154000</x:v>
      </x:c>
      <x:c r="E8" s="17">
        <x:f>D8/$B$45</x:f>
        <x:v>0.0010608493545696087</x:v>
      </x:c>
      <x:c r="F8" s="170"/>
      <x:c r="G8" s="67" t="s">
        <x:v>24</x:v>
      </x:c>
      <x:c r="H8" s="16">
        <x:f>SUM('1:31'!I7)</x:f>
        <x:v>5472610</x:v>
      </x:c>
      <x:c r="I8" s="147">
        <x:f>H8/$B$45</x:f>
        <x:v>0.037698797313708998</x:v>
      </x:c>
      <x:c r="J8" s="159"/>
      <x:c r="K8" s="168"/>
      <x:c r="M8" s="78" t="s">
        <x:v>41</x:v>
      </x:c>
      <x:c r="N8" s="130">
        <x:f>SUM('31'!C13)</x:f>
        <x:v>267</x:v>
      </x:c>
      <x:c r="O8" s="70"/>
      <x:c r="P8" s="70"/>
    </x:row>
    <x:row r="9" spans="1:16" ht="16.399999999999999">
      <x:c r="A9" s="155" t="s">
        <x:v>10</x:v>
      </x:c>
      <x:c r="B9" s="154"/>
      <x:c r="C9" s="16">
        <x:v>670000</x:v>
      </x:c>
      <x:c r="D9" s="16">
        <x:f t="shared" si="1"/>
        <x:v>670000</x:v>
      </x:c>
      <x:c r="E9" s="17">
        <x:f t="shared" si="0"/>
        <x:v>0.0046153835555950507</x:v>
      </x:c>
      <x:c r="F9" s="170"/>
      <x:c r="G9" s="67" t="s">
        <x:v>44</x:v>
      </x:c>
      <x:c r="H9" s="16">
        <x:f>SUM('1:31'!I8)</x:f>
        <x:v>715000</x:v>
      </x:c>
      <x:c r="I9" s="147">
        <x:f>H9/$B$45</x:f>
        <x:v>0.0049253720033588973</x:v>
      </x:c>
      <x:c r="J9" s="159"/>
      <x:c r="K9" s="168"/>
      <x:c r="M9" s="78" t="s">
        <x:v>50</x:v>
      </x:c>
      <x:c r="N9" s="130">
        <x:f>SUM('31'!C17)</x:f>
        <x:v>125</x:v>
      </x:c>
      <x:c r="O9" s="70"/>
      <x:c r="P9" s="70"/>
    </x:row>
    <x:row r="10" spans="1:16" ht="16.399999999999999">
      <x:c r="A10" s="153" t="s">
        <x:v>80</x:v>
      </x:c>
      <x:c r="B10" s="154"/>
      <x:c r="C10" s="16">
        <x:v>66000</x:v>
      </x:c>
      <x:c r="D10" s="16">
        <x:f t="shared" si="1"/>
        <x:v>66000</x:v>
      </x:c>
      <x:c r="E10" s="17">
        <x:f t="shared" si="0"/>
        <x:v>0.00045464972338697511</x:v>
      </x:c>
      <x:c r="F10" s="170"/>
      <x:c r="G10" s="67" t="s">
        <x:v>57</x:v>
      </x:c>
      <x:c r="H10" s="16">
        <x:f>SUM('1:31'!I11)</x:f>
        <x:v>100000</x:v>
      </x:c>
      <x:c r="I10" s="71">
        <x:f>H10/$B$45</x:f>
        <x:v>0.00068886321725299257</x:v>
      </x:c>
      <x:c r="J10" s="159"/>
      <x:c r="K10" s="168"/>
      <x:c r="M10" s="78" t="s">
        <x:v>132</x:v>
      </x:c>
      <x:c r="N10" s="130">
        <x:f>SUM('31'!F13)</x:f>
        <x:v>185</x:v>
      </x:c>
      <x:c r="O10" s="70"/>
      <x:c r="P10" s="70"/>
    </x:row>
    <x:row r="11" spans="1:16" ht="16.399999999999999">
      <x:c r="A11" s="153" t="s">
        <x:v>45</x:v>
      </x:c>
      <x:c r="B11" s="154"/>
      <x:c r="C11" s="16">
        <x:v>330000</x:v>
      </x:c>
      <x:c r="D11" s="16">
        <x:f t="shared" si="1"/>
        <x:v>330000</x:v>
      </x:c>
      <x:c r="E11" s="17">
        <x:f t="shared" si="0"/>
        <x:v>0.0022732486169348754</x:v>
      </x:c>
      <x:c r="F11" s="170"/>
      <x:c r="G11" s="67" t="s">
        <x:v>101</x:v>
      </x:c>
      <x:c r="H11" s="16">
        <x:f>SUM('1:31'!I12)</x:f>
        <x:v>53400</x:v>
      </x:c>
      <x:c r="I11" s="71">
        <x:f>H11/$B$45</x:f>
        <x:v>0.00036785295801309805</x:v>
      </x:c>
      <x:c r="J11" s="159"/>
      <x:c r="K11" s="168"/>
      <x:c r="M11" s="78" t="s">
        <x:v>94</x:v>
      </x:c>
      <x:c r="N11" s="130">
        <x:f>SUM('31'!F15)</x:f>
        <x:v>333</x:v>
      </x:c>
      <x:c r="O11" s="70"/>
      <x:c r="P11" s="70"/>
    </x:row>
    <x:row r="12" spans="1:16" ht="16.399999999999999">
      <x:c r="A12" s="153" t="s">
        <x:v>36</x:v>
      </x:c>
      <x:c r="B12" s="154"/>
      <x:c r="C12" s="16">
        <x:v>48000</x:v>
      </x:c>
      <x:c r="D12" s="16">
        <x:f t="shared" si="1"/>
        <x:v>48000</x:v>
      </x:c>
      <x:c r="E12" s="17">
        <x:f t="shared" si="0"/>
        <x:v>0.00033065434428143647</x:v>
      </x:c>
      <x:c r="F12" s="170"/>
      <x:c r="G12" s="54" t="s">
        <x:v>120</x:v>
      </x:c>
      <x:c r="H12" s="16">
        <x:f>SUM('1:31'!I13)</x:f>
        <x:v>240000</x:v>
      </x:c>
      <x:c r="I12" s="71">
        <x:f>H12/$B$45</x:f>
        <x:v>0.0016532717214071822</x:v>
      </x:c>
      <x:c r="J12" s="159"/>
      <x:c r="K12" s="168"/>
      <x:c r="M12" s="78" t="s">
        <x:v>116</x:v>
      </x:c>
      <x:c r="N12" s="130">
        <x:f>SUM('31'!F17)</x:f>
        <x:v>348</x:v>
      </x:c>
      <x:c r="O12" s="70"/>
      <x:c r="P12" s="70"/>
    </x:row>
    <x:row r="13" spans="1:16" ht="16.399999999999999">
      <x:c r="A13" s="155" t="s">
        <x:v>99</x:v>
      </x:c>
      <x:c r="B13" s="154"/>
      <x:c r="C13" s="16">
        <x:v>66000</x:v>
      </x:c>
      <x:c r="D13" s="16">
        <x:f t="shared" si="1"/>
        <x:v>66000</x:v>
      </x:c>
      <x:c r="E13" s="17">
        <x:f t="shared" si="0"/>
        <x:v>0.00045464972338697511</x:v>
      </x:c>
      <x:c r="F13" s="170"/>
      <x:c r="G13" s="54" t="s">
        <x:v>110</x:v>
      </x:c>
      <x:c r="H13" s="16">
        <x:f>SUM('1:31'!I14)</x:f>
        <x:v>0</x:v>
      </x:c>
      <x:c r="I13" s="71">
        <x:f>H13/$B$45</x:f>
        <x:v>0</x:v>
      </x:c>
      <x:c r="J13" s="159"/>
      <x:c r="K13" s="168"/>
      <x:c r="M13" s="144" t="s">
        <x:v>90</x:v>
      </x:c>
      <x:c r="N13" s="130">
        <x:f>SUM('31'!C19)</x:f>
        <x:v>392</x:v>
      </x:c>
      <x:c r="O13" s="70"/>
      <x:c r="P13" s="70"/>
    </x:row>
    <x:row r="14" spans="1:16" ht="16.399999999999999">
      <x:c r="A14" s="153"/>
      <x:c r="B14" s="154"/>
      <x:c r="C14" s="16"/>
      <x:c r="D14" s="16">
        <x:f t="shared" si="1"/>
        <x:v>0</x:v>
      </x:c>
      <x:c r="E14" s="17">
        <x:f t="shared" si="0"/>
        <x:v>0</x:v>
      </x:c>
      <x:c r="F14" s="170"/>
      <x:c r="G14" s="54" t="s">
        <x:v>7</x:v>
      </x:c>
      <x:c r="H14" s="16">
        <x:f>SUM('1:31'!I17)</x:f>
        <x:v>1600</x:v>
      </x:c>
      <x:c r="I14" s="71">
        <x:f>H14/$B$45</x:f>
        <x:v>1.1021811476047882E-5</x:v>
      </x:c>
      <x:c r="J14" s="159"/>
      <x:c r="K14" s="168"/>
      <x:c r="M14" s="132" t="s">
        <x:v>129</x:v>
      </x:c>
      <x:c r="N14" s="130">
        <x:f>SUM('31'!F19)</x:f>
        <x:v>147</x:v>
      </x:c>
      <x:c r="O14" s="70"/>
      <x:c r="P14" s="70"/>
    </x:row>
    <x:row r="15" spans="1:16" ht="16.75">
      <x:c r="A15" s="153"/>
      <x:c r="B15" s="154"/>
      <x:c r="C15" s="16"/>
      <x:c r="D15" s="16">
        <x:f t="shared" si="1"/>
        <x:v>0</x:v>
      </x:c>
      <x:c r="E15" s="17">
        <x:f t="shared" si="0"/>
        <x:v>0</x:v>
      </x:c>
      <x:c r="F15" s="170"/>
      <x:c r="G15" s="69" t="s">
        <x:v>105</x:v>
      </x:c>
      <x:c r="H15" s="92">
        <x:f>SUM('1:31'!I15)</x:f>
        <x:v>3673300</x:v>
      </x:c>
      <x:c r="I15" s="73">
        <x:f>H15/$B$45</x:f>
        <x:v>0.025304012559354178</x:v>
      </x:c>
      <x:c r="J15" s="159"/>
      <x:c r="K15" s="168"/>
      <x:c r="M15" s="141" t="s">
        <x:v>148</x:v>
      </x:c>
      <x:c r="N15" s="131">
        <x:f>SUM('31'!F21)</x:f>
        <x:v>1919</x:v>
      </x:c>
      <x:c r="O15" s="70"/>
      <x:c r="P15" s="70"/>
    </x:row>
    <x:row r="16" spans="1:16" ht="16.399999999999999">
      <x:c r="A16" s="156" t="s">
        <x:v>58</x:v>
      </x:c>
      <x:c r="B16" s="157"/>
      <x:c r="C16" s="16"/>
      <x:c r="D16" s="16">
        <x:f t="shared" si="1"/>
        <x:v>0</x:v>
      </x:c>
      <x:c r="E16" s="17">
        <x:f t="shared" si="0"/>
        <x:v>0</x:v>
      </x:c>
      <x:c r="F16" s="170"/>
      <x:c r="J16" s="159"/>
      <x:c r="K16" s="168"/>
      <x:c r="M16" s="76"/>
      <x:c r="N16" s="128"/>
      <x:c r="O16" s="70"/>
      <x:c r="P16" s="70"/>
    </x:row>
    <x:row r="17" spans="1:16" ht="16.399999999999999">
      <x:c r="A17" s="156" t="s">
        <x:v>30</x:v>
      </x:c>
      <x:c r="B17" s="157"/>
      <x:c r="C17" s="16">
        <x:v>1220670</x:v>
      </x:c>
      <x:c r="D17" s="16">
        <x:f t="shared" si="1"/>
        <x:v>1220670</x:v>
      </x:c>
      <x:c r="E17" s="17">
        <x:f t="shared" si="0"/>
        <x:v>0.0084087466340421052</x:v>
      </x:c>
      <x:c r="F17" s="170"/>
      <x:c r="J17" s="159"/>
      <x:c r="K17" s="168"/>
      <x:c r="M17" s="70"/>
      <x:c r="N17" s="70"/>
      <x:c r="O17" s="70"/>
      <x:c r="P17" s="70"/>
    </x:row>
    <x:row r="18" spans="1:14" ht="17.149999999999999">
      <x:c r="A18" s="185" t="s">
        <x:v>78</x:v>
      </x:c>
      <x:c r="B18" s="186"/>
      <x:c r="C18" s="187">
        <x:f>SUM(D6:D17)</x:f>
        <x:v>12139670</x:v>
      </x:c>
      <x:c r="D18" s="188"/>
      <x:c r="E18" s="91">
        <x:f>SUM(E6:E17)</x:f>
        <x:v>0.083625721325896379</x:v>
      </x:c>
      <x:c r="F18" s="171"/>
      <x:c r="J18" s="173"/>
      <x:c r="K18" s="180"/>
      <x:c r="M18" s="83"/>
      <x:c r="N18" s="70"/>
    </x:row>
    <x:row r="19" spans="1:14" ht="17.449999999999999" customHeight="1">
      <x:c r="A19" s="189" t="s">
        <x:v>55</x:v>
      </x:c>
      <x:c r="B19" s="97" t="s">
        <x:v>43</x:v>
      </x:c>
      <x:c r="C19" s="107">
        <x:v>3300000</x:v>
      </x:c>
      <x:c r="D19" s="159">
        <x:f>SUM(C19:C30)</x:f>
        <x:v>22423000</x:v>
      </x:c>
      <x:c r="E19" s="162">
        <x:f>D19/$B$45</x:f>
        <x:v>0.15446379920463854</x:v>
      </x:c>
      <x:c r="F19" s="195" t="s">
        <x:v>74</x:v>
      </x:c>
      <x:c r="G19" s="81" t="s">
        <x:v>35</x:v>
      </x:c>
      <x:c r="H19" s="16">
        <x:f>SUM('1:31'!K4)</x:f>
        <x:v>1209000</x:v>
      </x:c>
      <x:c r="I19" s="72">
        <x:f t="shared" ref="I19:I22" si="2">H19/$B$45</x:f>
        <x:v>0.008328356296588681</x:v>
      </x:c>
      <x:c r="J19" s="158">
        <x:f>SUM(H19:H32)</x:f>
        <x:v>3571768</x:v>
      </x:c>
      <x:c r="K19" s="167">
        <x:f>J19/$B$45</x:f>
        <x:v>0.024604595957612867</x:v>
      </x:c>
      <x:c r="M19" s="70"/>
      <x:c r="N19" s="70"/>
    </x:row>
    <x:row r="20" spans="1:16" ht="16.399999999999999">
      <x:c r="A20" s="189"/>
      <x:c r="B20" s="139" t="s">
        <x:v>23</x:v>
      </x:c>
      <x:c r="C20" s="16">
        <x:v>3800000</x:v>
      </x:c>
      <x:c r="D20" s="159"/>
      <x:c r="E20" s="163"/>
      <x:c r="F20" s="196"/>
      <x:c r="G20" s="82" t="s">
        <x:v>126</x:v>
      </x:c>
      <x:c r="H20" s="16">
        <x:f>SUM('1:31'!K6)</x:f>
        <x:v>196000</x:v>
      </x:c>
      <x:c r="I20" s="71">
        <x:f t="shared" si="2"/>
        <x:v>0.0013501719058158655</x:v>
      </x:c>
      <x:c r="J20" s="159"/>
      <x:c r="K20" s="168"/>
      <x:c r="M20" s="70"/>
      <x:c r="N20" s="70"/>
      <x:c r="P20" s="93"/>
    </x:row>
    <x:row r="21" spans="1:16" ht="16.399999999999999">
      <x:c r="A21" s="189"/>
      <x:c r="B21" s="139" t="s">
        <x:v>40</x:v>
      </x:c>
      <x:c r="C21" s="16">
        <x:v>3500000</x:v>
      </x:c>
      <x:c r="D21" s="159"/>
      <x:c r="E21" s="163"/>
      <x:c r="F21" s="196"/>
      <x:c r="G21" s="82" t="s">
        <x:v>75</x:v>
      </x:c>
      <x:c r="H21" s="16">
        <x:f>SUM('1:31'!K7)</x:f>
        <x:v>25000</x:v>
      </x:c>
      <x:c r="I21" s="71">
        <x:f t="shared" si="2"/>
        <x:v>0.00017221580431324814</x:v>
      </x:c>
      <x:c r="J21" s="159"/>
      <x:c r="K21" s="168"/>
      <x:c r="M21" s="70"/>
      <x:c r="N21" s="70"/>
      <x:c r="P21" s="93"/>
    </x:row>
    <x:row r="22" spans="1:16" ht="16.399999999999999">
      <x:c r="A22" s="189"/>
      <x:c r="B22" s="139" t="s">
        <x:v>46</x:v>
      </x:c>
      <x:c r="C22" s="16">
        <x:v>3200000</x:v>
      </x:c>
      <x:c r="D22" s="159"/>
      <x:c r="E22" s="163"/>
      <x:c r="F22" s="196"/>
      <x:c r="G22" s="54" t="s">
        <x:v>16</x:v>
      </x:c>
      <x:c r="H22" s="16">
        <x:f>SUM('1:31'!K9)</x:f>
        <x:v>0</x:v>
      </x:c>
      <x:c r="I22" s="71">
        <x:f t="shared" si="2"/>
        <x:v>0</x:v>
      </x:c>
      <x:c r="J22" s="159"/>
      <x:c r="K22" s="168"/>
      <x:c r="M22" s="70"/>
      <x:c r="N22" s="70"/>
      <x:c r="P22" s="93"/>
    </x:row>
    <x:row r="23" spans="1:16" ht="16.399999999999999">
      <x:c r="A23" s="189"/>
      <x:c r="D23" s="159"/>
      <x:c r="E23" s="163"/>
      <x:c r="F23" s="196"/>
      <x:c r="G23" s="54" t="s">
        <x:v>52</x:v>
      </x:c>
      <x:c r="H23" s="16">
        <x:f>SUM('1:31'!K10)</x:f>
        <x:v>53300</x:v>
      </x:c>
      <x:c r="I23" s="71">
        <x:f>H23/$B$45</x:f>
        <x:v>0.00036716409479584507</x:v>
      </x:c>
      <x:c r="J23" s="159"/>
      <x:c r="K23" s="168"/>
      <x:c r="M23" s="70"/>
      <x:c r="N23" s="70"/>
      <x:c r="P23" s="93"/>
    </x:row>
    <x:row r="24" spans="1:16" ht="16.399999999999999">
      <x:c r="A24" s="189"/>
      <x:c r="B24" s="139" t="s">
        <x:v>152</x:v>
      </x:c>
      <x:c r="C24" s="16">
        <x:v>1500000</x:v>
      </x:c>
      <x:c r="D24" s="159"/>
      <x:c r="E24" s="163"/>
      <x:c r="F24" s="196"/>
      <x:c r="G24" s="54" t="s">
        <x:v>81</x:v>
      </x:c>
      <x:c r="H24" s="16">
        <x:f>SUM('1:31'!K11)</x:f>
        <x:v>0</x:v>
      </x:c>
      <x:c r="I24" s="71">
        <x:f>H24/$B$45</x:f>
        <x:v>0</x:v>
      </x:c>
      <x:c r="J24" s="159"/>
      <x:c r="K24" s="168"/>
      <x:c r="M24" s="70"/>
      <x:c r="N24" s="70"/>
      <x:c r="P24" s="15"/>
    </x:row>
    <x:row r="25" spans="1:14" ht="16.399999999999999">
      <x:c r="A25" s="189"/>
      <x:c r="D25" s="159"/>
      <x:c r="E25" s="163"/>
      <x:c r="F25" s="196"/>
      <x:c r="G25" s="54" t="s">
        <x:v>73</x:v>
      </x:c>
      <x:c r="H25" s="16">
        <x:f>SUM('1:31'!K15)</x:f>
        <x:v>0</x:v>
      </x:c>
      <x:c r="I25" s="71">
        <x:f>H25/$B$45</x:f>
        <x:v>0</x:v>
      </x:c>
      <x:c r="J25" s="159"/>
      <x:c r="K25" s="168"/>
      <x:c r="M25" s="70"/>
      <x:c r="N25" s="70"/>
    </x:row>
    <x:row r="26" spans="1:21" ht="16.399999999999999">
      <x:c r="A26" s="189"/>
      <x:c r="B26" s="139" t="s">
        <x:v>21</x:v>
      </x:c>
      <x:c r="C26" s="16">
        <x:f>SUM('1:31'!C33)</x:f>
        <x:v>1365000</x:v>
      </x:c>
      <x:c r="D26" s="159"/>
      <x:c r="E26" s="163"/>
      <x:c r="F26" s="196"/>
      <x:c r="G26" s="54" t="s">
        <x:v>96</x:v>
      </x:c>
      <x:c r="H26" s="16">
        <x:f>SUM('1:31'!K16)</x:f>
        <x:v>2082468</x:v>
      </x:c>
      <x:c r="I26" s="71">
        <x:f>H26/$B$45</x:f>
        <x:v>0.014345356063064051</x:v>
      </x:c>
      <x:c r="J26" s="159"/>
      <x:c r="K26" s="168"/>
      <x:c r="M26" s="70"/>
      <x:c r="N26" s="70"/>
      <x:c r="P26" s="93"/>
      <x:c r="T26" s="106"/>
      <x:c r="U26" s="105"/>
    </x:row>
    <x:row r="27" spans="1:21" ht="16.399999999999999">
      <x:c r="A27" s="189"/>
      <x:c r="B27" s="139" t="s">
        <x:v>150</x:v>
      </x:c>
      <x:c r="C27" s="16">
        <x:f>SUM('1:31'!F27)</x:f>
        <x:v>1404000</x:v>
      </x:c>
      <x:c r="D27" s="159"/>
      <x:c r="E27" s="163"/>
      <x:c r="F27" s="196"/>
      <x:c r="G27" s="54" t="s">
        <x:v>89</x:v>
      </x:c>
      <x:c r="H27" s="16">
        <x:f>SUM('1:31'!K17)</x:f>
        <x:v>6000</x:v>
      </x:c>
      <x:c r="I27" s="71">
        <x:f>H27/$B$45</x:f>
        <x:v>4.1331793035179559E-5</x:v>
      </x:c>
      <x:c r="J27" s="159"/>
      <x:c r="K27" s="168"/>
      <x:c r="M27" s="70"/>
      <x:c r="N27" s="70"/>
      <x:c r="P27" s="93"/>
      <x:c r="T27" s="106"/>
      <x:c r="U27" s="105"/>
    </x:row>
    <x:row r="28" spans="1:21" ht="16.399999999999999">
      <x:c r="A28" s="189"/>
      <x:c r="B28" s="139"/>
      <x:c r="C28" s="16"/>
      <x:c r="D28" s="159"/>
      <x:c r="E28" s="163"/>
      <x:c r="F28" s="196"/>
      <x:c r="G28" s="54"/>
      <x:c r="H28" s="16"/>
      <x:c r="I28" s="71"/>
      <x:c r="J28" s="159"/>
      <x:c r="K28" s="168"/>
      <x:c r="P28" s="93"/>
      <x:c r="T28" s="106"/>
      <x:c r="U28" s="105"/>
    </x:row>
    <x:row r="29" spans="1:21" ht="16.399999999999999">
      <x:c r="A29" s="189"/>
      <x:c r="B29" s="139" t="s">
        <x:v>137</x:v>
      </x:c>
      <x:c r="C29" s="16">
        <x:f>SUM('1:30'!F32)</x:f>
        <x:v>458000</x:v>
      </x:c>
      <x:c r="D29" s="159"/>
      <x:c r="E29" s="163"/>
      <x:c r="F29" s="196"/>
      <x:c r="J29" s="159"/>
      <x:c r="K29" s="168"/>
      <x:c r="P29" s="93"/>
      <x:c r="T29" s="106"/>
      <x:c r="U29" s="105"/>
    </x:row>
    <x:row r="30" spans="1:21" ht="16.399999999999999">
      <x:c r="A30" s="189"/>
      <x:c r="B30" s="139" t="s">
        <x:v>4</x:v>
      </x:c>
      <x:c r="C30" s="16">
        <x:f>SUM('1:30'!F31)</x:f>
        <x:v>3896000</x:v>
      </x:c>
      <x:c r="D30" s="159"/>
      <x:c r="E30" s="163"/>
      <x:c r="F30" s="196"/>
      <x:c r="J30" s="159"/>
      <x:c r="K30" s="168"/>
      <x:c r="P30" s="93"/>
      <x:c r="T30" s="106"/>
      <x:c r="U30" s="105"/>
    </x:row>
    <x:row r="31" spans="1:11" ht="16.399999999999999">
      <x:c r="A31" s="190"/>
      <x:c r="B31" s="139" t="s">
        <x:v>53</x:v>
      </x:c>
      <x:c r="C31" s="16">
        <x:f>SUM(C19:C30)</x:f>
        <x:v>22423000</x:v>
      </x:c>
      <x:c r="D31" s="164"/>
      <x:c r="E31" s="163"/>
      <x:c r="F31" s="196"/>
      <x:c r="J31" s="159"/>
      <x:c r="K31" s="168"/>
    </x:row>
    <x:row r="32" spans="1:11" ht="16.399999999999999">
      <x:c r="A32" s="165" t="s">
        <x:v>67</x:v>
      </x:c>
      <x:c r="B32" s="166"/>
      <x:c r="C32" s="19">
        <x:f>SUM(C19:C22)*0.1</x:f>
        <x:v>1380000</x:v>
      </x:c>
      <x:c r="D32" s="16">
        <x:f>C32</x:f>
        <x:v>1380000</x:v>
      </x:c>
      <x:c r="E32" s="168">
        <x:f>(D32:D33)/$B$45</x:f>
        <x:v>0.0095063123980912972</x:v>
      </x:c>
      <x:c r="F32" s="196"/>
      <x:c r="G32" s="104"/>
      <x:c r="H32" s="84"/>
      <x:c r="I32" s="71"/>
      <x:c r="J32" s="159"/>
      <x:c r="K32" s="168"/>
    </x:row>
    <x:row r="33" spans="1:11" ht="16.75">
      <x:c r="A33" s="183" t="s">
        <x:v>77</x:v>
      </x:c>
      <x:c r="B33" s="184"/>
      <x:c r="C33" s="142"/>
      <x:c r="D33" s="143">
        <x:f>C33</x:f>
        <x:v>0</x:v>
      </x:c>
      <x:c r="E33" s="180"/>
      <x:c r="F33" s="191" t="s">
        <x:v>68</x:v>
      </x:c>
      <x:c r="G33" s="192"/>
      <x:c r="H33" s="85">
        <x:f>SUM('1:31'!$G$5)</x:f>
        <x:v>188837</x:v>
      </x:c>
      <x:c r="I33" s="85"/>
      <x:c r="J33" s="85">
        <x:f>H33</x:f>
        <x:v>188837</x:v>
      </x:c>
      <x:c r="K33" s="86">
        <x:f>J33/$B$45</x:f>
        <x:v>0.0013008286335640337</x:v>
      </x:c>
    </x:row>
    <x:row r="34" spans="1:11" ht="21.399999999999999">
      <x:c r="A34" s="160" t="s">
        <x:v>78</x:v>
      </x:c>
      <x:c r="B34" s="161"/>
      <x:c r="C34" s="148">
        <x:f>SUM(C6:D17,C19:C24,C32:C33)</x:f>
        <x:v>40959340</x:v>
      </x:c>
      <x:c r="D34" s="149"/>
      <x:c r="E34" s="20">
        <x:f>SUM(E19:E33)</x:f>
        <x:v>0.16397011160272984</x:v>
      </x:c>
      <x:c r="F34" s="193" t="s">
        <x:v>145</x:v>
      </x:c>
      <x:c r="G34" s="194"/>
      <x:c r="H34" s="87">
        <x:f>SUM('1:31'!$G$4)</x:f>
        <x:v>3336919.5</x:v>
      </x:c>
      <x:c r="I34" s="87"/>
      <x:c r="J34" s="87">
        <x:f>H34</x:f>
        <x:v>3336919.5</x:v>
      </x:c>
      <x:c r="K34" s="88">
        <x:f>J34/$B$45</x:f>
        <x:v>0.022986811024842475</x:v>
      </x:c>
    </x:row>
    <x:row r="35" spans="1:11" ht="21.399999999999999">
      <x:c r="A35" s="151" t="s">
        <x:v>111</x:v>
      </x:c>
      <x:c r="B35" s="152"/>
      <x:c r="E35" s="21">
        <x:f>E18+E34</x:f>
        <x:v>0.24759583292862622</x:v>
      </x:c>
      <x:c r="F35" s="151"/>
      <x:c r="G35" s="152"/>
      <x:c r="H35" s="148">
        <x:f>SUM(J6:J34)</x:f>
        <x:v>67378377.5</x:v>
      </x:c>
      <x:c r="I35" s="149"/>
      <x:c r="J35" s="150"/>
      <x:c r="K35" s="22">
        <x:f>SUM(K6:K34)</x:f>
        <x:v>0.46414485897936647</x:v>
      </x:c>
    </x:row>
    <x:row r="36" spans="6:11" ht="20.649999999999999">
      <x:c r="F36" s="103"/>
      <x:c r="G36" s="103"/>
      <x:c r="H36" s="102"/>
      <x:c r="I36" s="102"/>
      <x:c r="J36" s="102"/>
      <x:c r="K36" s="101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2</x:v>
      </x:c>
      <x:c r="B38" s="25" t="s">
        <x:v>38</x:v>
      </x:c>
      <x:c r="C38" s="26" t="s">
        <x:v>135</x:v>
      </x:c>
      <x:c r="D38" s="100" t="s">
        <x:v>114</x:v>
      </x:c>
      <x:c r="F38" s="27" t="s">
        <x:v>104</x:v>
      </x:c>
      <x:c r="G38" s="28"/>
      <x:c r="H38" s="28"/>
      <x:c r="I38" s="28"/>
      <x:c r="J38" s="28"/>
      <x:c r="K38" s="29"/>
    </x:row>
    <x:row r="39" spans="1:11" ht="17.800000000000001">
      <x:c r="A39" s="119" t="s">
        <x:v>91</x:v>
      </x:c>
      <x:c r="B39" s="30">
        <x:f>$C$34</x:f>
        <x:v>40959340</x:v>
      </x:c>
      <x:c r="C39" s="31">
        <x:f>B39/$B$41</x:f>
        <x:v>0.37807091514550323</x:v>
      </x:c>
      <x:c r="D39" s="32">
        <x:f>B39/$B$45</x:f>
        <x:v>0.28215382728959187</x:v>
      </x:c>
      <x:c r="F39" s="33" t="s">
        <x:v>64</x:v>
      </x:c>
      <x:c r="G39" s="34"/>
      <x:c r="H39" s="34"/>
      <x:c r="I39" s="34"/>
      <x:c r="J39" s="34"/>
      <x:c r="K39" s="75"/>
    </x:row>
    <x:row r="40" spans="1:11" ht="17.800000000000001">
      <x:c r="A40" s="120" t="s">
        <x:v>79</x:v>
      </x:c>
      <x:c r="B40" s="35">
        <x:f>$H$35</x:f>
        <x:v>67378377.5</x:v>
      </x:c>
      <x:c r="C40" s="31">
        <x:f>B40/$B$41</x:f>
        <x:v>0.62192908485449683</x:v>
      </x:c>
      <x:c r="D40" s="32">
        <x:f>B40/$B$45</x:f>
        <x:v>0.46414485897936647</x:v>
      </x:c>
      <x:c r="F40" s="181" t="s">
        <x:v>29</x:v>
      </x:c>
      <x:c r="G40" s="182"/>
      <x:c r="H40" s="34" t="s">
        <x:v>15</x:v>
      </x:c>
      <x:c r="I40" s="34"/>
      <x:c r="J40" s="34"/>
      <x:c r="K40" s="36">
        <x:f>$C$34</x:f>
        <x:v>40959340</x:v>
      </x:c>
    </x:row>
    <x:row r="41" spans="1:11" ht="17.800000000000001">
      <x:c r="A41" s="121" t="s">
        <x:v>25</x:v>
      </x:c>
      <x:c r="B41" s="116">
        <x:f>SUM(B39:B40)</x:f>
        <x:v>108337717.5</x:v>
      </x:c>
      <x:c r="C41" s="117">
        <x:f>SUM(C39:C40)</x:f>
        <x:v>1</x:v>
      </x:c>
      <x:c r="D41" s="118">
        <x:f>SUM(D39:D40)</x:f>
        <x:v>0.74629868626895834</x:v>
      </x:c>
      <x:c r="F41" s="181" t="s">
        <x:v>1</x:v>
      </x:c>
      <x:c r="G41" s="182"/>
      <x:c r="H41" s="34" t="s">
        <x:v>0</x:v>
      </x:c>
      <x:c r="I41" s="34"/>
      <x:c r="J41" s="34"/>
      <x:c r="K41" s="39">
        <x:f>$H$35</x:f>
        <x:v>67378377.5</x:v>
      </x:c>
    </x:row>
    <x:row r="42" spans="1:11" customHeight="1">
      <x:c r="A42" s="122" t="s">
        <x:v>121</x:v>
      </x:c>
      <x:c r="B42" s="48">
        <x:f>SUM('1:31'!C4)</x:f>
        <x:v>125593950</x:v>
      </x:c>
      <x:c r="C42" s="49"/>
      <x:c r="D42" s="40">
        <x:f>B42/$B$45</x:f>
        <x:v>0.8651705246451149</x:v>
      </x:c>
      <x:c r="F42" s="181" t="s">
        <x:v>59</x:v>
      </x:c>
      <x:c r="G42" s="182"/>
      <x:c r="H42" s="34" t="s">
        <x:v>33</x:v>
      </x:c>
      <x:c r="I42" s="34"/>
      <x:c r="J42" s="34"/>
      <x:c r="K42" s="39">
        <x:f>$B$45</x:f>
        <x:v>145166700</x:v>
      </x:c>
    </x:row>
    <x:row r="43" spans="1:11" customHeight="1">
      <x:c r="A43" s="120" t="s">
        <x:v>128</x:v>
      </x:c>
      <x:c r="B43" s="35">
        <x:f>SUM('1:31'!C5)</x:f>
        <x:v>19572750</x:v>
      </x:c>
      <x:c r="C43" s="35"/>
      <x:c r="D43" s="41">
        <x:f>B43/$B$45</x:f>
        <x:v>0.1348294753548851</x:v>
      </x:c>
      <x:c r="F43" s="181" t="s">
        <x:v>139</x:v>
      </x:c>
      <x:c r="G43" s="182"/>
      <x:c r="H43" s="34" t="s">
        <x:v>54</x:v>
      </x:c>
      <x:c r="I43" s="34"/>
      <x:c r="J43" s="34"/>
      <x:c r="K43" s="42">
        <x:f>(K41)/K42</x:f>
        <x:v>0.46414485897936647</x:v>
      </x:c>
    </x:row>
    <x:row r="44" spans="1:11" customHeight="1">
      <x:c r="A44" s="120" t="s">
        <x:v>134</x:v>
      </x:c>
      <x:c r="B44" s="35">
        <x:f>SUM('1:31'!C6)</x:f>
        <x:v>0</x:v>
      </x:c>
      <x:c r="C44" s="18"/>
      <x:c r="D44" s="41">
        <x:f>B44/$B$45</x:f>
        <x:v>0</x:v>
      </x:c>
      <x:c r="F44" s="43" t="s">
        <x:v>66</x:v>
      </x:c>
      <x:c r="G44" s="44"/>
      <x:c r="H44" s="44" t="s">
        <x:v>144</x:v>
      </x:c>
      <x:c r="I44" s="44"/>
      <x:c r="J44" s="44"/>
      <x:c r="K44" s="45">
        <x:f>K40/(1-K43)</x:f>
        <x:v>76437337.004895553</x:v>
      </x:c>
    </x:row>
    <x:row r="45" spans="1:4" customHeight="1">
      <x:c r="A45" s="123" t="s">
        <x:v>11</x:v>
      </x:c>
      <x:c r="B45" s="37">
        <x:f>SUM(B42:B44)</x:f>
        <x:v>145166700</x:v>
      </x:c>
      <x:c r="C45" s="50"/>
      <x:c r="D45" s="38"/>
    </x:row>
    <x:row r="46" spans="1:4" customHeight="1">
      <x:c r="A46" s="124" t="s">
        <x:v>88</x:v>
      </x:c>
      <x:c r="B46" s="46">
        <x:f>B45-B41</x:f>
        <x:v>36828982.5</x:v>
      </x:c>
      <x:c r="C46" s="47"/>
      <x:c r="D46" s="74">
        <x:f>B46/B45</x:f>
        <x:v>0.2537013137310416</x:v>
      </x:c>
    </x:row>
    <x:row r="47" spans="1:13" ht="20.100000000000001" customHeight="1">
      <x:c r="A47" s="122" t="s">
        <x:v>107</x:v>
      </x:c>
      <x:c r="B47" s="48">
        <x:f>INT(B45*0.05)</x:f>
        <x:v>7258335</x:v>
      </x:c>
      <x:c r="C47" s="49"/>
      <x:c r="D47" s="40">
        <x:f>B47/B45</x:f>
        <x:v>0.05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4" t="s">
        <x:v>98</x:v>
      </x:c>
      <x:c r="B48" s="30">
        <x:f>INT(B45*0.02)</x:f>
        <x:v>2903334</x:v>
      </x:c>
      <x:c r="C48" s="79"/>
      <x:c r="D48" s="32">
        <x:f>B48/B45</x:f>
        <x:v>0.020000000000000001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3" t="s">
        <x:v>106</x:v>
      </x:c>
      <x:c r="B49" s="37">
        <x:f>B46-B47-B48</x:f>
        <x:v>26667313.5</x:v>
      </x:c>
      <x:c r="C49" s="50"/>
      <x:c r="D49" s="74">
        <x:f>B49/B45</x:f>
        <x:v>0.18370131373104162</x:v>
      </x:c>
      <x:c r="E49" s="94"/>
      <x:c r="F49" s="95"/>
    </x:row>
    <x:row r="50" spans="1:5" s="23" customFormat="1" customHeight="1">
      <x:c r="A50" s="99"/>
      <x:c r="B50" s="1"/>
      <x:c r="C50" s="1"/>
      <x:c r="D50" s="1"/>
      <x:c r="E50" s="1"/>
    </x:row>
    <x:row r="51" spans="1:5" s="23" customFormat="1" customHeight="1">
      <x:c r="A51" s="99"/>
      <x:c r="B51" s="1"/>
      <x:c r="C51" s="1"/>
      <x:c r="D51" s="1"/>
      <x:c r="E51" s="94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</x:mergeCells>
  <x:pageMargins left="0.69972223043441772" right="0.69972223043441772" top="0.75" bottom="0.75" header="0.30000001192092896" footer="0.30000001192092896"/>
  <x:pageSetup paperSize="9" scale="57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opLeftCell="A19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1</x:v>
      </x:c>
      <x:c r="G1" s="68" t="s">
        <x:v>27</x:v>
      </x:c>
      <x:c r="H1" s="52" t="s">
        <x:v>122</x:v>
      </x:c>
      <x:c r="I1" s="52">
        <x:f>F1-K1</x:f>
        <x:v>1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3643000</x:v>
      </x:c>
      <x:c r="D2" s="271"/>
      <x:c r="E2" s="274" t="s">
        <x:v>39</x:v>
      </x:c>
      <x:c r="F2" s="275"/>
      <x:c r="G2" s="263">
        <x:v>107400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2" ht="30.949999999999999" customHeight="1">
      <x:c r="A4" s="265" t="s">
        <x:v>22</x:v>
      </x:c>
      <x:c r="B4" s="266"/>
      <x:c r="C4" s="258">
        <x:v>3373000</x:v>
      </x:c>
      <x:c r="D4" s="258"/>
      <x:c r="E4" s="273" t="s">
        <x:v>145</x:v>
      </x:c>
      <x:c r="F4" s="273"/>
      <x:c r="G4" s="134">
        <x:f>INT(C4*0.0275)</x:f>
        <x:v>92757</x:v>
      </x:c>
      <x:c r="H4" s="54" t="s">
        <x:v>20</x:v>
      </x:c>
      <x:c r="I4" s="125">
        <x:f>859519+903680+221000+543632+400148+904000</x:f>
        <x:v>3831979</x:v>
      </x:c>
      <x:c r="J4" s="81" t="s">
        <x:v>35</x:v>
      </x:c>
      <x:c r="K4" s="58">
        <x:v>485000</x:v>
      </x:c>
      <x:c r="L4" s="96"/>
    </x:row>
    <x:row r="5" spans="1:11" ht="30.949999999999999" customHeight="1">
      <x:c r="A5" s="265" t="s">
        <x:v>60</x:v>
      </x:c>
      <x:c r="B5" s="266"/>
      <x:c r="C5" s="258">
        <x:v>270000</x:v>
      </x:c>
      <x:c r="D5" s="258"/>
      <x:c r="E5" s="257" t="s">
        <x:v>69</x:v>
      </x:c>
      <x:c r="F5" s="257"/>
      <x:c r="G5" s="134">
        <x:f>INT(C5*0.01)</x:f>
        <x:v>2700</x:v>
      </x:c>
      <x:c r="H5" s="54" t="s">
        <x:v>6</x:v>
      </x:c>
      <x:c r="I5" s="125">
        <x:f>100000+69000+88968+72000+16720+7000+14920+30160+15990+41660</x:f>
        <x:v>456418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>
        <x:v>896090</x:v>
      </x:c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377400</x:v>
      </x:c>
      <x:c r="D8" s="258"/>
      <x:c r="E8" s="284" t="s">
        <x:v>109</x:v>
      </x:c>
      <x:c r="F8" s="285"/>
      <x:c r="G8" s="290">
        <x:f>C5+G2-G6-C22</x:f>
        <x:v>377400</x:v>
      </x:c>
      <x:c r="H8" s="54" t="s">
        <x:v>44</x:v>
      </x:c>
      <x:c r="I8" s="125">
        <x:v>130000</x:v>
      </x:c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4</x:v>
      </x:c>
      <x:c r="D12" s="284" t="s">
        <x:v>132</x:v>
      </x:c>
      <x:c r="E12" s="285"/>
      <x:c r="F12" s="288">
        <x:v>3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SUM('1'!$C$12)</x:f>
        <x:v>4</x:v>
      </x:c>
      <x:c r="D13" s="276"/>
      <x:c r="E13" s="277"/>
      <x:c r="F13" s="286">
        <x:f>SUM('1'!$F$12)</x:f>
        <x:v>3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15</x:v>
      </x:c>
      <x:c r="D14" s="284" t="s">
        <x:v>94</x:v>
      </x:c>
      <x:c r="E14" s="285"/>
      <x:c r="F14" s="288">
        <x:v>6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SUM('1'!$C$14)</x:f>
        <x:v>15</x:v>
      </x:c>
      <x:c r="D15" s="276"/>
      <x:c r="E15" s="277"/>
      <x:c r="F15" s="286">
        <x:f>SUM('1'!$F$14)</x:f>
        <x:v>6</x:v>
      </x:c>
      <x:c r="G15" s="287"/>
      <x:c r="H15" s="54" t="s">
        <x:v>105</x:v>
      </x:c>
      <x:c r="I15" s="58"/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0</x:v>
      </x:c>
      <x:c r="D16" s="284" t="s">
        <x:v>116</x:v>
      </x:c>
      <x:c r="E16" s="285"/>
      <x:c r="F16" s="282">
        <x:v>7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SUM('1'!$C$16)</x:f>
        <x:v>0</x:v>
      </x:c>
      <x:c r="D17" s="276"/>
      <x:c r="E17" s="277"/>
      <x:c r="F17" s="283">
        <x:f>SUM('1'!$F$16)</x:f>
        <x:v>7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3</x:v>
      </x:c>
      <x:c r="D18" s="284" t="s">
        <x:v>129</x:v>
      </x:c>
      <x:c r="E18" s="285"/>
      <x:c r="F18" s="292">
        <x:v>0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SUM('1'!$C$18)</x:f>
        <x:v>3</x:v>
      </x:c>
      <x:c r="D19" s="276"/>
      <x:c r="E19" s="277"/>
      <x:c r="F19" s="283">
        <x:f>SUM('1'!$F$18)</x:f>
        <x:v>0</x:v>
      </x:c>
      <x:c r="G19" s="283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59" t="s">
        <x:v>47</x:v>
      </x:c>
      <x:c r="B20" s="257"/>
      <x:c r="C20" s="54"/>
      <x:c r="D20" s="257" t="s">
        <x:v>112</x:v>
      </x:c>
      <x:c r="E20" s="257"/>
      <x:c r="F20" s="282">
        <x:v>40</x:v>
      </x:c>
      <x:c r="G20" s="282"/>
      <x:c r="H20" s="58"/>
      <x:c r="J20" s="54"/>
      <x:c r="K20" s="58"/>
      <x:c r="L20" s="60"/>
      <x:c r="M20" s="11"/>
    </x:row>
    <x:row r="21" spans="1:13" ht="21.949999999999999" customHeight="1">
      <x:c r="A21" s="59" t="s">
        <x:v>95</x:v>
      </x:c>
      <x:c r="B21" s="257"/>
      <x:c r="C21" s="54"/>
      <x:c r="D21" s="257" t="s">
        <x:v>113</x:v>
      </x:c>
      <x:c r="E21" s="257"/>
      <x:c r="F21" s="283">
        <x:f>SUM('1'!$F$20)</x:f>
        <x:v>40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281"/>
      <x:c r="D23" s="281"/>
      <x:c r="E23" s="281"/>
      <x:c r="F23" s="281"/>
      <x:c r="G23" s="281"/>
      <x:c r="H23" s="108" t="s">
        <x:v>93</x:v>
      </x:c>
      <x:c r="I23" s="109">
        <x:f>SUM(I4:I22)</x:f>
        <x:v>5314487</x:v>
      </x:c>
      <x:c r="J23" s="61" t="s">
        <x:v>118</x:v>
      </x:c>
      <x:c r="K23" s="62">
        <x:f>SUM(K4:K22)</x:f>
        <x:v>485000</x:v>
      </x:c>
      <x:c r="M23" s="90" t="s">
        <x:v>92</x:v>
      </x:c>
      <x:c r="N23" s="279">
        <x:f>C5+C6</x:f>
        <x:v>270000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1.4588215756244853</x:v>
      </x:c>
      <x:c r="J24" s="61" t="s">
        <x:v>8</x:v>
      </x:c>
      <x:c r="K24" s="63">
        <x:f>K23/A25</x:f>
        <x:v>0.13313203403788088</x:v>
      </x:c>
    </x:row>
    <x:row r="25" spans="1:11" ht="34.149999999999999" customHeight="1">
      <x:c r="A25" s="308">
        <x:f>C2</x:f>
        <x:v>3643000</x:v>
      </x:c>
      <x:c r="B25" s="272"/>
      <x:c r="C25" s="272">
        <x:f>E25/I1</x:f>
        <x:v>3643000</x:v>
      </x:c>
      <x:c r="D25" s="272"/>
      <x:c r="E25" s="272">
        <x:f>SUM('1'!$A$25)</x:f>
        <x:v>3643000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SUM('1'!$K$23)</x:f>
        <x:v>485000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1.4588215756244853</x:v>
      </x:c>
      <x:c r="J26" s="64" t="s">
        <x:v>127</x:v>
      </x:c>
      <x:c r="K26" s="65">
        <x:f>K25/$E$25</x:f>
        <x:v>0.13313203403788088</x:v>
      </x:c>
    </x:row>
    <x:row r="27" spans="1:13" ht="30.949999999999999" customHeight="1">
      <x:c r="A27" s="301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13000*4</x:f>
        <x:v>52000</x:v>
      </x:c>
      <x:c r="G27" s="258"/>
      <x:c r="H27" s="112" t="s">
        <x:v>117</x:v>
      </x:c>
      <x:c r="I27" s="113">
        <x:f>SUM(C27:D34,F27:G32)</x:f>
        <x:v>740129.0322580646</x:v>
      </x:c>
      <x:c r="M27" s="66"/>
    </x:row>
    <x:row r="28" spans="1:13" ht="30.949999999999999" customHeight="1">
      <x:c r="A28" s="302"/>
      <x:c r="B28" s="54" t="s">
        <x:v>23</x:v>
      </x:c>
      <x:c r="C28" s="309">
        <x:f>3800000/31</x:f>
        <x:v>122580.64516129032</x:v>
      </x:c>
      <x:c r="D28" s="310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0.20316470827835975</x:v>
      </x:c>
      <x:c r="M28" s="66"/>
    </x:row>
    <x:row r="29" spans="1:13" ht="30.949999999999999" customHeight="1">
      <x:c r="A29" s="302"/>
      <x:c r="B29" s="54" t="s">
        <x:v>46</x:v>
      </x:c>
      <x:c r="C29" s="272">
        <x:f>3200000/31</x:f>
        <x:v>103225.80645161291</x:v>
      </x:c>
      <x:c r="D29" s="272"/>
      <x:c r="E29" s="54" t="s">
        <x:v>56</x:v>
      </x:c>
      <x:c r="F29" s="258"/>
      <x:c r="G29" s="258"/>
      <x:c r="H29" s="112" t="s">
        <x:v>32</x:v>
      </x:c>
      <x:c r="I29" s="113">
        <x:f>SUM('1'!$I$27)</x:f>
        <x:v>740129.0322580646</x:v>
      </x:c>
      <x:c r="M29" s="66"/>
    </x:row>
    <x:row r="30" spans="1:13" ht="30.949999999999999" customHeight="1">
      <x:c r="A30" s="302"/>
      <x:c r="B30" s="54"/>
      <x:c r="C30" s="311"/>
      <x:c r="D30" s="311"/>
      <x:c r="E30" s="54" t="s">
        <x:v>56</x:v>
      </x:c>
      <x:c r="F30" s="306"/>
      <x:c r="G30" s="307"/>
      <x:c r="H30" s="112" t="s">
        <x:v>127</x:v>
      </x:c>
      <x:c r="I30" s="114">
        <x:f>I29/$I$27</x:f>
        <x:v>1</x:v>
      </x:c>
      <x:c r="M30" s="66"/>
    </x:row>
    <x:row r="31" spans="1:7" customHeight="1">
      <x:c r="A31" s="302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02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02"/>
      <x:c r="B33" s="54" t="s">
        <x:v>21</x:v>
      </x:c>
      <x:c r="C33" s="304">
        <x:f>13000*4</x:f>
        <x:v>52000</x:v>
      </x:c>
      <x:c r="D33" s="305"/>
      <x:c r="E33" s="54" t="s">
        <x:v>56</x:v>
      </x:c>
    </x:row>
    <x:row r="34" spans="1:4" customHeight="1">
      <x:c r="A34" s="303"/>
      <x:c r="B34" s="54"/>
      <x:c r="C34" s="306"/>
      <x:c r="D34" s="307"/>
    </x:row>
  </x:sheetData>
  <x:mergeCells count="75"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  <x:mergeCell ref="N23:O23"/>
    <x:mergeCell ref="C23:G23"/>
    <x:mergeCell ref="A8:B9"/>
    <x:mergeCell ref="C8:D9"/>
    <x:mergeCell ref="F16:G16"/>
    <x:mergeCell ref="F17:G17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11:B11"/>
    <x:mergeCell ref="C11:G11"/>
    <x:mergeCell ref="F12:G12"/>
    <x:mergeCell ref="C6:D7"/>
    <x:mergeCell ref="E6:F7"/>
    <x:mergeCell ref="E8:F9"/>
    <x:mergeCell ref="A27:A34"/>
    <x:mergeCell ref="C32:D32"/>
    <x:mergeCell ref="C34:D34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F32:G32"/>
    <x:mergeCell ref="F19:G19"/>
    <x:mergeCell ref="B20:B21"/>
    <x:mergeCell ref="D21:E21"/>
    <x:mergeCell ref="F21:G2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opLeftCell="A1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2</x:v>
      </x:c>
      <x:c r="G1" s="68" t="s">
        <x:v>49</x:v>
      </x:c>
      <x:c r="H1" s="52" t="s">
        <x:v>122</x:v>
      </x:c>
      <x:c r="I1" s="52">
        <x:f>F1-K1</x:f>
        <x:v>2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4943000</x:v>
      </x:c>
      <x:c r="D2" s="271"/>
      <x:c r="E2" s="274" t="s">
        <x:v>39</x:v>
      </x:c>
      <x:c r="F2" s="275"/>
      <x:c r="G2" s="263">
        <x:v>377400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4206000</x:v>
      </x:c>
      <x:c r="D4" s="258"/>
      <x:c r="E4" s="273" t="s">
        <x:v>145</x:v>
      </x:c>
      <x:c r="F4" s="273"/>
      <x:c r="G4" s="134">
        <x:f>INT(C4*0.0275)</x:f>
        <x:v>115665</x:v>
      </x:c>
      <x:c r="H4" s="54" t="s">
        <x:v>20</x:v>
      </x:c>
      <x:c r="I4" s="126">
        <x:f>629158+563200+221000+539176+390467+1356000</x:f>
        <x:v>3699001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737000</x:v>
      </x:c>
      <x:c r="D5" s="258"/>
      <x:c r="E5" s="257" t="s">
        <x:v>69</x:v>
      </x:c>
      <x:c r="F5" s="257"/>
      <x:c r="G5" s="134">
        <x:f>INT(C5*0.01)</x:f>
        <x:v>7370</x:v>
      </x:c>
      <x:c r="H5" s="54" t="s">
        <x:v>6</x:v>
      </x:c>
      <x:c r="I5" s="138">
        <x:f>90860+121000+118624+78760+200000+103500+108000+16720+7000+29840+31980+113460+60320</x:f>
        <x:v>1080064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950000</x:v>
      </x:c>
      <x:c r="H6" s="54"/>
      <x:c r="I6" s="126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6">
        <x:v>829200</x:v>
      </x:c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164400</x:v>
      </x:c>
      <x:c r="D8" s="258"/>
      <x:c r="E8" s="284" t="s">
        <x:v>109</x:v>
      </x:c>
      <x:c r="F8" s="285"/>
      <x:c r="G8" s="290">
        <x:f>C5+G2-G6-C22</x:f>
        <x:v>164400</x:v>
      </x:c>
      <x:c r="H8" s="54" t="s">
        <x:v>44</x:v>
      </x:c>
      <x:c r="I8" s="126">
        <x:v>260000</x:v>
      </x:c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v>52000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>
        <x:v>13000</x:v>
      </x:c>
    </x:row>
    <x:row r="11" spans="1:11" ht="33" customHeight="1">
      <x:c r="A11" s="256" t="s">
        <x:v>102</x:v>
      </x:c>
      <x:c r="B11" s="257"/>
      <x:c r="C11" s="296" t="s">
        <x:v>162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6</x:v>
      </x:c>
      <x:c r="D12" s="284" t="s">
        <x:v>132</x:v>
      </x:c>
      <x:c r="E12" s="285"/>
      <x:c r="F12" s="288">
        <x:v>5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SUM('1:2'!$C$12)</x:f>
        <x:v>10</x:v>
      </x:c>
      <x:c r="D13" s="276"/>
      <x:c r="E13" s="277"/>
      <x:c r="F13" s="286">
        <x:f>SUM('1:2'!$F$12)</x:f>
        <x:v>8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22</x:v>
      </x:c>
      <x:c r="D14" s="284" t="s">
        <x:v>94</x:v>
      </x:c>
      <x:c r="E14" s="285"/>
      <x:c r="F14" s="288">
        <x:v>4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SUM('1:2'!$C$14)</x:f>
        <x:v>37</x:v>
      </x:c>
      <x:c r="D15" s="276"/>
      <x:c r="E15" s="277"/>
      <x:c r="F15" s="286">
        <x:f>SUM('1:2'!$F$14)</x:f>
        <x:v>10</x:v>
      </x:c>
      <x:c r="G15" s="287"/>
      <x:c r="H15" s="54" t="s">
        <x:v>105</x:v>
      </x:c>
      <x:c r="I15" s="58">
        <x:f>187500+23600+56000+38400+80000+105600+25000+10600+3500+14000+22000+19600+13500+3900+4250+12400+6600+4200+15000+8500+8900+31500+5500</x:f>
        <x:v>700050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3</x:v>
      </x:c>
      <x:c r="D16" s="284" t="s">
        <x:v>116</x:v>
      </x:c>
      <x:c r="E16" s="285"/>
      <x:c r="F16" s="282">
        <x:v>13</x:v>
      </x:c>
      <x:c r="G16" s="282"/>
      <x:c r="H16" s="54"/>
      <x:c r="I16" s="58"/>
      <x:c r="J16" s="54" t="s">
        <x:v>96</x:v>
      </x:c>
      <x:c r="K16" s="58">
        <x:f>149034+32960</x:f>
        <x:v>181994</x:v>
      </x:c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SUM('1:2'!$C$16)</x:f>
        <x:v>3</x:v>
      </x:c>
      <x:c r="D17" s="276"/>
      <x:c r="E17" s="277"/>
      <x:c r="F17" s="283">
        <x:f>SUM('1:2'!$F$16)</x:f>
        <x:v>20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19</x:v>
      </x:c>
      <x:c r="D18" s="284" t="s">
        <x:v>129</x:v>
      </x:c>
      <x:c r="E18" s="285"/>
      <x:c r="F18" s="292">
        <x:v>3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SUM('1:2'!$C$18)</x:f>
        <x:v>22</x:v>
      </x:c>
      <x:c r="D19" s="276"/>
      <x:c r="E19" s="277"/>
      <x:c r="F19" s="283">
        <x:f>SUM('1:2'!$F$18)</x:f>
        <x:v>3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74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SUM('1:2'!$F$20)</x:f>
        <x:v>114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6568315</x:v>
      </x:c>
      <x:c r="J23" s="61" t="s">
        <x:v>118</x:v>
      </x:c>
      <x:c r="K23" s="62">
        <x:f>SUM(K4:K22)</x:f>
        <x:v>194994</x:v>
      </x:c>
      <x:c r="M23" s="89" t="s">
        <x:v>92</x:v>
      </x:c>
      <x:c r="N23" s="279">
        <x:f>C5+C6</x:f>
        <x:v>737000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1.3288114505361117</x:v>
      </x:c>
      <x:c r="J24" s="61" t="s">
        <x:v>8</x:v>
      </x:c>
      <x:c r="K24" s="63">
        <x:f>K23/A25</x:f>
        <x:v>0.039448513048755816</x:v>
      </x:c>
    </x:row>
    <x:row r="25" spans="1:11" ht="34.149999999999999" customHeight="1">
      <x:c r="A25" s="308">
        <x:f>C2</x:f>
        <x:v>4943000</x:v>
      </x:c>
      <x:c r="B25" s="272"/>
      <x:c r="C25" s="272">
        <x:f>E25/I1</x:f>
        <x:v>1821500</x:v>
      </x:c>
      <x:c r="D25" s="272"/>
      <x:c r="E25" s="272">
        <x:f>SUM('1'!$A$25)</x:f>
        <x:v>3643000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SUM('1'!$K$23)</x:f>
        <x:v>485000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1.4588215756244853</x:v>
      </x:c>
      <x:c r="J26" s="64" t="s">
        <x:v>127</x:v>
      </x:c>
      <x:c r="K26" s="65">
        <x:f>K25/$E$25</x:f>
        <x:v>0.13313203403788088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13000*4.5</x:f>
        <x:v>58500</x:v>
      </x:c>
      <x:c r="G27" s="258"/>
      <x:c r="H27" s="112" t="s">
        <x:v>117</x:v>
      </x:c>
      <x:c r="I27" s="113">
        <x:f>SUM(C27:D34,F27:G32)</x:f>
        <x:v>694629.0322580646</x:v>
      </x:c>
      <x:c r="M27" s="66"/>
    </x:row>
    <x:row r="28" spans="1:13" ht="30.949999999999999" customHeight="1">
      <x:c r="A28" s="315"/>
      <x:c r="B28" s="54" t="s">
        <x:v>23</x:v>
      </x:c>
      <x:c r="C28" s="309">
        <x:f>3800000/31</x:f>
        <x:v>122580.64516129032</x:v>
      </x:c>
      <x:c r="D28" s="310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0.14052782364112171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SUM('1:2'!$I$27)</x:f>
        <x:v>1434758.0645161292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2.0655025889892493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/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H2:I2"/>
    <x:mergeCell ref="J2:K2"/>
    <x:mergeCell ref="A2:B3"/>
    <x:mergeCell ref="C2:D3"/>
    <x:mergeCell ref="E2:F3"/>
    <x:mergeCell ref="G2:G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A11:B11"/>
    <x:mergeCell ref="C11:G11"/>
    <x:mergeCell ref="E10:F10"/>
    <x:mergeCell ref="E8:F9"/>
    <x:mergeCell ref="G8:G9"/>
    <x:mergeCell ref="A8:B9"/>
    <x:mergeCell ref="C8:D9"/>
    <x:mergeCell ref="G6:G7"/>
    <x:mergeCell ref="A10:B10"/>
    <x:mergeCell ref="C10:D10"/>
    <x:mergeCell ref="C25:D25"/>
    <x:mergeCell ref="E25:G25"/>
    <x:mergeCell ref="C23:G23"/>
    <x:mergeCell ref="C24:D24"/>
    <x:mergeCell ref="F15:G15"/>
    <x:mergeCell ref="F12:G12"/>
    <x:mergeCell ref="F13:G13"/>
    <x:mergeCell ref="F14:G14"/>
    <x:mergeCell ref="F16:G16"/>
    <x:mergeCell ref="F17:G17"/>
    <x:mergeCell ref="F21:G21"/>
    <x:mergeCell ref="C31:D31"/>
    <x:mergeCell ref="F29:G29"/>
    <x:mergeCell ref="C22:G22"/>
    <x:mergeCell ref="F18:G18"/>
    <x:mergeCell ref="F19:G19"/>
    <x:mergeCell ref="F20:G20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A27:A34"/>
    <x:mergeCell ref="C32:D32"/>
    <x:mergeCell ref="C33:D33"/>
    <x:mergeCell ref="C34:D34"/>
    <x:mergeCell ref="D20:E20"/>
    <x:mergeCell ref="A25:B25"/>
    <x:mergeCell ref="A26:B26"/>
    <x:mergeCell ref="A22:B22"/>
    <x:mergeCell ref="A23:B23"/>
    <x:mergeCell ref="A24:B24"/>
    <x:mergeCell ref="D21:E21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opLeftCell="A1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3</x:v>
      </x:c>
      <x:c r="G1" s="68" t="s">
        <x:v>28</x:v>
      </x:c>
      <x:c r="H1" s="52" t="s">
        <x:v>122</x:v>
      </x:c>
      <x:c r="I1" s="52">
        <x:f>F1-K1</x:f>
        <x:v>3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2726000</x:v>
      </x:c>
      <x:c r="D2" s="271"/>
      <x:c r="E2" s="274" t="s">
        <x:v>39</x:v>
      </x:c>
      <x:c r="F2" s="275"/>
      <x:c r="G2" s="263">
        <x:v>164400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2161000</x:v>
      </x:c>
      <x:c r="D4" s="258"/>
      <x:c r="E4" s="273" t="s">
        <x:v>145</x:v>
      </x:c>
      <x:c r="F4" s="273"/>
      <x:c r="G4" s="134">
        <x:f>C4*0.0275</x:f>
        <x:v>59427.5</x:v>
      </x:c>
      <x:c r="H4" s="54" t="s">
        <x:v>20</x:v>
      </x:c>
      <x:c r="I4" s="125">
        <x:f>857042+1221120+174000+1756800+1808000+696150+1430376+361424+30+112440</x:f>
        <x:v>8417382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565000</x:v>
      </x:c>
      <x:c r="D5" s="258"/>
      <x:c r="E5" s="257" t="s">
        <x:v>69</x:v>
      </x:c>
      <x:c r="F5" s="257"/>
      <x:c r="G5" s="134">
        <x:f>INT(C5*0.01)</x:f>
        <x:v>5650</x:v>
      </x:c>
      <x:c r="H5" s="54" t="s">
        <x:v>6</x:v>
      </x:c>
      <x:c r="I5" s="125">
        <x:f>100000+138000+72000+121000+59312+118140+14000+48000</x:f>
        <x:v>670452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600000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129400</x:v>
      </x:c>
      <x:c r="D8" s="258"/>
      <x:c r="E8" s="284" t="s">
        <x:v>109</x:v>
      </x:c>
      <x:c r="F8" s="285"/>
      <x:c r="G8" s="290">
        <x:f>C5+G2-G6-C22</x:f>
        <x:v>129400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21.75" customHeight="1">
      <x:c r="A10" s="256" t="s">
        <x:v>142</x:v>
      </x:c>
      <x:c r="B10" s="257"/>
      <x:c r="C10" s="258">
        <x:v>124000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21.75" customHeight="1">
      <x:c r="A11" s="256" t="s">
        <x:v>102</x:v>
      </x:c>
      <x:c r="B11" s="257"/>
      <x:c r="C11" s="296" t="s">
        <x:v>155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6</x:v>
      </x:c>
      <x:c r="D12" s="284" t="s">
        <x:v>132</x:v>
      </x:c>
      <x:c r="E12" s="285"/>
      <x:c r="F12" s="288">
        <x:v>0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SUM('1:3'!$C$12)</x:f>
        <x:v>16</x:v>
      </x:c>
      <x:c r="D13" s="276"/>
      <x:c r="E13" s="277"/>
      <x:c r="F13" s="286">
        <x:f>SUM('1:3'!$F$12)</x:f>
        <x:v>8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13</x:v>
      </x:c>
      <x:c r="D14" s="284" t="s">
        <x:v>94</x:v>
      </x:c>
      <x:c r="E14" s="285"/>
      <x:c r="F14" s="288">
        <x:v>6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SUM('1:3'!$C$14)</x:f>
        <x:v>50</x:v>
      </x:c>
      <x:c r="D15" s="276"/>
      <x:c r="E15" s="277"/>
      <x:c r="F15" s="286">
        <x:f>SUM('1:3'!$F$14)</x:f>
        <x:v>16</x:v>
      </x:c>
      <x:c r="G15" s="287"/>
      <x:c r="H15" s="54" t="s">
        <x:v>105</x:v>
      </x:c>
      <x:c r="I15" s="58">
        <x:f>9000+13500+7500+4000</x:f>
        <x:v>34000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2</x:v>
      </x:c>
      <x:c r="D16" s="284" t="s">
        <x:v>116</x:v>
      </x:c>
      <x:c r="E16" s="285"/>
      <x:c r="F16" s="282">
        <x:v>8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SUM('1:3'!$C$16)</x:f>
        <x:v>5</x:v>
      </x:c>
      <x:c r="D17" s="276"/>
      <x:c r="E17" s="277"/>
      <x:c r="F17" s="283">
        <x:f>SUM('1:3'!$F$16)</x:f>
        <x:v>28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4</x:v>
      </x:c>
      <x:c r="D18" s="284" t="s">
        <x:v>129</x:v>
      </x:c>
      <x:c r="E18" s="285"/>
      <x:c r="F18" s="292">
        <x:v>3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SUM('1:3'!$C$18)</x:f>
        <x:v>26</x:v>
      </x:c>
      <x:c r="D19" s="276"/>
      <x:c r="E19" s="277"/>
      <x:c r="F19" s="283">
        <x:f>SUM('1:3'!$F$18)</x:f>
        <x:v>6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43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SUM('1:3'!$F$20)</x:f>
        <x:v>157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9121834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565000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3.3462340425531916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2726000</x:v>
      </x:c>
      <x:c r="B25" s="272"/>
      <x:c r="C25" s="272">
        <x:f>E25/I1</x:f>
        <x:v>3770666.6666666665</x:v>
      </x:c>
      <x:c r="D25" s="272"/>
      <x:c r="E25" s="272">
        <x:f>SUM('1:3'!$A$25)</x:f>
        <x:v>11312000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SUM('1:3'!$K$23)</x:f>
        <x:v>679994</x:v>
      </x:c>
    </x:row>
    <x:row r="26" spans="1:11" ht="34.149999999999999" customHeight="1">
      <x:c r="A26" s="256" t="s">
        <x:v>141</x:v>
      </x:c>
      <x:c r="B26" s="257"/>
      <x:c r="C26" s="317"/>
      <x:c r="D26" s="257"/>
      <x:c r="E26" s="258"/>
      <x:c r="F26" s="258"/>
      <x:c r="G26" s="258"/>
      <x:c r="H26" s="108" t="s">
        <x:v>127</x:v>
      </x:c>
      <x:c r="I26" s="111">
        <x:f>I25/$E$25</x:f>
        <x:v>0.469809671145686</x:v>
      </x:c>
      <x:c r="J26" s="64" t="s">
        <x:v>127</x:v>
      </x:c>
      <x:c r="K26" s="65">
        <x:f>K25/$E$25</x:f>
        <x:v>0.060112623762376236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13000*3</x:f>
        <x:v>39000</x:v>
      </x:c>
      <x:c r="G27" s="258"/>
      <x:c r="H27" s="112" t="s">
        <x:v>117</x:v>
      </x:c>
      <x:c r="I27" s="113">
        <x:f>SUM(C27:D34,F27:G32)</x:f>
        <x:v>737129.0322580646</x:v>
      </x:c>
      <x:c r="M27" s="66"/>
    </x:row>
    <x:row r="28" spans="1:13" ht="30.949999999999999" customHeight="1">
      <x:c r="A28" s="315"/>
      <x:c r="B28" s="54" t="s">
        <x:v>23</x:v>
      </x:c>
      <x:c r="C28" s="309">
        <x:f>3800000/31</x:f>
        <x:v>122580.64516129032</x:v>
      </x:c>
      <x:c r="D28" s="310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0.27040683501763191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SUM('1:3'!$I$27)</x:f>
        <x:v>2171887.0967741939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2.9464137236882415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13000*4</x:f>
        <x:v>52000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opLeftCell="B9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4</x:v>
      </x:c>
      <x:c r="G1" s="68" t="s">
        <x:v>18</x:v>
      </x:c>
      <x:c r="H1" s="52" t="s">
        <x:v>122</x:v>
      </x:c>
      <x:c r="I1" s="52">
        <x:f>F1-K1</x:f>
        <x:v>4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4701000</x:v>
      </x:c>
      <x:c r="D2" s="271"/>
      <x:c r="E2" s="274" t="s">
        <x:v>39</x:v>
      </x:c>
      <x:c r="F2" s="275"/>
      <x:c r="G2" s="263">
        <x:v>129400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4037000</x:v>
      </x:c>
      <x:c r="D4" s="258"/>
      <x:c r="E4" s="273" t="s">
        <x:v>145</x:v>
      </x:c>
      <x:c r="F4" s="273"/>
      <x:c r="G4" s="134">
        <x:f>INT(C4*0.0275)</x:f>
        <x:v>111017</x:v>
      </x:c>
      <x:c r="H4" s="54" t="s">
        <x:v>20</x:v>
      </x:c>
      <x:c r="I4" s="125"/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664000</x:v>
      </x:c>
      <x:c r="D5" s="258"/>
      <x:c r="E5" s="257" t="s">
        <x:v>69</x:v>
      </x:c>
      <x:c r="F5" s="257"/>
      <x:c r="G5" s="134">
        <x:f>INT(C5*0.01)</x:f>
        <x:v>6640</x:v>
      </x:c>
      <x:c r="H5" s="54" t="s">
        <x:v>6</x:v>
      </x:c>
      <x:c r="I5" s="125"/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700000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93400</x:v>
      </x:c>
      <x:c r="D8" s="258"/>
      <x:c r="E8" s="284" t="s">
        <x:v>109</x:v>
      </x:c>
      <x:c r="F8" s="285"/>
      <x:c r="G8" s="290">
        <x:f>C5+G2-G6-C22</x:f>
        <x:v>93400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v>86000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146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10</x:v>
      </x:c>
      <x:c r="D12" s="284" t="s">
        <x:v>132</x:v>
      </x:c>
      <x:c r="E12" s="285"/>
      <x:c r="F12" s="288">
        <x:v>10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SUM('1:4'!$C$12)</x:f>
        <x:v>26</x:v>
      </x:c>
      <x:c r="D13" s="276"/>
      <x:c r="E13" s="277"/>
      <x:c r="F13" s="286">
        <x:f>SUM('1:4'!$F$12)</x:f>
        <x:v>18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31</x:v>
      </x:c>
      <x:c r="D14" s="284" t="s">
        <x:v>94</x:v>
      </x:c>
      <x:c r="E14" s="285"/>
      <x:c r="F14" s="288">
        <x:v>16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SUM('1:4'!$C$14)</x:f>
        <x:v>81</x:v>
      </x:c>
      <x:c r="D15" s="276"/>
      <x:c r="E15" s="277"/>
      <x:c r="F15" s="286">
        <x:f>SUM('1:4'!$F$14)</x:f>
        <x:v>32</x:v>
      </x:c>
      <x:c r="G15" s="287"/>
      <x:c r="H15" s="54" t="s">
        <x:v>105</x:v>
      </x:c>
      <x:c r="I15" s="58"/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3</x:v>
      </x:c>
      <x:c r="D16" s="284" t="s">
        <x:v>116</x:v>
      </x:c>
      <x:c r="E16" s="285"/>
      <x:c r="F16" s="282">
        <x:v>11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SUM('1:4'!$C$16)</x:f>
        <x:v>8</x:v>
      </x:c>
      <x:c r="D17" s="276"/>
      <x:c r="E17" s="277"/>
      <x:c r="F17" s="283">
        <x:f>SUM('1:4'!$F$16)</x:f>
        <x:v>39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12</x:v>
      </x:c>
      <x:c r="D18" s="284" t="s">
        <x:v>129</x:v>
      </x:c>
      <x:c r="E18" s="285"/>
      <x:c r="F18" s="292">
        <x:v>3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SUM('1:4'!$C$18)</x:f>
        <x:v>38</x:v>
      </x:c>
      <x:c r="D19" s="276"/>
      <x:c r="E19" s="277"/>
      <x:c r="F19" s="283">
        <x:f>SUM('1:4'!$F$18)</x:f>
        <x:v>9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63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SUM('1:4'!$F$20)</x:f>
        <x:v>220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0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664000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4701000</x:v>
      </x:c>
      <x:c r="B25" s="272"/>
      <x:c r="C25" s="272">
        <x:f>E25/I1</x:f>
        <x:v>4003250</x:v>
      </x:c>
      <x:c r="D25" s="272"/>
      <x:c r="E25" s="272">
        <x:f>SUM('1:4'!$A$25)</x:f>
        <x:v>16013000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SUM('1:4'!$K$23)</x:f>
        <x:v>679994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0.33188578030350341</x:v>
      </x:c>
      <x:c r="J26" s="64" t="s">
        <x:v>127</x:v>
      </x:c>
      <x:c r="K26" s="65">
        <x:f>K25/$E$25</x:f>
        <x:v>0.042465122088303255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/>
      <x:c r="G27" s="258"/>
      <x:c r="H27" s="112" t="s">
        <x:v>117</x:v>
      </x:c>
      <x:c r="I27" s="113">
        <x:f>SUM(C27:D34,F27:G32)</x:f>
        <x:v>724129.0322580646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0.15403723298405969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SUM('1:4'!$I$27)</x:f>
        <x:v>2896016.1290322584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3.9993095153243052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13000*6</x:f>
        <x:v>78000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opLeftCell="A25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5</x:v>
      </x:c>
      <x:c r="G1" s="68" t="s">
        <x:v>19</x:v>
      </x:c>
      <x:c r="H1" s="52" t="s">
        <x:v>122</x:v>
      </x:c>
      <x:c r="I1" s="52">
        <x:f>F1-K1</x:f>
        <x:v>5</x:v>
      </x:c>
      <x:c r="J1" s="52" t="s">
        <x:v>97</x:v>
      </x:c>
      <x:c r="K1" s="52"/>
    </x:row>
    <x:row r="2" spans="1:11" ht="20.100000000000001" customHeight="1">
      <x:c r="A2" s="326" t="s">
        <x:v>9</x:v>
      </x:c>
      <x:c r="B2" s="327"/>
      <x:c r="C2" s="330">
        <x:f>SUM(C4:D7)</x:f>
        <x:v>5917000</x:v>
      </x:c>
      <x:c r="D2" s="331"/>
      <x:c r="E2" s="274" t="s">
        <x:v>39</x:v>
      </x:c>
      <x:c r="F2" s="275"/>
      <x:c r="G2" s="263">
        <x:v>93400</x:v>
      </x:c>
      <x:c r="H2" s="334" t="s">
        <x:v>6</x:v>
      </x:c>
      <x:c r="I2" s="335"/>
      <x:c r="J2" s="259" t="s">
        <x:v>73</x:v>
      </x:c>
      <x:c r="K2" s="323"/>
    </x:row>
    <x:row r="3" spans="1:11" ht="20.100000000000001" customHeight="1">
      <x:c r="A3" s="328"/>
      <x:c r="B3" s="329"/>
      <x:c r="C3" s="332"/>
      <x:c r="D3" s="333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337" t="s">
        <x:v>22</x:v>
      </x:c>
      <x:c r="B4" s="338"/>
      <x:c r="C4" s="306">
        <x:v>4661000</x:v>
      </x:c>
      <x:c r="D4" s="307"/>
      <x:c r="E4" s="339" t="s">
        <x:v>145</x:v>
      </x:c>
      <x:c r="F4" s="340"/>
      <x:c r="G4" s="134">
        <x:f>INT(C4*0.0275)</x:f>
        <x:v>128177</x:v>
      </x:c>
      <x:c r="H4" s="54" t="s">
        <x:v>20</x:v>
      </x:c>
      <x:c r="I4" s="125"/>
      <x:c r="J4" s="81" t="s">
        <x:v>35</x:v>
      </x:c>
      <x:c r="K4" s="58"/>
    </x:row>
    <x:row r="5" spans="1:11" ht="30.949999999999999" customHeight="1">
      <x:c r="A5" s="337" t="s">
        <x:v>60</x:v>
      </x:c>
      <x:c r="B5" s="338"/>
      <x:c r="C5" s="306">
        <x:v>1256000</x:v>
      </x:c>
      <x:c r="D5" s="307"/>
      <x:c r="E5" s="288" t="s">
        <x:v>69</x:v>
      </x:c>
      <x:c r="F5" s="289"/>
      <x:c r="G5" s="134">
        <x:f>INT(C5*0.01)</x:f>
        <x:v>12560</x:v>
      </x:c>
      <x:c r="H5" s="54" t="s">
        <x:v>6</x:v>
      </x:c>
      <x:c r="I5" s="125"/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1240000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344" t="s">
        <x:v>133</x:v>
      </x:c>
      <x:c r="B8" s="285"/>
      <x:c r="C8" s="297">
        <x:v>109400</x:v>
      </x:c>
      <x:c r="D8" s="298"/>
      <x:c r="E8" s="284" t="s">
        <x:v>109</x:v>
      </x:c>
      <x:c r="F8" s="285"/>
      <x:c r="G8" s="290">
        <x:f>C5+G2-G6</x:f>
        <x:v>109400</x:v>
      </x:c>
      <x:c r="H8" s="54" t="s">
        <x:v>44</x:v>
      </x:c>
      <x:c r="I8" s="125"/>
      <x:c r="J8" s="82"/>
      <x:c r="K8" s="58"/>
    </x:row>
    <x:row r="9" spans="1:11" ht="21.949999999999999" customHeight="1">
      <x:c r="A9" s="345"/>
      <x:c r="B9" s="277"/>
      <x:c r="C9" s="299"/>
      <x:c r="D9" s="300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336" t="s">
        <x:v>142</x:v>
      </x:c>
      <x:c r="B10" s="289"/>
      <x:c r="C10" s="306">
        <x:v>81000</x:v>
      </x:c>
      <x:c r="D10" s="307"/>
      <x:c r="E10" s="288" t="s">
        <x:v>86</x:v>
      </x:c>
      <x:c r="F10" s="289"/>
      <x:c r="G10" s="55"/>
      <x:c r="H10" s="54"/>
      <x:c r="I10" s="125"/>
      <x:c r="J10" s="54" t="s">
        <x:v>52</x:v>
      </x:c>
      <x:c r="K10" s="58"/>
    </x:row>
    <x:row r="11" spans="1:11" ht="33" customHeight="1">
      <x:c r="A11" s="336" t="s">
        <x:v>102</x:v>
      </x:c>
      <x:c r="B11" s="289"/>
      <x:c r="C11" s="341" t="s">
        <x:v>155</x:v>
      </x:c>
      <x:c r="D11" s="342"/>
      <x:c r="E11" s="342"/>
      <x:c r="F11" s="342"/>
      <x:c r="G11" s="343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14</x:v>
      </x:c>
      <x:c r="D12" s="284" t="s">
        <x:v>132</x:v>
      </x:c>
      <x:c r="E12" s="285"/>
      <x:c r="F12" s="288">
        <x:v>22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SUM('1:5'!$C$12)</x:f>
        <x:v>40</x:v>
      </x:c>
      <x:c r="D13" s="276"/>
      <x:c r="E13" s="277"/>
      <x:c r="F13" s="286">
        <x:f>SUM('1:5'!$F$12)</x:f>
        <x:v>40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36</x:v>
      </x:c>
      <x:c r="D14" s="284" t="s">
        <x:v>94</x:v>
      </x:c>
      <x:c r="E14" s="285"/>
      <x:c r="F14" s="288">
        <x:v>10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SUM('1:5'!$C$14)</x:f>
        <x:v>117</x:v>
      </x:c>
      <x:c r="D15" s="276"/>
      <x:c r="E15" s="277"/>
      <x:c r="F15" s="286">
        <x:f>SUM('1:5'!$F$14)</x:f>
        <x:v>42</x:v>
      </x:c>
      <x:c r="G15" s="287"/>
      <x:c r="H15" s="54" t="s">
        <x:v>105</x:v>
      </x:c>
      <x:c r="I15" s="58"/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5</x:v>
      </x:c>
      <x:c r="D16" s="284" t="s">
        <x:v>116</x:v>
      </x:c>
      <x:c r="E16" s="285"/>
      <x:c r="F16" s="324">
        <x:v>12</x:v>
      </x:c>
      <x:c r="G16" s="325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SUM('1:5'!$C$16)</x:f>
        <x:v>13</x:v>
      </x:c>
      <x:c r="D17" s="276"/>
      <x:c r="E17" s="277"/>
      <x:c r="F17" s="286">
        <x:f>SUM('1:5'!$F$16)</x:f>
        <x:v>51</x:v>
      </x:c>
      <x:c r="G17" s="287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11</x:v>
      </x:c>
      <x:c r="D18" s="284" t="s">
        <x:v>129</x:v>
      </x:c>
      <x:c r="E18" s="285"/>
      <x:c r="F18" s="324">
        <x:v>13</x:v>
      </x:c>
      <x:c r="G18" s="32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SUM('1:5'!$C$18)</x:f>
        <x:v>49</x:v>
      </x:c>
      <x:c r="D19" s="276"/>
      <x:c r="E19" s="277"/>
      <x:c r="F19" s="286">
        <x:f>SUM('1:5'!$F$18)</x:f>
        <x:v>22</x:v>
      </x:c>
      <x:c r="G19" s="287"/>
      <x:c r="H19" s="58"/>
      <x:c r="I19" s="58"/>
      <x:c r="J19" s="54"/>
      <x:c r="K19" s="58"/>
      <x:c r="L19" s="60"/>
      <x:c r="M19" s="11"/>
    </x:row>
    <x:row r="20" spans="1:13" ht="21.949999999999999" customHeight="1">
      <x:c r="A20" s="133"/>
      <x:c r="C20" s="133"/>
      <x:c r="D20" s="288" t="s">
        <x:v>112</x:v>
      </x:c>
      <x:c r="E20" s="289"/>
      <x:c r="F20" s="324">
        <x:v>69</x:v>
      </x:c>
      <x:c r="G20" s="325"/>
      <x:c r="H20" s="58"/>
      <x:c r="J20" s="54"/>
      <x:c r="K20" s="58"/>
      <x:c r="L20" s="60"/>
      <x:c r="M20" s="11"/>
    </x:row>
    <x:row r="21" spans="1:13" ht="21.949999999999999" customHeight="1">
      <x:c r="A21" s="133"/>
      <x:c r="C21" s="133"/>
      <x:c r="D21" s="288" t="s">
        <x:v>113</x:v>
      </x:c>
      <x:c r="E21" s="289"/>
      <x:c r="F21" s="286">
        <x:f>SUM('1:5'!$F$20)</x:f>
        <x:v>289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336" t="s">
        <x:v>82</x:v>
      </x:c>
      <x:c r="B22" s="289"/>
      <x:c r="C22" s="346"/>
      <x:c r="D22" s="347"/>
      <x:c r="E22" s="347"/>
      <x:c r="F22" s="347"/>
      <x:c r="G22" s="348"/>
      <x:c r="H22" s="54"/>
      <x:c r="J22" s="54"/>
      <x:c r="K22" s="58"/>
      <x:c r="L22" s="60"/>
      <x:c r="M22" s="11"/>
    </x:row>
    <x:row r="23" spans="1:15" ht="34.149999999999999" customHeight="1">
      <x:c r="A23" s="336" t="s">
        <x:v>123</x:v>
      </x:c>
      <x:c r="B23" s="289"/>
      <x:c r="C23" s="320"/>
      <x:c r="D23" s="321"/>
      <x:c r="E23" s="321"/>
      <x:c r="F23" s="321"/>
      <x:c r="G23" s="322"/>
      <x:c r="H23" s="108" t="s">
        <x:v>93</x:v>
      </x:c>
      <x:c r="I23" s="109">
        <x:f>SUM(I4:I22)</x:f>
        <x:v>0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1256000</x:v>
      </x:c>
      <x:c r="O23" s="280"/>
    </x:row>
    <x:row r="24" spans="1:11" ht="34.149999999999999" customHeight="1">
      <x:c r="A24" s="336" t="s">
        <x:v>8</x:v>
      </x:c>
      <x:c r="B24" s="289"/>
      <x:c r="C24" s="288" t="s">
        <x:v>85</x:v>
      </x:c>
      <x:c r="D24" s="289"/>
      <x:c r="E24" s="288" t="s">
        <x:v>100</x:v>
      </x:c>
      <x:c r="F24" s="319"/>
      <x:c r="G24" s="289"/>
      <x:c r="H24" s="108" t="s">
        <x:v>8</x:v>
      </x:c>
      <x:c r="I24" s="110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50">
        <x:f>C2</x:f>
        <x:v>5917000</x:v>
      </x:c>
      <x:c r="B25" s="310"/>
      <x:c r="C25" s="309">
        <x:f>E25/I1</x:f>
        <x:v>4386000</x:v>
      </x:c>
      <x:c r="D25" s="310"/>
      <x:c r="E25" s="309">
        <x:f>SUM('1:5'!$A$25)</x:f>
        <x:v>21930000</x:v>
      </x:c>
      <x:c r="F25" s="318"/>
      <x:c r="G25" s="310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SUM('1:5'!$K$23)</x:f>
        <x:v>679994</x:v>
      </x:c>
    </x:row>
    <x:row r="26" spans="1:11" ht="34.149999999999999" customHeight="1">
      <x:c r="A26" s="336" t="s">
        <x:v>141</x:v>
      </x:c>
      <x:c r="B26" s="289"/>
      <x:c r="C26" s="288"/>
      <x:c r="D26" s="289"/>
      <x:c r="E26" s="306"/>
      <x:c r="F26" s="349"/>
      <x:c r="G26" s="307"/>
      <x:c r="H26" s="108" t="s">
        <x:v>127</x:v>
      </x:c>
      <x:c r="I26" s="111">
        <x:f>I25/$E$25</x:f>
        <x:v>0.24233866849065208</x:v>
      </x:c>
      <x:c r="J26" s="64" t="s">
        <x:v>127</x:v>
      </x:c>
      <x:c r="K26" s="65">
        <x:f>K25/$E$25</x:f>
        <x:v>0.03100747834017328</x:v>
      </x:c>
    </x:row>
    <x:row r="27" spans="1:13" ht="30.949999999999999" customHeight="1">
      <x:c r="A27" s="301" t="s">
        <x:v>140</x:v>
      </x:c>
      <x:c r="B27" s="54" t="s">
        <x:v>43</x:v>
      </x:c>
      <x:c r="C27" s="309">
        <x:f>4000000/31</x:f>
        <x:v>129032.25806451614</x:v>
      </x:c>
      <x:c r="D27" s="310"/>
      <x:c r="E27" s="55" t="s">
        <x:v>150</x:v>
      </x:c>
      <x:c r="F27" s="306"/>
      <x:c r="G27" s="307"/>
      <x:c r="H27" s="112" t="s">
        <x:v>117</x:v>
      </x:c>
      <x:c r="I27" s="113">
        <x:f>SUM(C27:D34,F27:G32)</x:f>
        <x:v>867129.0322580646</x:v>
      </x:c>
      <x:c r="M27" s="66"/>
    </x:row>
    <x:row r="28" spans="1:13" ht="30.949999999999999" customHeight="1">
      <x:c r="A28" s="302"/>
      <x:c r="B28" s="54" t="s">
        <x:v>23</x:v>
      </x:c>
      <x:c r="C28" s="309">
        <x:f>3800000/31</x:f>
        <x:v>122580.64516129032</x:v>
      </x:c>
      <x:c r="D28" s="310"/>
      <x:c r="E28" s="55" t="s">
        <x:v>152</x:v>
      </x:c>
      <x:c r="F28" s="309">
        <x:f>1500000/31</x:f>
        <x:v>48387.096774193546</x:v>
      </x:c>
      <x:c r="G28" s="310"/>
      <x:c r="H28" s="112" t="s">
        <x:v>8</x:v>
      </x:c>
      <x:c r="I28" s="114">
        <x:f>I27/$A$25</x:f>
        <x:v>0.14654876326822117</x:v>
      </x:c>
      <x:c r="M28" s="66"/>
    </x:row>
    <x:row r="29" spans="1:13" ht="30.949999999999999" customHeight="1">
      <x:c r="A29" s="302"/>
      <x:c r="B29" s="54" t="s">
        <x:v>46</x:v>
      </x:c>
      <x:c r="C29" s="309">
        <x:f>3200000/31</x:f>
        <x:v>103225.80645161291</x:v>
      </x:c>
      <x:c r="D29" s="310"/>
      <x:c r="E29" s="55" t="s">
        <x:v>56</x:v>
      </x:c>
      <x:c r="F29" s="306"/>
      <x:c r="G29" s="307"/>
      <x:c r="H29" s="112" t="s">
        <x:v>32</x:v>
      </x:c>
      <x:c r="I29" s="113">
        <x:f>SUM('1:5'!$I$27)</x:f>
        <x:v>3763145.1612903229</x:v>
      </x:c>
      <x:c r="M29" s="66"/>
    </x:row>
    <x:row r="30" spans="1:13" ht="30.949999999999999" customHeight="1">
      <x:c r="A30" s="302"/>
      <x:c r="B30" s="54"/>
      <x:c r="C30" s="351"/>
      <x:c r="D30" s="352"/>
      <x:c r="E30" s="55" t="s">
        <x:v>56</x:v>
      </x:c>
      <x:c r="F30" s="306"/>
      <x:c r="G30" s="307"/>
      <x:c r="H30" s="112" t="s">
        <x:v>127</x:v>
      </x:c>
      <x:c r="I30" s="114">
        <x:f>I29/$I$27</x:f>
        <x:v>4.3397753059782005</x:v>
      </x:c>
      <x:c r="M30" s="66"/>
    </x:row>
    <x:row r="31" spans="1:7" customHeight="1">
      <x:c r="A31" s="302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140000</x:v>
      </x:c>
      <x:c r="G31" s="307"/>
    </x:row>
    <x:row r="32" spans="1:7" customHeight="1">
      <x:c r="A32" s="302"/>
      <x:c r="B32" s="54"/>
      <x:c r="C32" s="304"/>
      <x:c r="D32" s="305"/>
      <x:c r="E32" s="55" t="s">
        <x:v>137</x:v>
      </x:c>
      <x:c r="F32" s="306">
        <x:v>81000</x:v>
      </x:c>
      <x:c r="G32" s="307"/>
    </x:row>
    <x:row r="33" spans="1:5" customHeight="1">
      <x:c r="A33" s="302"/>
      <x:c r="B33" s="54" t="s">
        <x:v>21</x:v>
      </x:c>
      <x:c r="C33" s="304">
        <x:f>13000*10</x:f>
        <x:v>130000</x:v>
      </x:c>
      <x:c r="D33" s="305"/>
      <x:c r="E33" s="55" t="s">
        <x:v>56</x:v>
      </x:c>
    </x:row>
    <x:row r="34" spans="1:4" customHeight="1">
      <x:c r="A34" s="303"/>
      <x:c r="B34" s="54"/>
      <x:c r="C34" s="306"/>
      <x:c r="D34" s="307"/>
    </x:row>
  </x:sheetData>
  <x:mergeCells count="74">
    <x:mergeCell ref="F32:G32"/>
    <x:mergeCell ref="C8:D9"/>
    <x:mergeCell ref="E8:F9"/>
    <x:mergeCell ref="G8:G9"/>
    <x:mergeCell ref="E25:G25"/>
    <x:mergeCell ref="C24:D24"/>
    <x:mergeCell ref="E24:G24"/>
    <x:mergeCell ref="C23:G23"/>
    <x:mergeCell ref="F30:G30"/>
    <x:mergeCell ref="F31:G31"/>
    <x:mergeCell ref="F29:G29"/>
    <x:mergeCell ref="F27:G27"/>
    <x:mergeCell ref="F28:G28"/>
    <x:mergeCell ref="J2:K2"/>
    <x:mergeCell ref="F17:G17"/>
    <x:mergeCell ref="F12:G12"/>
    <x:mergeCell ref="F13:G13"/>
    <x:mergeCell ref="F14:G14"/>
    <x:mergeCell ref="F15:G15"/>
    <x:mergeCell ref="F16:G16"/>
    <x:mergeCell ref="A2:B3"/>
    <x:mergeCell ref="C2:D3"/>
    <x:mergeCell ref="E2:F3"/>
    <x:mergeCell ref="G2:G3"/>
    <x:mergeCell ref="H2:I2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2:B22"/>
    <x:mergeCell ref="C22:G22"/>
    <x:mergeCell ref="D20:E20"/>
    <x:mergeCell ref="F20:G20"/>
    <x:mergeCell ref="D21:E21"/>
    <x:mergeCell ref="F21:G21"/>
    <x:mergeCell ref="F18:G18"/>
    <x:mergeCell ref="F19:G19"/>
    <x:mergeCell ref="N23:O23"/>
    <x:mergeCell ref="A26:B26"/>
    <x:mergeCell ref="C26:D26"/>
    <x:mergeCell ref="E26:G26"/>
    <x:mergeCell ref="A25:B25"/>
    <x:mergeCell ref="C25:D25"/>
    <x:mergeCell ref="A24:B24"/>
    <x:mergeCell ref="A27:A34"/>
    <x:mergeCell ref="C32:D32"/>
    <x:mergeCell ref="C33:D33"/>
    <x:mergeCell ref="C34:D34"/>
    <x:mergeCell ref="A23:B23"/>
    <x:mergeCell ref="C31:D31"/>
    <x:mergeCell ref="C30:D30"/>
    <x:mergeCell ref="C27:D27"/>
    <x:mergeCell ref="C28:D28"/>
    <x:mergeCell ref="C29:D29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opLeftCell="A10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6</x:v>
      </x:c>
      <x:c r="G1" s="68" t="s">
        <x:v>48</x:v>
      </x:c>
      <x:c r="H1" s="52" t="s">
        <x:v>122</x:v>
      </x:c>
      <x:c r="I1" s="52">
        <x:f>F1-K1</x:f>
        <x:v>6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6040000</x:v>
      </x:c>
      <x:c r="D2" s="271"/>
      <x:c r="E2" s="274" t="s">
        <x:v>39</x:v>
      </x:c>
      <x:c r="F2" s="275"/>
      <x:c r="G2" s="263">
        <x:v>109400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4599000</x:v>
      </x:c>
      <x:c r="D4" s="258"/>
      <x:c r="E4" s="273" t="s">
        <x:v>145</x:v>
      </x:c>
      <x:c r="F4" s="273"/>
      <x:c r="G4" s="134">
        <x:f>INT(C4*0.0275)</x:f>
        <x:v>126472</x:v>
      </x:c>
      <x:c r="H4" s="54" t="s">
        <x:v>20</x:v>
      </x:c>
      <x:c r="I4" s="125"/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1441000</x:v>
      </x:c>
      <x:c r="D5" s="258"/>
      <x:c r="E5" s="257" t="s">
        <x:v>69</x:v>
      </x:c>
      <x:c r="F5" s="257"/>
      <x:c r="G5" s="134">
        <x:f>INT(C5*0.01)</x:f>
        <x:v>14410</x:v>
      </x:c>
      <x:c r="H5" s="54" t="s">
        <x:v>6</x:v>
      </x:c>
      <x:c r="I5" s="125"/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1450000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100400</x:v>
      </x:c>
      <x:c r="D8" s="258"/>
      <x:c r="E8" s="284" t="s">
        <x:v>109</x:v>
      </x:c>
      <x:c r="F8" s="285"/>
      <x:c r="G8" s="290">
        <x:f>C5+G2-G6-C22</x:f>
        <x:v>100400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5</x:v>
      </x:c>
      <x:c r="D12" s="284" t="s">
        <x:v>132</x:v>
      </x:c>
      <x:c r="E12" s="285"/>
      <x:c r="F12" s="288">
        <x:v>9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SUM('1:6'!$C$12)</x:f>
        <x:v>45</x:v>
      </x:c>
      <x:c r="D13" s="276"/>
      <x:c r="E13" s="277"/>
      <x:c r="F13" s="286">
        <x:f>SUM('1:6'!$F$12)</x:f>
        <x:v>49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28</x:v>
      </x:c>
      <x:c r="D14" s="284" t="s">
        <x:v>94</x:v>
      </x:c>
      <x:c r="E14" s="285"/>
      <x:c r="F14" s="288">
        <x:v>20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SUM('1:6'!$C$14)</x:f>
        <x:v>145</x:v>
      </x:c>
      <x:c r="D15" s="276"/>
      <x:c r="E15" s="277"/>
      <x:c r="F15" s="286">
        <x:f>SUM('1:6'!$F$14)</x:f>
        <x:v>62</x:v>
      </x:c>
      <x:c r="G15" s="287"/>
      <x:c r="H15" s="54" t="s">
        <x:v>105</x:v>
      </x:c>
      <x:c r="I15" s="58"/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6</x:v>
      </x:c>
      <x:c r="D16" s="284" t="s">
        <x:v>116</x:v>
      </x:c>
      <x:c r="E16" s="285"/>
      <x:c r="F16" s="282">
        <x:v>22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SUM('1:6'!$C$16)</x:f>
        <x:v>19</x:v>
      </x:c>
      <x:c r="D17" s="276"/>
      <x:c r="E17" s="277"/>
      <x:c r="F17" s="283">
        <x:f>SUM('1:6'!$F$16)</x:f>
        <x:v>73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18</x:v>
      </x:c>
      <x:c r="D18" s="284" t="s">
        <x:v>129</x:v>
      </x:c>
      <x:c r="E18" s="285"/>
      <x:c r="F18" s="292">
        <x:v>5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SUM('1:6'!$C$18)</x:f>
        <x:v>67</x:v>
      </x:c>
      <x:c r="D19" s="276"/>
      <x:c r="E19" s="277"/>
      <x:c r="F19" s="283">
        <x:f>SUM('1:6'!$F$18)</x:f>
        <x:v>27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90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SUM('1:6'!$F$20)</x:f>
        <x:v>379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0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1441000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6040000</x:v>
      </x:c>
      <x:c r="B25" s="272"/>
      <x:c r="C25" s="272">
        <x:f>E25/I1</x:f>
        <x:v>4661666.666666667</x:v>
      </x:c>
      <x:c r="D25" s="272"/>
      <x:c r="E25" s="272">
        <x:f>SUM('1:6'!$A$25)</x:f>
        <x:v>27970000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SUM('1:6'!$K$23)</x:f>
        <x:v>679994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0.19000668573471577</x:v>
      </x:c>
      <x:c r="J26" s="64" t="s">
        <x:v>127</x:v>
      </x:c>
      <x:c r="K26" s="65">
        <x:f>K25/$E$25</x:f>
        <x:v>0.024311548087236325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13000*5.25</x:f>
        <x:v>68250</x:v>
      </x:c>
      <x:c r="G27" s="258"/>
      <x:c r="H27" s="112" t="s">
        <x:v>117</x:v>
      </x:c>
      <x:c r="I27" s="115">
        <x:f>SUM(C27:D34,F27:G32)</x:f>
        <x:v>788379.0322580646</x:v>
      </x:c>
      <x:c r="M27" s="66"/>
    </x:row>
    <x:row r="28" spans="1:13" ht="30.949999999999999" customHeight="1">
      <x:c r="A28" s="315"/>
      <x:c r="B28" s="54" t="s">
        <x:v>23</x:v>
      </x:c>
      <x:c r="C28" s="309">
        <x:f>3800000/31</x:f>
        <x:v>122580.64516129032</x:v>
      </x:c>
      <x:c r="D28" s="310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0.13052632984405044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SUM('1:6'!$I$27)</x:f>
        <x:v>4551524.1935483878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5.773268957333852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152000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13000*4</x:f>
        <x:v>52000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opLeftCell="A20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7</x:v>
      </x:c>
      <x:c r="G1" s="68" t="s">
        <x:v>61</x:v>
      </x:c>
      <x:c r="H1" s="52" t="s">
        <x:v>122</x:v>
      </x:c>
      <x:c r="I1" s="52">
        <x:f>F1-K1</x:f>
        <x:v>7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5085000</x:v>
      </x:c>
      <x:c r="D2" s="271"/>
      <x:c r="E2" s="274" t="s">
        <x:v>39</x:v>
      </x:c>
      <x:c r="F2" s="275"/>
      <x:c r="G2" s="263">
        <x:v>100400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4277000</x:v>
      </x:c>
      <x:c r="D4" s="258"/>
      <x:c r="E4" s="273" t="s">
        <x:v>145</x:v>
      </x:c>
      <x:c r="F4" s="273"/>
      <x:c r="G4" s="134">
        <x:f>INT(C4*0.0275)</x:f>
        <x:v>117617</x:v>
      </x:c>
      <x:c r="H4" s="54" t="s">
        <x:v>20</x:v>
      </x:c>
      <x:c r="I4" s="125"/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808000</x:v>
      </x:c>
      <x:c r="D5" s="258"/>
      <x:c r="E5" s="257" t="s">
        <x:v>69</x:v>
      </x:c>
      <x:c r="F5" s="257"/>
      <x:c r="G5" s="134">
        <x:f>INT(C5*0.01)</x:f>
        <x:v>8080</x:v>
      </x:c>
      <x:c r="H5" s="54" t="s">
        <x:v>6</x:v>
      </x:c>
      <x:c r="I5" s="125"/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700000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210200</x:v>
      </x:c>
      <x:c r="D8" s="258"/>
      <x:c r="E8" s="284" t="s">
        <x:v>109</x:v>
      </x:c>
      <x:c r="F8" s="285"/>
      <x:c r="G8" s="290">
        <x:f>C5+G2-G6-C22</x:f>
        <x:v>208400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11</x:v>
      </x:c>
      <x:c r="D12" s="284" t="s">
        <x:v>132</x:v>
      </x:c>
      <x:c r="E12" s="285"/>
      <x:c r="F12" s="288">
        <x:v>5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SUM('1:7'!$C$12)</x:f>
        <x:v>56</x:v>
      </x:c>
      <x:c r="D13" s="276"/>
      <x:c r="E13" s="277"/>
      <x:c r="F13" s="286">
        <x:f>SUM('1:7'!$F$12)</x:f>
        <x:v>54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35</x:v>
      </x:c>
      <x:c r="D14" s="284" t="s">
        <x:v>94</x:v>
      </x:c>
      <x:c r="E14" s="285"/>
      <x:c r="F14" s="288">
        <x:v>19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SUM('1:7'!$C$14)</x:f>
        <x:v>180</x:v>
      </x:c>
      <x:c r="D15" s="276"/>
      <x:c r="E15" s="277"/>
      <x:c r="F15" s="286">
        <x:f>SUM('1:7'!$F$14)</x:f>
        <x:v>81</x:v>
      </x:c>
      <x:c r="G15" s="287"/>
      <x:c r="H15" s="54" t="s">
        <x:v>105</x:v>
      </x:c>
      <x:c r="I15" s="58"/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8</x:v>
      </x:c>
      <x:c r="D16" s="284" t="s">
        <x:v>116</x:v>
      </x:c>
      <x:c r="E16" s="285"/>
      <x:c r="F16" s="282">
        <x:v>8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SUM('1:7'!$C$16)</x:f>
        <x:v>27</x:v>
      </x:c>
      <x:c r="D17" s="276"/>
      <x:c r="E17" s="277"/>
      <x:c r="F17" s="283">
        <x:f>SUM('1:7'!$F$16)</x:f>
        <x:v>81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28</x:v>
      </x:c>
      <x:c r="D18" s="284" t="s">
        <x:v>129</x:v>
      </x:c>
      <x:c r="E18" s="285"/>
      <x:c r="F18" s="292">
        <x:v>7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SUM('1:7'!$C$18)</x:f>
        <x:v>95</x:v>
      </x:c>
      <x:c r="D19" s="276"/>
      <x:c r="E19" s="277"/>
      <x:c r="F19" s="283">
        <x:f>SUM('1:7'!$F$18)</x:f>
        <x:v>34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59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SUM('1:7'!$F$20)</x:f>
        <x:v>438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0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808000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5085000</x:v>
      </x:c>
      <x:c r="B25" s="272"/>
      <x:c r="C25" s="272">
        <x:f>E25/I1</x:f>
        <x:v>4722142.8571428573</x:v>
      </x:c>
      <x:c r="D25" s="272"/>
      <x:c r="E25" s="272">
        <x:f>SUM('1:7'!$A$25)</x:f>
        <x:v>33055000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SUM('1:7'!$K$23)</x:f>
        <x:v>679994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0.16077709877476931</x:v>
      </x:c>
      <x:c r="J26" s="64" t="s">
        <x:v>127</x:v>
      </x:c>
      <x:c r="K26" s="65">
        <x:f>K25/$E$25</x:f>
        <x:v>0.02057159279987899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</x:f>
        <x:v>65000</x:v>
      </x:c>
      <x:c r="G27" s="258"/>
      <x:c r="H27" s="112" t="s">
        <x:v>117</x:v>
      </x:c>
      <x:c r="I27" s="113">
        <x:f>SUM(C27:D34,F27:G32)</x:f>
        <x:v>837129.0322580646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0.1646271449868367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SUM('1:7'!$I$27)</x:f>
        <x:v>5388653.2258064523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>
        <x:f>13000*8</x:f>
        <x:v>104000</x:v>
      </x:c>
      <x:c r="G30" s="307"/>
      <x:c r="H30" s="112" t="s">
        <x:v>127</x:v>
      </x:c>
      <x:c r="I30" s="114">
        <x:f>I29/$I$27</x:f>
        <x:v>6.4370640823089671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152000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/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opLeftCell="A1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8</x:v>
      </x:c>
      <x:c r="G1" s="68" t="s">
        <x:v>27</x:v>
      </x:c>
      <x:c r="H1" s="52" t="s">
        <x:v>122</x:v>
      </x:c>
      <x:c r="I1" s="52">
        <x:f>F1-K1</x:f>
        <x:v>8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4013500</x:v>
      </x:c>
      <x:c r="D2" s="271"/>
      <x:c r="E2" s="274" t="s">
        <x:v>39</x:v>
      </x:c>
      <x:c r="F2" s="275"/>
      <x:c r="G2" s="263">
        <x:v>210200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2961500</x:v>
      </x:c>
      <x:c r="D4" s="258"/>
      <x:c r="E4" s="273" t="s">
        <x:v>145</x:v>
      </x:c>
      <x:c r="F4" s="273"/>
      <x:c r="G4" s="134">
        <x:f>INT(C4*0.0275)</x:f>
        <x:v>81441</x:v>
      </x:c>
      <x:c r="H4" s="54" t="s">
        <x:v>20</x:v>
      </x:c>
      <x:c r="I4" s="125"/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1052000</x:v>
      </x:c>
      <x:c r="D5" s="258"/>
      <x:c r="E5" s="257" t="s">
        <x:v>69</x:v>
      </x:c>
      <x:c r="F5" s="257"/>
      <x:c r="G5" s="134">
        <x:f>INT(C5*0.01)</x:f>
        <x:v>10520</x:v>
      </x:c>
      <x:c r="H5" s="54" t="s">
        <x:v>6</x:v>
      </x:c>
      <x:c r="I5" s="125">
        <x:f>100000+69000+72000+31980+15900+45430+39490+44000+16720</x:f>
        <x:v>434520</x:v>
      </x:c>
      <x:c r="J5" s="82"/>
      <x:c r="K5" s="58"/>
    </x:row>
    <x:row r="6" spans="1:13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1100000</x:v>
      </x:c>
      <x:c r="H6" s="54"/>
      <x:c r="I6" s="125"/>
      <x:c r="J6" s="82" t="s">
        <x:v>126</x:v>
      </x:c>
      <x:c r="K6" s="58"/>
      <x:c r="M6" s="125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162300</x:v>
      </x:c>
      <x:c r="D8" s="258"/>
      <x:c r="E8" s="284" t="s">
        <x:v>109</x:v>
      </x:c>
      <x:c r="F8" s="285"/>
      <x:c r="G8" s="290">
        <x:f>C5+G2-G6-C22</x:f>
        <x:v>162200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11</x:v>
      </x:c>
      <x:c r="D12" s="284" t="s">
        <x:v>132</x:v>
      </x:c>
      <x:c r="E12" s="285"/>
      <x:c r="F12" s="288">
        <x:v>7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SUM('1:8'!$C$12)</x:f>
        <x:v>67</x:v>
      </x:c>
      <x:c r="D13" s="276"/>
      <x:c r="E13" s="277"/>
      <x:c r="F13" s="286">
        <x:f>SUM('1:8'!$F$12)</x:f>
        <x:v>61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15</x:v>
      </x:c>
      <x:c r="D14" s="284" t="s">
        <x:v>94</x:v>
      </x:c>
      <x:c r="E14" s="285"/>
      <x:c r="F14" s="288">
        <x:v>20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SUM('1:8'!$C$14)</x:f>
        <x:v>195</x:v>
      </x:c>
      <x:c r="D15" s="276"/>
      <x:c r="E15" s="277"/>
      <x:c r="F15" s="286">
        <x:f>SUM('1:8'!$F$14)</x:f>
        <x:v>101</x:v>
      </x:c>
      <x:c r="G15" s="287"/>
      <x:c r="H15" s="54" t="s">
        <x:v>105</x:v>
      </x:c>
      <x:c r="I15" s="58"/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3</x:v>
      </x:c>
      <x:c r="D16" s="284" t="s">
        <x:v>116</x:v>
      </x:c>
      <x:c r="E16" s="285"/>
      <x:c r="F16" s="282">
        <x:v>9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SUM('1:8'!$C$16)</x:f>
        <x:v>30</x:v>
      </x:c>
      <x:c r="D17" s="276"/>
      <x:c r="E17" s="277"/>
      <x:c r="F17" s="283">
        <x:f>SUM('1:8'!$F$16)</x:f>
        <x:v>90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11</x:v>
      </x:c>
      <x:c r="D18" s="284" t="s">
        <x:v>129</x:v>
      </x:c>
      <x:c r="E18" s="285"/>
      <x:c r="F18" s="292">
        <x:v>6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SUM('1:8'!$C$18)</x:f>
        <x:v>106</x:v>
      </x:c>
      <x:c r="D19" s="276"/>
      <x:c r="E19" s="277"/>
      <x:c r="F19" s="283">
        <x:f>SUM('1:8'!$F$18)</x:f>
        <x:v>40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55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SUM('1:8'!$F$20)</x:f>
        <x:v>493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434520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1052000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0.10826460695153856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4013500</x:v>
      </x:c>
      <x:c r="B25" s="272"/>
      <x:c r="C25" s="272">
        <x:f>E25/I1</x:f>
        <x:v>4633562.5</x:v>
      </x:c>
      <x:c r="D25" s="272"/>
      <x:c r="E25" s="272">
        <x:f>SUM('1:8'!$A$25)</x:f>
        <x:v>37068500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SUM('1:8'!$K$23)</x:f>
        <x:v>679994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0.14336935673145662</x:v>
      </x:c>
      <x:c r="J26" s="64" t="s">
        <x:v>127</x:v>
      </x:c>
      <x:c r="K26" s="65">
        <x:f>K25/$E$25</x:f>
        <x:v>0.018344254555754887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</x:f>
        <x:v>65000</x:v>
      </x:c>
      <x:c r="G27" s="258"/>
      <x:c r="H27" s="112" t="s">
        <x:v>117</x:v>
      </x:c>
      <x:c r="I27" s="113">
        <x:f>SUM(C27:D34,F27:G32)</x:f>
        <x:v>721129.0322580646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0.17967585206380082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SUM('1:8'!$I$27)</x:f>
        <x:v>6109782.2580645168</x:v>
      </x:c>
      <x:c r="M29" s="66" t="s">
        <x:v>62</x:v>
      </x:c>
    </x:row>
    <x:row r="30" spans="1:13" ht="30.949999999999999" customHeight="1">
      <x:c r="A30" s="315"/>
      <x:c r="B30" s="54"/>
      <x:c r="C30" s="351"/>
      <x:c r="D30" s="352"/>
      <x:c r="E30" s="55" t="s">
        <x:v>56</x:v>
      </x:c>
      <x:c r="F30" s="306"/>
      <x:c r="G30" s="307"/>
      <x:c r="H30" s="112" t="s">
        <x:v>127</x:v>
      </x:c>
      <x:c r="I30" s="114">
        <x:f>I29/$I$27</x:f>
        <x:v>8.4725229255200176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140000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/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opLeftCell="B15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9</x:v>
      </x:c>
      <x:c r="G1" s="68" t="s">
        <x:v>49</x:v>
      </x:c>
      <x:c r="H1" s="52" t="s">
        <x:v>122</x:v>
      </x:c>
      <x:c r="I1" s="52">
        <x:f>F1-K1</x:f>
        <x:v>9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4853000</x:v>
      </x:c>
      <x:c r="D2" s="271"/>
      <x:c r="E2" s="274" t="s">
        <x:v>39</x:v>
      </x:c>
      <x:c r="F2" s="275"/>
      <x:c r="G2" s="263">
        <x:v>162300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4311000</x:v>
      </x:c>
      <x:c r="D4" s="258"/>
      <x:c r="E4" s="273" t="s">
        <x:v>145</x:v>
      </x:c>
      <x:c r="F4" s="273"/>
      <x:c r="G4" s="134">
        <x:f>INT(C4*0.0275)</x:f>
        <x:v>118552</x:v>
      </x:c>
      <x:c r="H4" s="54" t="s">
        <x:v>20</x:v>
      </x:c>
      <x:c r="I4" s="125"/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542000</x:v>
      </x:c>
      <x:c r="D5" s="258"/>
      <x:c r="E5" s="257" t="s">
        <x:v>69</x:v>
      </x:c>
      <x:c r="F5" s="257"/>
      <x:c r="G5" s="134">
        <x:f>INT(C5*0.01)</x:f>
        <x:v>5420</x:v>
      </x:c>
      <x:c r="H5" s="54" t="s">
        <x:v>6</x:v>
      </x:c>
      <x:c r="I5" s="125"/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560000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144400</x:v>
      </x:c>
      <x:c r="D8" s="258"/>
      <x:c r="E8" s="284" t="s">
        <x:v>109</x:v>
      </x:c>
      <x:c r="F8" s="285"/>
      <x:c r="G8" s="290">
        <x:f>C5+G2-G6-C22</x:f>
        <x:v>144300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f>52000+57000</x:f>
        <x:v>109000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163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18</x:v>
      </x:c>
      <x:c r="D12" s="284" t="s">
        <x:v>132</x:v>
      </x:c>
      <x:c r="E12" s="285"/>
      <x:c r="F12" s="288">
        <x:v>1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SUM('1:9'!$C$12)</x:f>
        <x:v>85</x:v>
      </x:c>
      <x:c r="D13" s="276"/>
      <x:c r="E13" s="277"/>
      <x:c r="F13" s="286">
        <x:f>SUM('1:9'!$F$12)</x:f>
        <x:v>62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42</x:v>
      </x:c>
      <x:c r="D14" s="284" t="s">
        <x:v>94</x:v>
      </x:c>
      <x:c r="E14" s="285"/>
      <x:c r="F14" s="288">
        <x:v>16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SUM('1:9'!$C$14)</x:f>
        <x:v>237</x:v>
      </x:c>
      <x:c r="D15" s="276"/>
      <x:c r="E15" s="277"/>
      <x:c r="F15" s="286">
        <x:f>SUM('1:9'!$F$14)</x:f>
        <x:v>117</x:v>
      </x:c>
      <x:c r="G15" s="287"/>
      <x:c r="H15" s="54" t="s">
        <x:v>105</x:v>
      </x:c>
      <x:c r="I15" s="58"/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4</x:v>
      </x:c>
      <x:c r="D16" s="284" t="s">
        <x:v>116</x:v>
      </x:c>
      <x:c r="E16" s="285"/>
      <x:c r="F16" s="282">
        <x:v>7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SUM('1:9'!$C$16)</x:f>
        <x:v>34</x:v>
      </x:c>
      <x:c r="D17" s="276"/>
      <x:c r="E17" s="277"/>
      <x:c r="F17" s="283">
        <x:f>SUM('1:9'!$F$16)</x:f>
        <x:v>97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22</x:v>
      </x:c>
      <x:c r="D18" s="284" t="s">
        <x:v>129</x:v>
      </x:c>
      <x:c r="E18" s="285"/>
      <x:c r="F18" s="292">
        <x:v>10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SUM('1:9'!$C$18)</x:f>
        <x:v>128</x:v>
      </x:c>
      <x:c r="D19" s="276"/>
      <x:c r="E19" s="277"/>
      <x:c r="F19" s="283">
        <x:f>SUM('1:9'!$F$18)</x:f>
        <x:v>50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64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SUM('1:9'!$F$20)</x:f>
        <x:v>557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0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542000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4853000</x:v>
      </x:c>
      <x:c r="B25" s="272"/>
      <x:c r="C25" s="272">
        <x:f>E25/I1</x:f>
        <x:v>4657944.444444444</x:v>
      </x:c>
      <x:c r="D25" s="272"/>
      <x:c r="E25" s="272">
        <x:f>SUM('1:9'!$A$25)</x:f>
        <x:v>41921500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SUM('1:9'!$K$23)</x:f>
        <x:v>679994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0.12677234831768902</x:v>
      </x:c>
      <x:c r="J26" s="64" t="s">
        <x:v>127</x:v>
      </x:c>
      <x:c r="K26" s="65">
        <x:f>K25/$E$25</x:f>
        <x:v>0.016220650501532628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13000*4.5</x:f>
        <x:v>58500</x:v>
      </x:c>
      <x:c r="G27" s="258"/>
      <x:c r="H27" s="112" t="s">
        <x:v>117</x:v>
      </x:c>
      <x:c r="I27" s="113">
        <x:f>SUM(C27:D34,F27:G32)</x:f>
        <x:v>766629.0322580646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0.15797012822131973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SUM('1:9'!$I$27)</x:f>
        <x:v>6876411.2903225813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8.9696724243125541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140000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13000*4</x:f>
        <x:v>52000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opLeftCell="A15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10</x:v>
      </x:c>
      <x:c r="G1" s="68" t="s">
        <x:v>28</x:v>
      </x:c>
      <x:c r="H1" s="52" t="s">
        <x:v>122</x:v>
      </x:c>
      <x:c r="I1" s="52">
        <x:f>F1-K1</x:f>
        <x:v>10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3707000</x:v>
      </x:c>
      <x:c r="D2" s="271"/>
      <x:c r="E2" s="274" t="s">
        <x:v>39</x:v>
      </x:c>
      <x:c r="F2" s="275"/>
      <x:c r="G2" s="263">
        <x:v>144400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3186000</x:v>
      </x:c>
      <x:c r="D4" s="258"/>
      <x:c r="E4" s="273" t="s">
        <x:v>145</x:v>
      </x:c>
      <x:c r="F4" s="273"/>
      <x:c r="G4" s="134">
        <x:f>INT(C4*0.0275)</x:f>
        <x:v>87615</x:v>
      </x:c>
      <x:c r="H4" s="54" t="s">
        <x:v>20</x:v>
      </x:c>
      <x:c r="I4" s="125">
        <x:f>452000</x:f>
        <x:v>452000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521000</x:v>
      </x:c>
      <x:c r="D5" s="258"/>
      <x:c r="E5" s="257" t="s">
        <x:v>69</x:v>
      </x:c>
      <x:c r="F5" s="257"/>
      <x:c r="G5" s="134">
        <x:f>INT(C5*0.01)</x:f>
        <x:v>5210</x:v>
      </x:c>
      <x:c r="H5" s="54" t="s">
        <x:v>6</x:v>
      </x:c>
      <x:c r="I5" s="125">
        <x:f>29656+100000+69000+30300</x:f>
        <x:v>228956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530000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135400</x:v>
      </x:c>
      <x:c r="D8" s="258"/>
      <x:c r="E8" s="284" t="s">
        <x:v>109</x:v>
      </x:c>
      <x:c r="F8" s="285"/>
      <x:c r="G8" s="290">
        <x:f>C5+G2-G6-C22</x:f>
        <x:v>135400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v>237000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163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8</x:v>
      </x:c>
      <x:c r="D12" s="284" t="s">
        <x:v>132</x:v>
      </x:c>
      <x:c r="E12" s="285"/>
      <x:c r="F12" s="288">
        <x:v>5</x:v>
      </x:c>
      <x:c r="G12" s="289"/>
      <x:c r="H12" s="54" t="s">
        <x:v>101</x:v>
      </x:c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SUM('1:10'!$C$12)</x:f>
        <x:v>93</x:v>
      </x:c>
      <x:c r="D13" s="276"/>
      <x:c r="E13" s="277"/>
      <x:c r="F13" s="286">
        <x:f>SUM('1:10'!$F$12)</x:f>
        <x:v>67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15</x:v>
      </x:c>
      <x:c r="D14" s="284" t="s">
        <x:v>94</x:v>
      </x:c>
      <x:c r="E14" s="285"/>
      <x:c r="F14" s="288">
        <x:v>4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SUM('1:10'!$C$14)</x:f>
        <x:v>252</x:v>
      </x:c>
      <x:c r="D15" s="276"/>
      <x:c r="E15" s="277"/>
      <x:c r="F15" s="286">
        <x:f>SUM('1:10'!$F$14)</x:f>
        <x:v>121</x:v>
      </x:c>
      <x:c r="G15" s="287"/>
      <x:c r="H15" s="54" t="s">
        <x:v>105</x:v>
      </x:c>
      <x:c r="I15" s="58">
        <x:f>7500+22400+10000+30000+44000+11800+90000+800+12500+7000+13000+22000</x:f>
        <x:v>271000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5</x:v>
      </x:c>
      <x:c r="D16" s="284" t="s">
        <x:v>116</x:v>
      </x:c>
      <x:c r="E16" s="285"/>
      <x:c r="F16" s="282">
        <x:v>8</x:v>
      </x:c>
      <x:c r="G16" s="282"/>
      <x:c r="H16" s="54"/>
      <x:c r="I16" s="58"/>
      <x:c r="J16" s="54" t="s">
        <x:v>96</x:v>
      </x:c>
      <x:c r="K16" s="58">
        <x:f>373460+74361</x:f>
        <x:v>447821</x:v>
      </x:c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SUM('1:10'!$C$16)</x:f>
        <x:v>39</x:v>
      </x:c>
      <x:c r="D17" s="276"/>
      <x:c r="E17" s="277"/>
      <x:c r="F17" s="283">
        <x:f>F19</x:f>
        <x:v>52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14</x:v>
      </x:c>
      <x:c r="D18" s="284" t="s">
        <x:v>129</x:v>
      </x:c>
      <x:c r="E18" s="285"/>
      <x:c r="F18" s="292">
        <x:v>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SUM('1:10'!$C$18)</x:f>
        <x:v>142</x:v>
      </x:c>
      <x:c r="D19" s="276"/>
      <x:c r="E19" s="277"/>
      <x:c r="F19" s="283">
        <x:f>SUM('1:10'!$F$18)</x:f>
        <x:v>52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62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SUM('1:10'!$F$20)</x:f>
        <x:v>619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951956</x:v>
      </x:c>
      <x:c r="J23" s="61" t="s">
        <x:v>118</x:v>
      </x:c>
      <x:c r="K23" s="62">
        <x:f>SUM(K4:K22)</x:f>
        <x:v>447821</x:v>
      </x:c>
      <x:c r="M23" s="89" t="s">
        <x:v>92</x:v>
      </x:c>
      <x:c r="N23" s="279">
        <x:f>C5+C6</x:f>
        <x:v>521000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0.25679956838413814</x:v>
      </x:c>
      <x:c r="J24" s="61" t="s">
        <x:v>8</x:v>
      </x:c>
      <x:c r="K24" s="63">
        <x:f>K23/A25</x:f>
        <x:v>0.12080415430267062</x:v>
      </x:c>
    </x:row>
    <x:row r="25" spans="1:11" ht="34.149999999999999" customHeight="1">
      <x:c r="A25" s="308">
        <x:f>C2</x:f>
        <x:v>3707000</x:v>
      </x:c>
      <x:c r="B25" s="272"/>
      <x:c r="C25" s="272">
        <x:f>E25/I1</x:f>
        <x:v>4562850</x:v>
      </x:c>
      <x:c r="D25" s="272"/>
      <x:c r="E25" s="272">
        <x:f>SUM('1:10'!$A$25)</x:f>
        <x:v>45628500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SUM('1:10'!$K$21)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0.1164729719363994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</x:f>
        <x:v>65000</x:v>
      </x:c>
      <x:c r="G27" s="258"/>
      <x:c r="H27" s="112" t="s">
        <x:v>117</x:v>
      </x:c>
      <x:c r="I27" s="113">
        <x:f>SUM(C27:D34,F27:G32)</x:f>
        <x:v>746629.0322580646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0.20141058329054887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SUM('1:10'!$I$25)</x:f>
        <x:v>53144870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71.179752867728055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13000*3.5</x:f>
        <x:v>45500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opLeftCell="A8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11</x:v>
      </x:c>
      <x:c r="G1" s="68" t="s">
        <x:v>18</x:v>
      </x:c>
      <x:c r="H1" s="52" t="s">
        <x:v>122</x:v>
      </x:c>
      <x:c r="I1" s="52">
        <x:f>F1-K1</x:f>
        <x:v>11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4297500</x:v>
      </x:c>
      <x:c r="D2" s="271"/>
      <x:c r="E2" s="274" t="s">
        <x:v>39</x:v>
      </x:c>
      <x:c r="F2" s="275"/>
      <x:c r="G2" s="263">
        <x:v>135400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4095500</x:v>
      </x:c>
      <x:c r="D4" s="258"/>
      <x:c r="E4" s="273" t="s">
        <x:v>145</x:v>
      </x:c>
      <x:c r="F4" s="273"/>
      <x:c r="G4" s="134">
        <x:f>INT(C4*0.0275)</x:f>
        <x:v>112626</x:v>
      </x:c>
      <x:c r="H4" s="54" t="s">
        <x:v>20</x:v>
      </x:c>
      <x:c r="I4" s="125">
        <x:f>442000+452000</x:f>
        <x:v>894000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202000</x:v>
      </x:c>
      <x:c r="D5" s="258"/>
      <x:c r="E5" s="257" t="s">
        <x:v>69</x:v>
      </x:c>
      <x:c r="F5" s="257"/>
      <x:c r="G5" s="134">
        <x:f>INT(C5*0.01)</x:f>
        <x:v>2020</x:v>
      </x:c>
      <x:c r="H5" s="54" t="s">
        <x:v>6</x:v>
      </x:c>
      <x:c r="I5" s="125">
        <x:f>60500+29656+39380+44000+33440+50000</x:f>
        <x:v>256976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200000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127400</x:v>
      </x:c>
      <x:c r="D8" s="258"/>
      <x:c r="E8" s="284" t="s">
        <x:v>109</x:v>
      </x:c>
      <x:c r="F8" s="285"/>
      <x:c r="G8" s="290">
        <x:f>C5+G2-G6-C22</x:f>
        <x:v>137400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v>58000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6" ht="33" customHeight="1">
      <x:c r="A11" s="256" t="s">
        <x:v>102</x:v>
      </x:c>
      <x:c r="B11" s="257"/>
      <x:c r="C11" s="296" t="s">
        <x:v>163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  <x:c r="M11" s="52"/>
      <x:c r="N11" s="52"/>
      <x:c r="O11" s="52"/>
      <x:c r="P11" s="52"/>
    </x:row>
    <x:row r="12" spans="1:12" ht="21.949999999999999" customHeight="1">
      <x:c r="A12" s="59" t="s">
        <x:v>47</x:v>
      </x:c>
      <x:c r="B12" s="294" t="s">
        <x:v>41</x:v>
      </x:c>
      <x:c r="C12" s="80">
        <x:v>13</x:v>
      </x:c>
      <x:c r="D12" s="284" t="s">
        <x:v>132</x:v>
      </x:c>
      <x:c r="E12" s="285"/>
      <x:c r="F12" s="288">
        <x:v>0</x:v>
      </x:c>
      <x:c r="G12" s="289"/>
      <x:c r="H12" s="54" t="s">
        <x:v>101</x:v>
      </x:c>
      <x:c r="I12" s="58"/>
      <x:c r="J12" s="54"/>
      <x:c r="K12" s="58"/>
      <x:c r="L12" s="60"/>
    </x:row>
    <x:row r="13" spans="1:12" ht="21.949999999999999" customHeight="1">
      <x:c r="A13" s="59" t="s">
        <x:v>95</x:v>
      </x:c>
      <x:c r="B13" s="295"/>
      <x:c r="C13" s="135">
        <x:f>SUM('1:11'!$C$12)</x:f>
        <x:v>106</x:v>
      </x:c>
      <x:c r="D13" s="276"/>
      <x:c r="E13" s="277"/>
      <x:c r="F13" s="286">
        <x:f>SUM('1:11'!$F$12)</x:f>
        <x:v>67</x:v>
      </x:c>
      <x:c r="G13" s="287"/>
      <x:c r="H13" s="54" t="s">
        <x:v>125</x:v>
      </x:c>
      <x:c r="I13" s="58"/>
      <x:c r="J13" s="54"/>
      <x:c r="K13" s="58"/>
      <x:c r="L13" s="60"/>
    </x:row>
    <x:row r="14" spans="1:13" ht="21.949999999999999" customHeight="1">
      <x:c r="A14" s="59" t="s">
        <x:v>47</x:v>
      </x:c>
      <x:c r="B14" s="294" t="s">
        <x:v>63</x:v>
      </x:c>
      <x:c r="C14" s="80">
        <x:v>26</x:v>
      </x:c>
      <x:c r="D14" s="284" t="s">
        <x:v>94</x:v>
      </x:c>
      <x:c r="E14" s="285"/>
      <x:c r="F14" s="288">
        <x:v>11</x:v>
      </x:c>
      <x:c r="G14" s="289"/>
      <x:c r="H14" s="54" t="s">
        <x:v>110</x:v>
      </x:c>
      <x:c r="I14" s="58"/>
      <x:c r="J14" s="54"/>
      <x:c r="K14" s="58"/>
      <x:c r="L14" s="60"/>
      <x:c r="M14" s="53" t="s">
        <x:v>151</x:v>
      </x:c>
    </x:row>
    <x:row r="15" spans="1:12" ht="21.949999999999999" customHeight="1">
      <x:c r="A15" s="59" t="s">
        <x:v>95</x:v>
      </x:c>
      <x:c r="B15" s="295"/>
      <x:c r="C15" s="135">
        <x:f>SUM('1:11'!$C$14)</x:f>
        <x:v>278</x:v>
      </x:c>
      <x:c r="D15" s="276"/>
      <x:c r="E15" s="277"/>
      <x:c r="F15" s="286">
        <x:f>SUM('1:11'!$F$14)</x:f>
        <x:v>132</x:v>
      </x:c>
      <x:c r="G15" s="287"/>
      <x:c r="H15" s="54" t="s">
        <x:v>105</x:v>
      </x:c>
      <x:c r="I15" s="58">
        <x:f>7500+22400+20000+20000+35200+90000+9800+7000+44000+10500+5500+52000+12400</x:f>
        <x:v>336300</x:v>
      </x:c>
      <x:c r="J15" s="54" t="s">
        <x:v>73</x:v>
      </x:c>
      <x:c r="K15" s="58"/>
      <x:c r="L15" s="60"/>
    </x:row>
    <x:row r="16" spans="1:12" ht="21.949999999999999" customHeight="1">
      <x:c r="A16" s="59" t="s">
        <x:v>47</x:v>
      </x:c>
      <x:c r="B16" s="294" t="s">
        <x:v>50</x:v>
      </x:c>
      <x:c r="C16" s="80">
        <x:v>3</x:v>
      </x:c>
      <x:c r="D16" s="284" t="s">
        <x:v>116</x:v>
      </x:c>
      <x:c r="E16" s="285"/>
      <x:c r="F16" s="282">
        <x:v>10</x:v>
      </x:c>
      <x:c r="G16" s="282"/>
      <x:c r="H16" s="54"/>
      <x:c r="I16" s="58"/>
      <x:c r="J16" s="54" t="s">
        <x:v>96</x:v>
      </x:c>
      <x:c r="K16" s="58"/>
      <x:c r="L16" s="60"/>
    </x:row>
    <x:row r="17" spans="1:12" ht="21.949999999999999" customHeight="1">
      <x:c r="A17" s="59" t="s">
        <x:v>95</x:v>
      </x:c>
      <x:c r="B17" s="295"/>
      <x:c r="C17" s="135">
        <x:f>SUM('1:11'!$C$16)</x:f>
        <x:v>42</x:v>
      </x:c>
      <x:c r="D17" s="276"/>
      <x:c r="E17" s="277"/>
      <x:c r="F17" s="283">
        <x:f>SUM('1:11'!$F$16)</x:f>
        <x:v>115</x:v>
      </x:c>
      <x:c r="G17" s="283"/>
      <x:c r="H17" s="54" t="s">
        <x:v>7</x:v>
      </x:c>
      <x:c r="I17" s="58"/>
      <x:c r="J17" s="54" t="s">
        <x:v>89</x:v>
      </x:c>
      <x:c r="K17" s="58"/>
      <x:c r="L17" s="60"/>
    </x:row>
    <x:row r="18" spans="1:12" ht="21.949999999999999" customHeight="1">
      <x:c r="A18" s="59" t="s">
        <x:v>47</x:v>
      </x:c>
      <x:c r="B18" s="294" t="s">
        <x:v>90</x:v>
      </x:c>
      <x:c r="C18" s="80">
        <x:v>12</x:v>
      </x:c>
      <x:c r="D18" s="284" t="s">
        <x:v>129</x:v>
      </x:c>
      <x:c r="E18" s="285"/>
      <x:c r="F18" s="292">
        <x:v>2</x:v>
      </x:c>
      <x:c r="G18" s="293"/>
      <x:c r="H18" s="54"/>
      <x:c r="I18" s="58"/>
      <x:c r="J18" s="54"/>
      <x:c r="K18" s="58"/>
      <x:c r="L18" s="60"/>
    </x:row>
    <x:row r="19" spans="1:12" ht="21.949999999999999" customHeight="1">
      <x:c r="A19" s="59" t="s">
        <x:v>95</x:v>
      </x:c>
      <x:c r="B19" s="295"/>
      <x:c r="C19" s="135">
        <x:f>SUM('1:11'!$C$18)</x:f>
        <x:v>154</x:v>
      </x:c>
      <x:c r="D19" s="276"/>
      <x:c r="E19" s="277"/>
      <x:c r="F19" s="283">
        <x:f>SUM('1:11'!$F$18)</x:f>
        <x:v>54</x:v>
      </x:c>
      <x:c r="G19" s="283"/>
      <x:c r="H19" s="58"/>
      <x:c r="I19" s="58"/>
      <x:c r="J19" s="54"/>
      <x:c r="K19" s="58"/>
      <x:c r="L19" s="60"/>
    </x:row>
    <x:row r="20" spans="4:12" ht="21.949999999999999" customHeight="1">
      <x:c r="D20" s="257" t="s">
        <x:v>112</x:v>
      </x:c>
      <x:c r="E20" s="257"/>
      <x:c r="F20" s="282">
        <x:v>59</x:v>
      </x:c>
      <x:c r="G20" s="282"/>
      <x:c r="H20" s="58"/>
      <x:c r="J20" s="54"/>
      <x:c r="K20" s="58"/>
      <x:c r="L20" s="60"/>
    </x:row>
    <x:row r="21" spans="4:12" ht="21.949999999999999" customHeight="1">
      <x:c r="D21" s="257" t="s">
        <x:v>113</x:v>
      </x:c>
      <x:c r="E21" s="257"/>
      <x:c r="F21" s="283">
        <x:f>SUM('1:11'!$F$20)</x:f>
        <x:v>678</x:v>
      </x:c>
      <x:c r="G21" s="283"/>
      <x:c r="H21" s="58"/>
      <x:c r="J21" s="54"/>
      <x:c r="K21" s="58"/>
      <x:c r="L21" s="60"/>
    </x:row>
    <x:row r="22" spans="1:12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1487276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202000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0.34607934845840604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4297500</x:v>
      </x:c>
      <x:c r="B25" s="272"/>
      <x:c r="C25" s="272">
        <x:f>E25/I1</x:f>
        <x:v>4538727.2727272725</x:v>
      </x:c>
      <x:c r="D25" s="272"/>
      <x:c r="E25" s="272">
        <x:f>SUM('1:11'!$A$25)</x:f>
        <x:v>49926000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SUM('1:11'!$K$21)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0.10644728197732645</x:v>
      </x:c>
      <x:c r="J26" s="64" t="s">
        <x:v>127</x:v>
      </x:c>
      <x:c r="K26" s="65">
        <x:f>K25/$E$25</x:f>
        <x:v>0</x:v>
      </x:c>
    </x:row>
    <x:row r="27" spans="1:9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/>
      <x:c r="G27" s="258"/>
      <x:c r="H27" s="112" t="s">
        <x:v>117</x:v>
      </x:c>
      <x:c r="I27" s="113">
        <x:f>SUM(C27:D34,F27:G32)</x:f>
        <x:v>857129.0322580646</x:v>
      </x:c>
    </x:row>
    <x:row r="28" spans="1:9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0.19944829139221981</x:v>
      </x:c>
    </x:row>
    <x:row r="29" spans="1:9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SUM('1:11'!$I$25)</x:f>
        <x:v>58459357</x:v>
      </x:c>
    </x:row>
    <x:row r="30" spans="1:9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68.203683226073537</x:v>
      </x:c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>
        <x:v>81000</x:v>
      </x:c>
      <x:c r="G32" s="307"/>
    </x:row>
    <x:row r="33" spans="1:5" customHeight="1">
      <x:c r="A33" s="315"/>
      <x:c r="B33" s="54" t="s">
        <x:v>21</x:v>
      </x:c>
      <x:c r="C33" s="133">
        <x:f>13000*10</x:f>
        <x:v>130000</x:v>
      </x:c>
      <x:c r="E33" s="55" t="s">
        <x:v>56</x:v>
      </x:c>
    </x:row>
    <x:row r="34" spans="1:4" customHeight="1">
      <x:c r="A34" s="316"/>
      <x:c r="B34" s="54"/>
      <x:c r="C34" s="304"/>
      <x:c r="D34" s="305"/>
    </x:row>
  </x:sheetData>
  <x:mergeCells count="73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opLeftCell="A28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12</x:v>
      </x:c>
      <x:c r="G1" s="68" t="s">
        <x:v>19</x:v>
      </x:c>
      <x:c r="H1" s="52" t="s">
        <x:v>122</x:v>
      </x:c>
      <x:c r="I1" s="52">
        <x:f>F1-K1</x:f>
        <x:v>12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3782200</x:v>
      </x:c>
      <x:c r="D2" s="271"/>
      <x:c r="E2" s="274" t="s">
        <x:v>39</x:v>
      </x:c>
      <x:c r="F2" s="275"/>
      <x:c r="G2" s="263">
        <x:v>127400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3348200</x:v>
      </x:c>
      <x:c r="D4" s="258"/>
      <x:c r="E4" s="273" t="s">
        <x:v>145</x:v>
      </x:c>
      <x:c r="F4" s="273"/>
      <x:c r="G4" s="134">
        <x:f>INT(C4*0.0275)</x:f>
        <x:v>92075</x:v>
      </x:c>
      <x:c r="H4" s="54" t="s">
        <x:v>20</x:v>
      </x:c>
      <x:c r="I4" s="125"/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434000</x:v>
      </x:c>
      <x:c r="D5" s="258"/>
      <x:c r="E5" s="257" t="s">
        <x:v>69</x:v>
      </x:c>
      <x:c r="F5" s="257"/>
      <x:c r="G5" s="134">
        <x:f>INT(C5*0.01)</x:f>
        <x:v>4340</x:v>
      </x:c>
      <x:c r="H5" s="54" t="s">
        <x:v>6</x:v>
      </x:c>
      <x:c r="I5" s="125"/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450000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111400</x:v>
      </x:c>
      <x:c r="D8" s="258"/>
      <x:c r="E8" s="284" t="s">
        <x:v>109</x:v>
      </x:c>
      <x:c r="F8" s="285"/>
      <x:c r="G8" s="290">
        <x:f>C5+G2-G6-C22</x:f>
        <x:v>111400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v>154800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354" t="s">
        <x:v>153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17</x:v>
      </x:c>
      <x:c r="D12" s="284" t="s">
        <x:v>132</x:v>
      </x:c>
      <x:c r="E12" s="285"/>
      <x:c r="F12" s="288">
        <x:v>4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SUM('1:12'!$C$12)</x:f>
        <x:v>123</x:v>
      </x:c>
      <x:c r="D13" s="276"/>
      <x:c r="E13" s="277"/>
      <x:c r="F13" s="286">
        <x:f>SUM('1:12'!$F$12)</x:f>
        <x:v>71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19</x:v>
      </x:c>
      <x:c r="D14" s="284" t="s">
        <x:v>94</x:v>
      </x:c>
      <x:c r="E14" s="285"/>
      <x:c r="F14" s="288">
        <x:v>15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SUM('1:12'!$C$14)</x:f>
        <x:v>297</x:v>
      </x:c>
      <x:c r="D15" s="276"/>
      <x:c r="E15" s="277"/>
      <x:c r="F15" s="286">
        <x:f>SUM('1:12'!$F$14)</x:f>
        <x:v>147</x:v>
      </x:c>
      <x:c r="G15" s="287"/>
      <x:c r="H15" s="54" t="s">
        <x:v>105</x:v>
      </x:c>
      <x:c r="I15" s="58"/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4</x:v>
      </x:c>
      <x:c r="D16" s="284" t="s">
        <x:v>116</x:v>
      </x:c>
      <x:c r="E16" s="285"/>
      <x:c r="F16" s="282">
        <x:v>6</x:v>
      </x:c>
      <x:c r="G16" s="282"/>
      <x:c r="H16" s="54"/>
      <x:c r="I16" s="58"/>
      <x:c r="J16" s="54" t="s">
        <x:v>96</x:v>
      </x:c>
      <x:c r="K16" s="58">
        <x:f>15960+38880</x:f>
        <x:v>54840</x:v>
      </x:c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SUM('1:12'!$C$16)</x:f>
        <x:v>46</x:v>
      </x:c>
      <x:c r="D17" s="276"/>
      <x:c r="E17" s="277"/>
      <x:c r="F17" s="283">
        <x:f>SUM('1:12'!$F$16)</x:f>
        <x:v>121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11</x:v>
      </x:c>
      <x:c r="D18" s="284" t="s">
        <x:v>129</x:v>
      </x:c>
      <x:c r="E18" s="285"/>
      <x:c r="F18" s="292">
        <x:v>3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SUM('1:12'!$C$18)</x:f>
        <x:v>165</x:v>
      </x:c>
      <x:c r="D19" s="276"/>
      <x:c r="E19" s="277"/>
      <x:c r="F19" s="283">
        <x:f>SUM('1:12'!$F$18)</x:f>
        <x:v>57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324">
        <x:v>47</x:v>
      </x:c>
      <x:c r="G20" s="325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SUM('1:12'!$F$20)</x:f>
        <x:v>725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2"/>
      <x:c r="E23" s="312"/>
      <x:c r="F23" s="312"/>
      <x:c r="G23" s="312"/>
      <x:c r="H23" s="108" t="s">
        <x:v>93</x:v>
      </x:c>
      <x:c r="I23" s="109">
        <x:f>SUM(I4:I22)</x:f>
        <x:v>0</x:v>
      </x:c>
      <x:c r="J23" s="61" t="s">
        <x:v>118</x:v>
      </x:c>
      <x:c r="K23" s="62">
        <x:f>SUM(K4:K22)</x:f>
        <x:v>54840</x:v>
      </x:c>
      <x:c r="M23" s="89" t="s">
        <x:v>92</x:v>
      </x:c>
      <x:c r="N23" s="279">
        <x:f>C5+C6</x:f>
        <x:v>434000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</x:v>
      </x:c>
      <x:c r="J24" s="61" t="s">
        <x:v>8</x:v>
      </x:c>
      <x:c r="K24" s="63">
        <x:f>K23/A25</x:f>
        <x:v>0.014499497646872191</x:v>
      </x:c>
    </x:row>
    <x:row r="25" spans="1:11" ht="34.149999999999999" customHeight="1">
      <x:c r="A25" s="308">
        <x:f>C2</x:f>
        <x:v>3782200</x:v>
      </x:c>
      <x:c r="B25" s="272"/>
      <x:c r="C25" s="272">
        <x:f>E25/I1</x:f>
        <x:v>4475683.333333333</x:v>
      </x:c>
      <x:c r="D25" s="272"/>
      <x:c r="E25" s="272">
        <x:f>SUM('1:12'!$A$25)</x:f>
        <x:v>53708200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SUM('1:12'!$K$21)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0.09895112850551685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353"/>
      <x:c r="G27" s="353"/>
      <x:c r="H27" s="112" t="s">
        <x:v>117</x:v>
      </x:c>
      <x:c r="I27" s="113">
        <x:f>SUM(C27:D34,F27:G32)</x:f>
        <x:v>833629.0322580646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355">
        <x:f>1500000/31</x:f>
        <x:v>48387.096774193546</x:v>
      </x:c>
      <x:c r="G28" s="355"/>
      <x:c r="H28" s="112" t="s">
        <x:v>8</x:v>
      </x:c>
      <x:c r="I28" s="114">
        <x:f>I27/$A$25</x:f>
        <x:v>0.22040850094073941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SUM('1:12'!$I$25)</x:f>
        <x:v>63773844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76.501467118119365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>
        <x:v>77000</x:v>
      </x:c>
      <x:c r="G32" s="307"/>
    </x:row>
    <x:row r="33" spans="1:5" customHeight="1">
      <x:c r="A33" s="315"/>
      <x:c r="B33" s="54" t="s">
        <x:v>21</x:v>
      </x:c>
      <x:c r="C33" s="304">
        <x:f>13000*8.5</x:f>
        <x:v>110500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N23:O23"/>
    <x:mergeCell ref="G6:G7"/>
    <x:mergeCell ref="G8:G9"/>
    <x:mergeCell ref="C11:G11"/>
    <x:mergeCell ref="F18:G18"/>
    <x:mergeCell ref="F19:G19"/>
    <x:mergeCell ref="D21:E21"/>
    <x:mergeCell ref="F21:G21"/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F28:G28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opLeftCell="A30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13</x:v>
      </x:c>
      <x:c r="G1" s="68" t="s">
        <x:v>48</x:v>
      </x:c>
      <x:c r="H1" s="52" t="s">
        <x:v>122</x:v>
      </x:c>
      <x:c r="I1" s="52">
        <x:f>F1-K1</x:f>
        <x:v>13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3544500</x:v>
      </x:c>
      <x:c r="D2" s="271"/>
      <x:c r="E2" s="274" t="s">
        <x:v>39</x:v>
      </x:c>
      <x:c r="F2" s="275"/>
      <x:c r="G2" s="263">
        <x:v>111400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3084500</x:v>
      </x:c>
      <x:c r="D4" s="258"/>
      <x:c r="E4" s="273" t="s">
        <x:v>145</x:v>
      </x:c>
      <x:c r="F4" s="273"/>
      <x:c r="G4" s="134">
        <x:f>INT(C4*0.0275)</x:f>
        <x:v>84823</x:v>
      </x:c>
      <x:c r="H4" s="54" t="s">
        <x:v>20</x:v>
      </x:c>
      <x:c r="I4" s="125">
        <x:f>282378+294400+221000+242852</x:f>
        <x:v>1040630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460000</x:v>
      </x:c>
      <x:c r="D5" s="258"/>
      <x:c r="E5" s="257" t="s">
        <x:v>69</x:v>
      </x:c>
      <x:c r="F5" s="257"/>
      <x:c r="G5" s="134">
        <x:f>INT(C5*0.01)</x:f>
        <x:v>4600</x:v>
      </x:c>
      <x:c r="H5" s="54" t="s">
        <x:v>6</x:v>
      </x:c>
      <x:c r="I5" s="125">
        <x:f>16720+29656+45430+100000+69000+36000+3500+14920+15990</x:f>
        <x:v>331216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460000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111400</x:v>
      </x:c>
      <x:c r="D8" s="258"/>
      <x:c r="E8" s="284" t="s">
        <x:v>109</x:v>
      </x:c>
      <x:c r="F8" s="285"/>
      <x:c r="G8" s="290">
        <x:f>C5+G2-G6-C22</x:f>
        <x:v>111400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>
        <x:v>13000</x:v>
      </x:c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7</x:v>
      </x:c>
      <x:c r="D12" s="284" t="s">
        <x:v>132</x:v>
      </x:c>
      <x:c r="E12" s="285"/>
      <x:c r="F12" s="288"/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SUM('1:13'!$C$12)</x:f>
        <x:v>130</x:v>
      </x:c>
      <x:c r="D13" s="276"/>
      <x:c r="E13" s="277"/>
      <x:c r="F13" s="286">
        <x:f>SUM('1:13'!$F$12)</x:f>
        <x:v>71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15</x:v>
      </x:c>
      <x:c r="D14" s="284" t="s">
        <x:v>94</x:v>
      </x:c>
      <x:c r="E14" s="285"/>
      <x:c r="F14" s="288">
        <x:v>6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SUM('1:13'!$C$14)</x:f>
        <x:v>312</x:v>
      </x:c>
      <x:c r="D15" s="276"/>
      <x:c r="E15" s="277"/>
      <x:c r="F15" s="286">
        <x:f>SUM('1:13'!$F$14)</x:f>
        <x:v>153</x:v>
      </x:c>
      <x:c r="G15" s="287"/>
      <x:c r="H15" s="54" t="s">
        <x:v>105</x:v>
      </x:c>
      <x:c r="I15" s="58">
        <x:f>7500+3500+2450+10600+4800+28000+5500</x:f>
        <x:v>62350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5</x:v>
      </x:c>
      <x:c r="D16" s="284" t="s">
        <x:v>116</x:v>
      </x:c>
      <x:c r="E16" s="285"/>
      <x:c r="F16" s="282">
        <x:v>8</x:v>
      </x:c>
      <x:c r="G16" s="282"/>
      <x:c r="H16" s="54"/>
      <x:c r="I16" s="58"/>
      <x:c r="J16" s="54" t="s">
        <x:v>96</x:v>
      </x:c>
      <x:c r="K16" s="58">
        <x:v>190660</x:v>
      </x:c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SUM('1:13'!$C$16)</x:f>
        <x:v>51</x:v>
      </x:c>
      <x:c r="D17" s="276"/>
      <x:c r="E17" s="277"/>
      <x:c r="F17" s="283">
        <x:f>SUM('1:13'!$F$16)</x:f>
        <x:v>129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11</x:v>
      </x:c>
      <x:c r="D18" s="284" t="s">
        <x:v>129</x:v>
      </x:c>
      <x:c r="E18" s="285"/>
      <x:c r="F18" s="292">
        <x:v>6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SUM('1:13'!$C$18)</x:f>
        <x:v>176</x:v>
      </x:c>
      <x:c r="D19" s="276"/>
      <x:c r="E19" s="277"/>
      <x:c r="F19" s="283">
        <x:f>SUM('1:13'!$F$18)</x:f>
        <x:v>63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50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SUM('1:13'!$F$20)</x:f>
        <x:v>775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1434196</x:v>
      </x:c>
      <x:c r="J23" s="61" t="s">
        <x:v>118</x:v>
      </x:c>
      <x:c r="K23" s="62">
        <x:f>SUM(K4:K22)</x:f>
        <x:v>203660</x:v>
      </x:c>
      <x:c r="M23" s="89" t="s">
        <x:v>92</x:v>
      </x:c>
      <x:c r="N23" s="279">
        <x:f>C5+C6</x:f>
        <x:v>460000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0.40462575821695584</x:v>
      </x:c>
      <x:c r="J24" s="61" t="s">
        <x:v>8</x:v>
      </x:c>
      <x:c r="K24" s="63">
        <x:f>K23/A25</x:f>
        <x:v>0.057458033573141484</x:v>
      </x:c>
    </x:row>
    <x:row r="25" spans="1:11" ht="34.149999999999999" customHeight="1">
      <x:c r="A25" s="308">
        <x:f>C2</x:f>
        <x:v>3544500</x:v>
      </x:c>
      <x:c r="B25" s="272"/>
      <x:c r="C25" s="272">
        <x:f>E25/I1</x:f>
        <x:v>4404053.846153846</x:v>
      </x:c>
      <x:c r="D25" s="272"/>
      <x:c r="E25" s="272">
        <x:f>SUM('1:13'!$A$25)</x:f>
        <x:v>57252700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SUM('1:13'!$K$21)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0.092825089471762906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13000*4.5</x:f>
        <x:v>58500</x:v>
      </x:c>
      <x:c r="G27" s="258"/>
      <x:c r="H27" s="112" t="s">
        <x:v>117</x:v>
      </x:c>
      <x:c r="I27" s="113">
        <x:f>SUM(C27:D34,F27:G32)</x:f>
        <x:v>746629.0322580646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0.21064438771563396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SUM('1:13'!$I$25)</x:f>
        <x:v>69088331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92.533678728046482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13000*4</x:f>
        <x:v>52000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opLeftCell="A1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14</x:v>
      </x:c>
      <x:c r="G1" s="68" t="s">
        <x:v>61</x:v>
      </x:c>
      <x:c r="H1" s="52" t="s">
        <x:v>122</x:v>
      </x:c>
      <x:c r="I1" s="52">
        <x:f>F1-K1</x:f>
        <x:v>14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3796500</x:v>
      </x:c>
      <x:c r="D2" s="271"/>
      <x:c r="E2" s="274" t="s">
        <x:v>39</x:v>
      </x:c>
      <x:c r="F2" s="275"/>
      <x:c r="G2" s="263">
        <x:v>111400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3378000</x:v>
      </x:c>
      <x:c r="D4" s="258"/>
      <x:c r="E4" s="273" t="s">
        <x:v>145</x:v>
      </x:c>
      <x:c r="F4" s="273"/>
      <x:c r="G4" s="134">
        <x:f>INT(C4*0.0275)</x:f>
        <x:v>92895</x:v>
      </x:c>
      <x:c r="H4" s="54" t="s">
        <x:v>20</x:v>
      </x:c>
      <x:c r="I4" s="125">
        <x:f>221000+335608+764204+899151+890880</x:f>
        <x:v>3110843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418500</x:v>
      </x:c>
      <x:c r="D5" s="258"/>
      <x:c r="E5" s="257" t="s">
        <x:v>69</x:v>
      </x:c>
      <x:c r="F5" s="257"/>
      <x:c r="G5" s="134">
        <x:f>INT(C5*0.01)</x:f>
        <x:v>4185</x:v>
      </x:c>
      <x:c r="H5" s="54" t="s">
        <x:v>6</x:v>
      </x:c>
      <x:c r="I5" s="125">
        <x:f>26675+78760+69000</x:f>
        <x:v>174435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400000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129900</x:v>
      </x:c>
      <x:c r="D8" s="258"/>
      <x:c r="E8" s="284" t="s">
        <x:v>109</x:v>
      </x:c>
      <x:c r="F8" s="285"/>
      <x:c r="G8" s="290">
        <x:f>C5+G2-G6-C22</x:f>
        <x:v>129900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</x:v>
      </x:c>
      <x:c r="D12" s="284" t="s">
        <x:v>132</x:v>
      </x:c>
      <x:c r="E12" s="285"/>
      <x:c r="F12" s="288">
        <x:v>8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SUM('1:14'!$C$12)</x:f>
        <x:v>131</x:v>
      </x:c>
      <x:c r="D13" s="276"/>
      <x:c r="E13" s="277"/>
      <x:c r="F13" s="286">
        <x:f>SUM('1:14'!$F$12)</x:f>
        <x:v>79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36</x:v>
      </x:c>
      <x:c r="D14" s="284" t="s">
        <x:v>94</x:v>
      </x:c>
      <x:c r="E14" s="285"/>
      <x:c r="F14" s="288">
        <x:v>5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SUM('1:14'!$C$14)</x:f>
        <x:v>348</x:v>
      </x:c>
      <x:c r="D15" s="276"/>
      <x:c r="E15" s="277"/>
      <x:c r="F15" s="286">
        <x:f>SUM('1:14'!$F$14)</x:f>
        <x:v>158</x:v>
      </x:c>
      <x:c r="G15" s="287"/>
      <x:c r="H15" s="54" t="s">
        <x:v>105</x:v>
      </x:c>
      <x:c r="I15" s="58">
        <x:f>20000+12000+50000+5500+5900+5000+5000</x:f>
        <x:v>103400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1</x:v>
      </x:c>
      <x:c r="D16" s="284" t="s">
        <x:v>116</x:v>
      </x:c>
      <x:c r="E16" s="285"/>
      <x:c r="F16" s="282">
        <x:v>9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SUM('1:14'!$C$16)</x:f>
        <x:v>52</x:v>
      </x:c>
      <x:c r="D17" s="276"/>
      <x:c r="E17" s="277"/>
      <x:c r="F17" s="283">
        <x:f>SUM('1:14'!$F$16)</x:f>
        <x:v>138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9</x:v>
      </x:c>
      <x:c r="D18" s="284" t="s">
        <x:v>129</x:v>
      </x:c>
      <x:c r="E18" s="285"/>
      <x:c r="F18" s="292">
        <x:v>4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SUM('1:14'!$C$18)</x:f>
        <x:v>185</x:v>
      </x:c>
      <x:c r="D19" s="276"/>
      <x:c r="E19" s="277"/>
      <x:c r="F19" s="283">
        <x:f>SUM('1:14'!$F$18)</x:f>
        <x:v>67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51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SUM('1:14'!$F$20)</x:f>
        <x:v>826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3388678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418500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0.89257948110101404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3796500</x:v>
      </x:c>
      <x:c r="B25" s="272"/>
      <x:c r="C25" s="272">
        <x:f>E25/I1</x:f>
        <x:v>4360657.1428571427</x:v>
      </x:c>
      <x:c r="D25" s="272"/>
      <x:c r="E25" s="272">
        <x:f>SUM('1:14'!$A$25)</x:f>
        <x:v>61049200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SUM('1:14'!$K$21)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0.087052524848810472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</x:f>
        <x:v>65000</x:v>
      </x:c>
      <x:c r="G27" s="258"/>
      <x:c r="H27" s="112" t="s">
        <x:v>117</x:v>
      </x:c>
      <x:c r="I27" s="113">
        <x:f>SUM(C27:D34,F27:G32)</x:f>
        <x:v>753129.0322580646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0.19837456400844583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SUM('1:14'!$I$25)</x:f>
        <x:v>74402818</x:v>
      </x:c>
      <x:c r="M29" s="66" t="s">
        <x:v>62</x:v>
      </x:c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98.791594551762529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13000*4</x:f>
        <x:v>52000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opLeftCell="A23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15</x:v>
      </x:c>
      <x:c r="G1" s="68" t="s">
        <x:v>27</x:v>
      </x:c>
      <x:c r="H1" s="52" t="s">
        <x:v>122</x:v>
      </x:c>
      <x:c r="I1" s="52">
        <x:f>F1-K1</x:f>
        <x:v>15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4406000</x:v>
      </x:c>
      <x:c r="D2" s="271"/>
      <x:c r="E2" s="274" t="s">
        <x:v>39</x:v>
      </x:c>
      <x:c r="F2" s="275"/>
      <x:c r="G2" s="263">
        <x:v>129900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4251000</x:v>
      </x:c>
      <x:c r="D4" s="258"/>
      <x:c r="E4" s="273" t="s">
        <x:v>145</x:v>
      </x:c>
      <x:c r="F4" s="273"/>
      <x:c r="G4" s="134"/>
      <x:c r="H4" s="54" t="s">
        <x:v>20</x:v>
      </x:c>
      <x:c r="I4" s="125">
        <x:f>283019+282344+904000+221000+2169209-69000</x:f>
        <x:v>3790572</x:v>
      </x:c>
      <x:c r="J4" s="81" t="s">
        <x:v>35</x:v>
      </x:c>
      <x:c r="K4" s="58">
        <x:v>277000</x:v>
      </x:c>
    </x:row>
    <x:row r="5" spans="1:13" ht="30.949999999999999" customHeight="1">
      <x:c r="A5" s="265" t="s">
        <x:v>60</x:v>
      </x:c>
      <x:c r="B5" s="266"/>
      <x:c r="C5" s="258">
        <x:v>155000</x:v>
      </x:c>
      <x:c r="D5" s="258"/>
      <x:c r="E5" s="257" t="s">
        <x:v>69</x:v>
      </x:c>
      <x:c r="F5" s="257"/>
      <x:c r="G5" s="134">
        <x:f>INT(C5*0.01)</x:f>
        <x:v>1550</x:v>
      </x:c>
      <x:c r="H5" s="54" t="s">
        <x:v>6</x:v>
      </x:c>
      <x:c r="I5" s="125"/>
      <x:c r="J5" s="82"/>
      <x:c r="K5" s="58"/>
      <x:c r="M5" s="137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200000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>
        <x:f>394800-48200</x:f>
        <x:v>346600</x:v>
      </x:c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84900</x:v>
      </x:c>
      <x:c r="D8" s="258"/>
      <x:c r="E8" s="284" t="s">
        <x:v>109</x:v>
      </x:c>
      <x:c r="F8" s="285"/>
      <x:c r="G8" s="290">
        <x:f>C5+G2-G6-C22</x:f>
        <x:v>84900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f>28500+45000+60000</x:f>
        <x:v>133500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149</x:v>
      </x:c>
      <x:c r="D11" s="296"/>
      <x:c r="E11" s="296"/>
      <x:c r="F11" s="296"/>
      <x:c r="G11" s="296"/>
      <x:c r="H11" s="54" t="s">
        <x:v>57</x:v>
      </x:c>
      <x:c r="I11" s="58">
        <x:v>100000</x:v>
      </x:c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10</x:v>
      </x:c>
      <x:c r="D12" s="284" t="s">
        <x:v>132</x:v>
      </x:c>
      <x:c r="E12" s="285"/>
      <x:c r="F12" s="288">
        <x:v>10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SUM('1:15'!$C$12)</x:f>
        <x:v>141</x:v>
      </x:c>
      <x:c r="D13" s="276"/>
      <x:c r="E13" s="277"/>
      <x:c r="F13" s="286">
        <x:f>SUM('1:15'!$F$12)</x:f>
        <x:v>89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24</x:v>
      </x:c>
      <x:c r="D14" s="284" t="s">
        <x:v>94</x:v>
      </x:c>
      <x:c r="E14" s="285"/>
      <x:c r="F14" s="288">
        <x:v>4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SUM('1:15'!$C$14)</x:f>
        <x:v>372</x:v>
      </x:c>
      <x:c r="D15" s="276"/>
      <x:c r="E15" s="277"/>
      <x:c r="F15" s="286">
        <x:f>SUM('1:15'!$F$14)</x:f>
        <x:v>162</x:v>
      </x:c>
      <x:c r="G15" s="287"/>
      <x:c r="H15" s="54" t="s">
        <x:v>105</x:v>
      </x:c>
      <x:c r="I15" s="58">
        <x:f>11800+5500+9800+4800+10600+3500+28000+13500+10000+3900+57600</x:f>
        <x:v>159000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12</x:v>
      </x:c>
      <x:c r="D16" s="284" t="s">
        <x:v>116</x:v>
      </x:c>
      <x:c r="E16" s="285"/>
      <x:c r="F16" s="282">
        <x:v>9</x:v>
      </x:c>
      <x:c r="G16" s="282"/>
      <x:c r="H16" s="54"/>
      <x:c r="I16" s="58"/>
      <x:c r="J16" s="54" t="s">
        <x:v>96</x:v>
      </x:c>
      <x:c r="K16" s="58">
        <x:v>63338</x:v>
      </x:c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SUM('1:15'!$C$16)</x:f>
        <x:v>64</x:v>
      </x:c>
      <x:c r="D17" s="276"/>
      <x:c r="E17" s="277"/>
      <x:c r="F17" s="283">
        <x:f>SUM('1:15'!$F$16)</x:f>
        <x:v>147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7</x:v>
      </x:c>
      <x:c r="D18" s="284" t="s">
        <x:v>129</x:v>
      </x:c>
      <x:c r="E18" s="285"/>
      <x:c r="F18" s="292">
        <x:v>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SUM('1:15'!$C$18)</x:f>
        <x:v>192</x:v>
      </x:c>
      <x:c r="D19" s="276"/>
      <x:c r="E19" s="277"/>
      <x:c r="F19" s="283">
        <x:f>SUM('1:15'!$F$18)</x:f>
        <x:v>69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53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SUM('1:15'!$F$20)</x:f>
        <x:v>879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4396172</x:v>
      </x:c>
      <x:c r="J23" s="61" t="s">
        <x:v>118</x:v>
      </x:c>
      <x:c r="K23" s="62">
        <x:f>SUM(K4:K22)</x:f>
        <x:v>340338</x:v>
      </x:c>
      <x:c r="M23" s="89" t="s">
        <x:v>92</x:v>
      </x:c>
      <x:c r="N23" s="279">
        <x:f>C5+C6</x:f>
        <x:v>155000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0.9977694053563323</x:v>
      </x:c>
      <x:c r="J24" s="61" t="s">
        <x:v>8</x:v>
      </x:c>
      <x:c r="K24" s="63">
        <x:f>K23/A25</x:f>
        <x:v>0.077244212437585114</x:v>
      </x:c>
    </x:row>
    <x:row r="25" spans="1:11" ht="34.149999999999999" customHeight="1">
      <x:c r="A25" s="308">
        <x:f>C2</x:f>
        <x:v>4406000</x:v>
      </x:c>
      <x:c r="B25" s="272"/>
      <x:c r="C25" s="272">
        <x:f>E25/I1</x:f>
        <x:v>4363680</x:v>
      </x:c>
      <x:c r="D25" s="272"/>
      <x:c r="E25" s="272">
        <x:f>SUM('1:15'!$A$25)</x:f>
        <x:v>65455200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SUM('1:15'!$K$21)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0.081192739461494273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13000*4.5</x:f>
        <x:v>58500</x:v>
      </x:c>
      <x:c r="G27" s="258"/>
      <x:c r="H27" s="112" t="s">
        <x:v>117</x:v>
      </x:c>
      <x:c r="I27" s="113">
        <x:f>SUM(C27:D34,F27:G32)</x:f>
        <x:v>704629.0322580646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0.15992488249161702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SUM('1:15'!$I$25)</x:f>
        <x:v>79717305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113.13372193100921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/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opLeftCell="E26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16</x:v>
      </x:c>
      <x:c r="G1" s="68" t="s">
        <x:v>49</x:v>
      </x:c>
      <x:c r="H1" s="52" t="s">
        <x:v>122</x:v>
      </x:c>
      <x:c r="I1" s="52">
        <x:f>F1-K1</x:f>
        <x:v>16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4822000</x:v>
      </x:c>
      <x:c r="D2" s="271"/>
      <x:c r="E2" s="274" t="s">
        <x:v>39</x:v>
      </x:c>
      <x:c r="F2" s="275"/>
      <x:c r="G2" s="263">
        <x:v>85100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2" ht="30.949999999999999" customHeight="1">
      <x:c r="A4" s="265" t="s">
        <x:v>22</x:v>
      </x:c>
      <x:c r="B4" s="266"/>
      <x:c r="C4" s="258">
        <x:v>4443000</x:v>
      </x:c>
      <x:c r="D4" s="258"/>
      <x:c r="E4" s="273" t="s">
        <x:v>145</x:v>
      </x:c>
      <x:c r="F4" s="273"/>
      <x:c r="G4" s="134">
        <x:f>INT(C4*0.0275)</x:f>
        <x:v>122182</x:v>
      </x:c>
      <x:c r="H4" s="54" t="s">
        <x:v>20</x:v>
      </x:c>
      <x:c r="I4" s="125">
        <x:f>223080+452000</x:f>
        <x:v>675080</x:v>
      </x:c>
      <x:c r="J4" s="81" t="s">
        <x:v>35</x:v>
      </x:c>
      <x:c r="K4" s="58"/>
      <x:c r="L4" s="98"/>
    </x:row>
    <x:row r="5" spans="1:11" ht="30.949999999999999" customHeight="1">
      <x:c r="A5" s="265" t="s">
        <x:v>60</x:v>
      </x:c>
      <x:c r="B5" s="266"/>
      <x:c r="C5" s="258">
        <x:v>379000</x:v>
      </x:c>
      <x:c r="D5" s="258"/>
      <x:c r="E5" s="257" t="s">
        <x:v>69</x:v>
      </x:c>
      <x:c r="F5" s="257"/>
      <x:c r="G5" s="134">
        <x:f>INT(C5*0.01)</x:f>
        <x:v>3790</x:v>
      </x:c>
      <x:c r="H5" s="54" t="s">
        <x:v>6</x:v>
      </x:c>
      <x:c r="I5" s="125">
        <x:f>29656+14920+50000+34500+36000+16720</x:f>
        <x:v>181796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250000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214600</x:v>
      </x:c>
      <x:c r="D8" s="258"/>
      <x:c r="E8" s="284" t="s">
        <x:v>109</x:v>
      </x:c>
      <x:c r="F8" s="285"/>
      <x:c r="G8" s="290">
        <x:f>C5+G2-G6-C22</x:f>
        <x:v>214100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v>20000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160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4</x:v>
      </x:c>
      <x:c r="D12" s="284" t="s">
        <x:v>132</x:v>
      </x:c>
      <x:c r="E12" s="285"/>
      <x:c r="F12" s="288">
        <x:v>4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SUM('1:16'!$C$12)</x:f>
        <x:v>145</x:v>
      </x:c>
      <x:c r="D13" s="276"/>
      <x:c r="E13" s="277"/>
      <x:c r="F13" s="286">
        <x:f>SUM('1:16'!$F$12)</x:f>
        <x:v>93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26</x:v>
      </x:c>
      <x:c r="D14" s="284" t="s">
        <x:v>94</x:v>
      </x:c>
      <x:c r="E14" s="285"/>
      <x:c r="F14" s="288">
        <x:v>4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SUM('1:16'!$C$14)</x:f>
        <x:v>398</x:v>
      </x:c>
      <x:c r="D15" s="276"/>
      <x:c r="E15" s="277"/>
      <x:c r="F15" s="286">
        <x:f>SUM('1:16'!$F$14)</x:f>
        <x:v>166</x:v>
      </x:c>
      <x:c r="G15" s="287"/>
      <x:c r="H15" s="54" t="s">
        <x:v>105</x:v>
      </x:c>
      <x:c r="I15" s="58">
        <x:f>11800+5500+18000+9300+22000+21600+2400</x:f>
        <x:v>90600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5</x:v>
      </x:c>
      <x:c r="D16" s="284" t="s">
        <x:v>116</x:v>
      </x:c>
      <x:c r="E16" s="285"/>
      <x:c r="F16" s="282">
        <x:v>13</x:v>
      </x:c>
      <x:c r="G16" s="282"/>
      <x:c r="H16" s="54"/>
      <x:c r="I16" s="58"/>
      <x:c r="J16" s="54" t="s">
        <x:v>96</x:v>
      </x:c>
      <x:c r="K16" s="58">
        <x:v>78598</x:v>
      </x:c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SUM('1:16'!$C$16)</x:f>
        <x:v>69</x:v>
      </x:c>
      <x:c r="D17" s="276"/>
      <x:c r="E17" s="277"/>
      <x:c r="F17" s="283">
        <x:f>SUM('1:16'!$F$16)</x:f>
        <x:v>160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26</x:v>
      </x:c>
      <x:c r="D18" s="284" t="s">
        <x:v>129</x:v>
      </x:c>
      <x:c r="E18" s="285"/>
      <x:c r="F18" s="292">
        <x:v>10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SUM('1:16'!$C$18)</x:f>
        <x:v>218</x:v>
      </x:c>
      <x:c r="D19" s="276"/>
      <x:c r="E19" s="277"/>
      <x:c r="F19" s="283">
        <x:f>SUM('1:16'!$F$18)</x:f>
        <x:v>79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74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SUM('1:16'!$F$20)</x:f>
        <x:v>953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947476</x:v>
      </x:c>
      <x:c r="J23" s="61" t="s">
        <x:v>118</x:v>
      </x:c>
      <x:c r="K23" s="62">
        <x:f>SUM(K4:K22)</x:f>
        <x:v>78598</x:v>
      </x:c>
      <x:c r="M23" s="89" t="s">
        <x:v>92</x:v>
      </x:c>
      <x:c r="N23" s="279">
        <x:f>C5+C6</x:f>
        <x:v>379000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0.19649025300705103</x:v>
      </x:c>
      <x:c r="J24" s="61" t="s">
        <x:v>8</x:v>
      </x:c>
      <x:c r="K24" s="63">
        <x:f>K23/A25</x:f>
        <x:v>0.016299875570302779</x:v>
      </x:c>
    </x:row>
    <x:row r="25" spans="1:11" ht="34.149999999999999" customHeight="1">
      <x:c r="A25" s="308">
        <x:f>C2</x:f>
        <x:v>4822000</x:v>
      </x:c>
      <x:c r="B25" s="272"/>
      <x:c r="C25" s="272">
        <x:f>E25/I1</x:f>
        <x:v>4392325</x:v>
      </x:c>
      <x:c r="D25" s="272"/>
      <x:c r="E25" s="272">
        <x:f>SUM('1:16'!$A$25)</x:f>
        <x:v>70277200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SUM('1:16'!$K$21)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0.075621780605943323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</x:f>
        <x:v>65000</x:v>
      </x:c>
      <x:c r="G27" s="258"/>
      <x:c r="H27" s="112" t="s">
        <x:v>117</x:v>
      </x:c>
      <x:c r="I27" s="113">
        <x:f>SUM(C27:D34,F27:G32)</x:f>
        <x:v>765129.0322580646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0.15867462303153559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SUM('1:16'!$I$25)</x:f>
        <x:v>85031792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111.13392436443357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132000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13000*4</x:f>
        <x:v>52000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topLeftCell="A25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17</x:v>
      </x:c>
      <x:c r="G1" s="68" t="s">
        <x:v>28</x:v>
      </x:c>
      <x:c r="H1" s="52" t="s">
        <x:v>122</x:v>
      </x:c>
      <x:c r="I1" s="52">
        <x:f>F1-K1</x:f>
        <x:v>17</x:v>
      </x:c>
      <x:c r="J1" s="52" t="s">
        <x:v>97</x:v>
      </x:c>
      <x:c r="K1" s="52"/>
    </x:row>
    <x:row r="2" spans="1:11" ht="20.100000000000001" customHeight="1">
      <x:c r="A2" s="326" t="s">
        <x:v>9</x:v>
      </x:c>
      <x:c r="B2" s="327"/>
      <x:c r="C2" s="330">
        <x:f>SUM(C4:D7)</x:f>
        <x:v>4613000</x:v>
      </x:c>
      <x:c r="D2" s="331"/>
      <x:c r="E2" s="274" t="s">
        <x:v>39</x:v>
      </x:c>
      <x:c r="F2" s="275"/>
      <x:c r="G2" s="263">
        <x:v>214600</x:v>
      </x:c>
      <x:c r="H2" s="334" t="s">
        <x:v>6</x:v>
      </x:c>
      <x:c r="I2" s="335"/>
      <x:c r="J2" s="259" t="s">
        <x:v>73</x:v>
      </x:c>
      <x:c r="K2" s="323"/>
    </x:row>
    <x:row r="3" spans="1:11" ht="20.100000000000001" customHeight="1">
      <x:c r="A3" s="328"/>
      <x:c r="B3" s="329"/>
      <x:c r="C3" s="332"/>
      <x:c r="D3" s="333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337" t="s">
        <x:v>22</x:v>
      </x:c>
      <x:c r="B4" s="338"/>
      <x:c r="C4" s="306">
        <x:v>4186000</x:v>
      </x:c>
      <x:c r="D4" s="307"/>
      <x:c r="E4" s="339" t="s">
        <x:v>145</x:v>
      </x:c>
      <x:c r="F4" s="340"/>
      <x:c r="G4" s="134">
        <x:f>INT(C4*0.0275)</x:f>
        <x:v>115115</x:v>
      </x:c>
      <x:c r="H4" s="54" t="s">
        <x:v>20</x:v>
      </x:c>
      <x:c r="I4" s="125">
        <x:f>292375+289646+439200+452000+243100+235248+206528</x:f>
        <x:v>2158097</x:v>
      </x:c>
      <x:c r="J4" s="81" t="s">
        <x:v>35</x:v>
      </x:c>
      <x:c r="K4" s="58"/>
    </x:row>
    <x:row r="5" spans="1:11" ht="30.949999999999999" customHeight="1">
      <x:c r="A5" s="337" t="s">
        <x:v>60</x:v>
      </x:c>
      <x:c r="B5" s="338"/>
      <x:c r="C5" s="306">
        <x:v>427000</x:v>
      </x:c>
      <x:c r="D5" s="307"/>
      <x:c r="E5" s="288" t="s">
        <x:v>69</x:v>
      </x:c>
      <x:c r="F5" s="289"/>
      <x:c r="G5" s="134">
        <x:f>INT(C5*0.01)</x:f>
        <x:v>4270</x:v>
      </x:c>
      <x:c r="H5" s="54" t="s">
        <x:v>6</x:v>
      </x:c>
      <x:c r="I5" s="125">
        <x:f>32630+72000+69000+100000+15990</x:f>
        <x:v>289620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520000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>
        <x:v>582180</x:v>
      </x:c>
      <x:c r="J7" s="82" t="s">
        <x:v>115</x:v>
      </x:c>
      <x:c r="K7" s="58">
        <x:v>12500</x:v>
      </x:c>
    </x:row>
    <x:row r="8" spans="1:11" ht="21.949999999999999" customHeight="1">
      <x:c r="A8" s="344" t="s">
        <x:v>133</x:v>
      </x:c>
      <x:c r="B8" s="285"/>
      <x:c r="C8" s="297">
        <x:v>121600</x:v>
      </x:c>
      <x:c r="D8" s="298"/>
      <x:c r="E8" s="284" t="s">
        <x:v>109</x:v>
      </x:c>
      <x:c r="F8" s="285"/>
      <x:c r="G8" s="290">
        <x:f>C5+G2-G6-C22</x:f>
        <x:v>121600</x:v>
      </x:c>
      <x:c r="H8" s="54" t="s">
        <x:v>44</x:v>
      </x:c>
      <x:c r="I8" s="125"/>
      <x:c r="J8" s="82"/>
      <x:c r="K8" s="58"/>
    </x:row>
    <x:row r="9" spans="1:11" ht="21.949999999999999" customHeight="1">
      <x:c r="A9" s="345"/>
      <x:c r="B9" s="277"/>
      <x:c r="C9" s="299"/>
      <x:c r="D9" s="300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336" t="s">
        <x:v>142</x:v>
      </x:c>
      <x:c r="B10" s="289"/>
      <x:c r="C10" s="306"/>
      <x:c r="D10" s="307"/>
      <x:c r="E10" s="288" t="s">
        <x:v>86</x:v>
      </x:c>
      <x:c r="F10" s="289"/>
      <x:c r="G10" s="55"/>
      <x:c r="H10" s="54"/>
      <x:c r="I10" s="125"/>
      <x:c r="J10" s="54" t="s">
        <x:v>52</x:v>
      </x:c>
      <x:c r="K10" s="58"/>
    </x:row>
    <x:row r="11" spans="1:11" ht="33" customHeight="1">
      <x:c r="A11" s="336" t="s">
        <x:v>102</x:v>
      </x:c>
      <x:c r="B11" s="289"/>
      <x:c r="C11" s="341"/>
      <x:c r="D11" s="342"/>
      <x:c r="E11" s="342"/>
      <x:c r="F11" s="342"/>
      <x:c r="G11" s="343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11</x:v>
      </x:c>
      <x:c r="D12" s="284" t="s">
        <x:v>132</x:v>
      </x:c>
      <x:c r="E12" s="285"/>
      <x:c r="F12" s="288">
        <x:v>4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SUM('1:17'!$C$12)</x:f>
        <x:v>156</x:v>
      </x:c>
      <x:c r="D13" s="276"/>
      <x:c r="E13" s="277"/>
      <x:c r="F13" s="286">
        <x:f>SUM('1:17'!$F$12)</x:f>
        <x:v>97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26</x:v>
      </x:c>
      <x:c r="D14" s="284" t="s">
        <x:v>94</x:v>
      </x:c>
      <x:c r="E14" s="285"/>
      <x:c r="F14" s="288">
        <x:v>3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SUM('1:17'!$C$14)</x:f>
        <x:v>424</x:v>
      </x:c>
      <x:c r="D15" s="276"/>
      <x:c r="E15" s="277"/>
      <x:c r="F15" s="286">
        <x:f>SUM('1:17'!$F$14)</x:f>
        <x:v>169</x:v>
      </x:c>
      <x:c r="G15" s="287"/>
      <x:c r="H15" s="54" t="s">
        <x:v>105</x:v>
      </x:c>
      <x:c r="I15" s="58">
        <x:f>11800+18000+6200+43200+2400+3900+4200+3500+2450+3500+19500</x:f>
        <x:v>118650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3</x:v>
      </x:c>
      <x:c r="D16" s="284" t="s">
        <x:v>116</x:v>
      </x:c>
      <x:c r="E16" s="285"/>
      <x:c r="F16" s="324">
        <x:v>12</x:v>
      </x:c>
      <x:c r="G16" s="325"/>
      <x:c r="H16" s="54"/>
      <x:c r="I16" s="58"/>
      <x:c r="J16" s="54" t="s">
        <x:v>96</x:v>
      </x:c>
      <x:c r="K16" s="58">
        <x:v>111040</x:v>
      </x:c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SUM('1:17'!$C$16)</x:f>
        <x:v>72</x:v>
      </x:c>
      <x:c r="D17" s="276"/>
      <x:c r="E17" s="277"/>
      <x:c r="F17" s="286">
        <x:f>SUM('1:17'!$F$16)</x:f>
        <x:v>172</x:v>
      </x:c>
      <x:c r="G17" s="287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9</x:v>
      </x:c>
      <x:c r="D18" s="284" t="s">
        <x:v>129</x:v>
      </x:c>
      <x:c r="E18" s="285"/>
      <x:c r="F18" s="324">
        <x:v>2</x:v>
      </x:c>
      <x:c r="G18" s="32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SUM('1:17'!$C$18)</x:f>
        <x:v>227</x:v>
      </x:c>
      <x:c r="D19" s="276"/>
      <x:c r="E19" s="277"/>
      <x:c r="F19" s="286">
        <x:f>SUM('1:17'!$F$18)</x:f>
        <x:v>81</x:v>
      </x:c>
      <x:c r="G19" s="287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88" t="s">
        <x:v>112</x:v>
      </x:c>
      <x:c r="E20" s="289"/>
      <x:c r="F20" s="324">
        <x:v>80</x:v>
      </x:c>
      <x:c r="G20" s="325"/>
      <x:c r="H20" s="58"/>
      <x:c r="J20" s="54"/>
      <x:c r="K20" s="58"/>
      <x:c r="L20" s="60"/>
      <x:c r="M20" s="11"/>
    </x:row>
    <x:row r="21" spans="4:13" ht="21.949999999999999" customHeight="1">
      <x:c r="D21" s="288" t="s">
        <x:v>113</x:v>
      </x:c>
      <x:c r="E21" s="289"/>
      <x:c r="F21" s="286">
        <x:f>SUM('1:17'!$F$20)</x:f>
        <x:v>1033</x:v>
      </x:c>
      <x:c r="G21" s="287"/>
      <x:c r="H21" s="58"/>
      <x:c r="J21" s="54"/>
      <x:c r="K21" s="58"/>
      <x:c r="L21" s="60"/>
      <x:c r="M21" s="11"/>
    </x:row>
    <x:row r="22" spans="1:13" ht="32.100000000000001" customHeight="1">
      <x:c r="A22" s="336" t="s">
        <x:v>82</x:v>
      </x:c>
      <x:c r="B22" s="289"/>
      <x:c r="C22" s="356"/>
      <x:c r="D22" s="357"/>
      <x:c r="E22" s="357"/>
      <x:c r="F22" s="357"/>
      <x:c r="G22" s="358"/>
      <x:c r="H22" s="54"/>
      <x:c r="J22" s="54"/>
      <x:c r="K22" s="58"/>
      <x:c r="L22" s="60"/>
      <x:c r="M22" s="11"/>
    </x:row>
    <x:row r="23" spans="1:15" ht="34.149999999999999" customHeight="1">
      <x:c r="A23" s="336" t="s">
        <x:v>123</x:v>
      </x:c>
      <x:c r="B23" s="289"/>
      <x:c r="C23" s="320"/>
      <x:c r="D23" s="321"/>
      <x:c r="E23" s="321"/>
      <x:c r="F23" s="321"/>
      <x:c r="G23" s="322"/>
      <x:c r="H23" s="108" t="s">
        <x:v>93</x:v>
      </x:c>
      <x:c r="I23" s="109">
        <x:f>SUM(I4:I22)</x:f>
        <x:v>3148547</x:v>
      </x:c>
      <x:c r="J23" s="61" t="s">
        <x:v>118</x:v>
      </x:c>
      <x:c r="K23" s="62">
        <x:f>SUM(K4:K22)</x:f>
        <x:v>123540</x:v>
      </x:c>
      <x:c r="M23" s="89" t="s">
        <x:v>92</x:v>
      </x:c>
      <x:c r="N23" s="279">
        <x:f>C5+C6</x:f>
        <x:v>427000</x:v>
      </x:c>
      <x:c r="O23" s="280"/>
    </x:row>
    <x:row r="24" spans="1:11" ht="34.149999999999999" customHeight="1">
      <x:c r="A24" s="336" t="s">
        <x:v>8</x:v>
      </x:c>
      <x:c r="B24" s="289"/>
      <x:c r="C24" s="288" t="s">
        <x:v>85</x:v>
      </x:c>
      <x:c r="D24" s="289"/>
      <x:c r="E24" s="288" t="s">
        <x:v>100</x:v>
      </x:c>
      <x:c r="F24" s="319"/>
      <x:c r="G24" s="289"/>
      <x:c r="H24" s="108" t="s">
        <x:v>8</x:v>
      </x:c>
      <x:c r="I24" s="110">
        <x:f>I23/A25</x:f>
        <x:v>0.68253782787773687</x:v>
      </x:c>
      <x:c r="J24" s="61" t="s">
        <x:v>8</x:v>
      </x:c>
      <x:c r="K24" s="63">
        <x:f>K23/A25</x:f>
        <x:v>0.026780836765662258</x:v>
      </x:c>
    </x:row>
    <x:row r="25" spans="1:11" ht="34.149999999999999" customHeight="1">
      <x:c r="A25" s="350">
        <x:f>C2</x:f>
        <x:v>4613000</x:v>
      </x:c>
      <x:c r="B25" s="310"/>
      <x:c r="C25" s="309">
        <x:f>E25/I1</x:f>
        <x:v>4405305.8823529407</x:v>
      </x:c>
      <x:c r="D25" s="310"/>
      <x:c r="E25" s="309">
        <x:f>SUM('1:17'!$A$25)</x:f>
        <x:v>74890200</x:v>
      </x:c>
      <x:c r="F25" s="318"/>
      <x:c r="G25" s="310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SUM('1:17'!$K$21)</x:f>
        <x:v>0</x:v>
      </x:c>
    </x:row>
    <x:row r="26" spans="1:11" ht="34.149999999999999" customHeight="1">
      <x:c r="A26" s="336" t="s">
        <x:v>141</x:v>
      </x:c>
      <x:c r="B26" s="289"/>
      <x:c r="C26" s="288"/>
      <x:c r="D26" s="289"/>
      <x:c r="E26" s="306"/>
      <x:c r="F26" s="349"/>
      <x:c r="G26" s="307"/>
      <x:c r="H26" s="108" t="s">
        <x:v>127</x:v>
      </x:c>
      <x:c r="I26" s="111">
        <x:f>I25/$E$25</x:f>
        <x:v>0.070963717549158631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01" t="s">
        <x:v>140</x:v>
      </x:c>
      <x:c r="B27" s="54" t="s">
        <x:v>43</x:v>
      </x:c>
      <x:c r="C27" s="309">
        <x:f>4000000/31</x:f>
        <x:v>129032.25806451614</x:v>
      </x:c>
      <x:c r="D27" s="310"/>
      <x:c r="E27" s="55" t="s">
        <x:v>150</x:v>
      </x:c>
      <x:c r="F27" s="306">
        <x:f>13000*5</x:f>
        <x:v>65000</x:v>
      </x:c>
      <x:c r="G27" s="307"/>
      <x:c r="H27" s="112" t="s">
        <x:v>117</x:v>
      </x:c>
      <x:c r="I27" s="113">
        <x:f>SUM(C27:D34,F27:G32)</x:f>
        <x:v>711129.0322580646</x:v>
      </x:c>
      <x:c r="M27" s="66"/>
    </x:row>
    <x:row r="28" spans="1:13" ht="30.949999999999999" customHeight="1">
      <x:c r="A28" s="302"/>
      <x:c r="B28" s="54" t="s">
        <x:v>23</x:v>
      </x:c>
      <x:c r="C28" s="309">
        <x:f>3800000/31</x:f>
        <x:v>122580.64516129032</x:v>
      </x:c>
      <x:c r="D28" s="310"/>
      <x:c r="E28" s="55" t="s">
        <x:v>152</x:v>
      </x:c>
      <x:c r="F28" s="309">
        <x:f>1500000/31</x:f>
        <x:v>48387.096774193546</x:v>
      </x:c>
      <x:c r="G28" s="310"/>
      <x:c r="H28" s="112" t="s">
        <x:v>8</x:v>
      </x:c>
      <x:c r="I28" s="114">
        <x:f>I27/$A$25</x:f>
        <x:v>0.15415760508520801</x:v>
      </x:c>
      <x:c r="M28" s="66"/>
    </x:row>
    <x:row r="29" spans="1:13" ht="30.949999999999999" customHeight="1">
      <x:c r="A29" s="302"/>
      <x:c r="B29" s="54" t="s">
        <x:v>46</x:v>
      </x:c>
      <x:c r="C29" s="309">
        <x:f>3200000/31</x:f>
        <x:v>103225.80645161291</x:v>
      </x:c>
      <x:c r="D29" s="310"/>
      <x:c r="E29" s="55" t="s">
        <x:v>56</x:v>
      </x:c>
      <x:c r="F29" s="306"/>
      <x:c r="G29" s="307"/>
      <x:c r="H29" s="112" t="s">
        <x:v>32</x:v>
      </x:c>
      <x:c r="I29" s="113">
        <x:f>SUM('1:17'!$I$25)</x:f>
        <x:v>90346279</x:v>
      </x:c>
      <x:c r="M29" s="66"/>
    </x:row>
    <x:row r="30" spans="1:13" ht="30.949999999999999" customHeight="1">
      <x:c r="A30" s="302"/>
      <x:c r="B30" s="54"/>
      <x:c r="C30" s="351"/>
      <x:c r="D30" s="352"/>
      <x:c r="E30" s="55" t="s">
        <x:v>56</x:v>
      </x:c>
      <x:c r="F30" s="306"/>
      <x:c r="G30" s="307"/>
      <x:c r="H30" s="112" t="s">
        <x:v>127</x:v>
      </x:c>
      <x:c r="I30" s="114">
        <x:f>I29/$I$27</x:f>
        <x:v>127.04625307325922</x:v>
      </x:c>
      <x:c r="M30" s="66"/>
    </x:row>
    <x:row r="31" spans="1:7" customHeight="1">
      <x:c r="A31" s="302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130000</x:v>
      </x:c>
      <x:c r="G31" s="307"/>
    </x:row>
    <x:row r="32" spans="1:7" customHeight="1">
      <x:c r="A32" s="302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02"/>
      <x:c r="B33" s="54" t="s">
        <x:v>21</x:v>
      </x:c>
      <x:c r="C33" s="304"/>
      <x:c r="D33" s="305"/>
      <x:c r="E33" s="55" t="s">
        <x:v>56</x:v>
      </x:c>
    </x:row>
    <x:row r="34" spans="1:4" customHeight="1">
      <x:c r="A34" s="303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5"/>
  <x:sheetViews>
    <x:sheetView topLeftCell="A1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18</x:v>
      </x:c>
      <x:c r="G1" s="68" t="s">
        <x:v>18</x:v>
      </x:c>
      <x:c r="H1" s="52" t="s">
        <x:v>122</x:v>
      </x:c>
      <x:c r="I1" s="52">
        <x:f>F1-K1</x:f>
        <x:v>18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5194000</x:v>
      </x:c>
      <x:c r="D2" s="271"/>
      <x:c r="E2" s="274" t="s">
        <x:v>39</x:v>
      </x:c>
      <x:c r="F2" s="275"/>
      <x:c r="G2" s="263">
        <x:v>121600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4207000</x:v>
      </x:c>
      <x:c r="D4" s="258"/>
      <x:c r="E4" s="273" t="s">
        <x:v>145</x:v>
      </x:c>
      <x:c r="F4" s="273"/>
      <x:c r="G4" s="134">
        <x:f>INT(C4*0.0275)</x:f>
        <x:v>115692</x:v>
      </x:c>
      <x:c r="H4" s="54" t="s">
        <x:v>20</x:v>
      </x:c>
      <x:c r="I4" s="125">
        <x:f>284778</x:f>
        <x:v>284778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987000</x:v>
      </x:c>
      <x:c r="D5" s="258"/>
      <x:c r="E5" s="257" t="s">
        <x:v>69</x:v>
      </x:c>
      <x:c r="F5" s="257"/>
      <x:c r="G5" s="134">
        <x:f>INT(C5*0.01)</x:f>
        <x:v>9870</x:v>
      </x:c>
      <x:c r="H5" s="54" t="s">
        <x:v>6</x:v>
      </x:c>
      <x:c r="I5" s="125">
        <x:f>44760+14000+150000+103500+72000+16720+45430+49500+121000+39490+44000+29656+44000+39380</x:f>
        <x:v>813436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1000000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108600</x:v>
      </x:c>
      <x:c r="D8" s="258"/>
      <x:c r="E8" s="284" t="s">
        <x:v>109</x:v>
      </x:c>
      <x:c r="F8" s="285"/>
      <x:c r="G8" s="290">
        <x:f>C5+G2-G6-C22</x:f>
        <x:v>108600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5</x:v>
      </x:c>
      <x:c r="D12" s="284" t="s">
        <x:v>132</x:v>
      </x:c>
      <x:c r="E12" s="285"/>
      <x:c r="F12" s="288">
        <x:v>1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SUM('1:18'!$C$12)</x:f>
        <x:v>161</x:v>
      </x:c>
      <x:c r="D13" s="276"/>
      <x:c r="E13" s="277"/>
      <x:c r="F13" s="286">
        <x:f>SUM('1:18'!$F$12)</x:f>
        <x:v>98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36</x:v>
      </x:c>
      <x:c r="D14" s="284" t="s">
        <x:v>94</x:v>
      </x:c>
      <x:c r="E14" s="285"/>
      <x:c r="F14" s="288">
        <x:v>2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SUM('1:18'!$C$14)</x:f>
        <x:v>460</x:v>
      </x:c>
      <x:c r="D15" s="276"/>
      <x:c r="E15" s="277"/>
      <x:c r="F15" s="286">
        <x:f>SUM('1:18'!$F$14)</x:f>
        <x:v>171</x:v>
      </x:c>
      <x:c r="G15" s="287"/>
      <x:c r="H15" s="54" t="s">
        <x:v>105</x:v>
      </x:c>
      <x:c r="I15" s="58">
        <x:f>24000+15500+72000+9600+3900+7000+44000+28000+11000+6200+52000+10500+5500+19600+13000</x:f>
        <x:v>321800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2</x:v>
      </x:c>
      <x:c r="D16" s="284" t="s">
        <x:v>116</x:v>
      </x:c>
      <x:c r="E16" s="285"/>
      <x:c r="F16" s="282">
        <x:v>18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SUM('1:18'!$C$16)</x:f>
        <x:v>74</x:v>
      </x:c>
      <x:c r="D17" s="276"/>
      <x:c r="E17" s="277"/>
      <x:c r="F17" s="283">
        <x:f>SUM('1:18'!$F$16)</x:f>
        <x:v>190</x:v>
      </x:c>
      <x:c r="G17" s="283"/>
      <x:c r="H17" s="54" t="s">
        <x:v>7</x:v>
      </x:c>
      <x:c r="I17" s="58"/>
      <x:c r="J17" s="54" t="s">
        <x:v>89</x:v>
      </x:c>
      <x:c r="K17" s="58">
        <x:v>6000</x:v>
      </x:c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</x:v>
      </x:c>
      <x:c r="D18" s="284" t="s">
        <x:v>129</x:v>
      </x:c>
      <x:c r="E18" s="285"/>
      <x:c r="F18" s="292">
        <x:v>9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SUM('1:18'!$C$18)</x:f>
        <x:v>228</x:v>
      </x:c>
      <x:c r="D19" s="276"/>
      <x:c r="E19" s="277"/>
      <x:c r="F19" s="283">
        <x:f>SUM('1:18'!$F$18)</x:f>
        <x:v>90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57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SUM('1:18'!$F$20)</x:f>
        <x:v>1090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1420014</x:v>
      </x:c>
      <x:c r="J23" s="61" t="s">
        <x:v>118</x:v>
      </x:c>
      <x:c r="K23" s="62">
        <x:f>SUM(K4:K22)</x:f>
        <x:v>6000</x:v>
      </x:c>
      <x:c r="M23" s="89" t="s">
        <x:v>92</x:v>
      </x:c>
      <x:c r="N23" s="279">
        <x:f>C5+C6</x:f>
        <x:v>987000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0.27339507123604156</x:v>
      </x:c>
      <x:c r="J24" s="61" t="s">
        <x:v>8</x:v>
      </x:c>
      <x:c r="K24" s="63">
        <x:f>K23/A25</x:f>
        <x:v>0.0011551790527531767</x:v>
      </x:c>
    </x:row>
    <x:row r="25" spans="1:11" ht="34.149999999999999" customHeight="1">
      <x:c r="A25" s="308">
        <x:f>C2</x:f>
        <x:v>5194000</x:v>
      </x:c>
      <x:c r="B25" s="272"/>
      <x:c r="C25" s="272">
        <x:f>E25/I1</x:f>
        <x:v>4449122.222222222</x:v>
      </x:c>
      <x:c r="D25" s="272"/>
      <x:c r="E25" s="272">
        <x:f>SUM('1:18'!$A$25)</x:f>
        <x:v>80084200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SUM('1:18'!$K$21)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0.06636124229248716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/>
      <x:c r="G27" s="258"/>
      <x:c r="H27" s="112" t="s">
        <x:v>117</x:v>
      </x:c>
      <x:c r="I27" s="113">
        <x:f>SUM(C27:D34,F27:G32)</x:f>
        <x:v>733129.0322580646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0.14114921683828738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SUM('1:18'!$I$25)</x:f>
        <x:v>95660766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130.48285061820741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140000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>
        <x:v>77000</x:v>
      </x:c>
      <x:c r="G32" s="307"/>
    </x:row>
    <x:row r="33" spans="1:5" customHeight="1">
      <x:c r="A33" s="315"/>
      <x:c r="B33" s="54" t="s">
        <x:v>21</x:v>
      </x:c>
      <x:c r="C33" s="304"/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  <x:row r="35" spans="2:4" customHeight="1">
      <x:c r="B35" s="54"/>
      <x:c r="C35" s="306"/>
      <x:c r="D35" s="307"/>
    </x:row>
  </x:sheetData>
  <x:mergeCells count="75">
    <x:mergeCell ref="C35:D35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O36"/>
  <x:sheetViews>
    <x:sheetView topLeftCell="A2" zoomScale="85" zoomScaleNormal="85" zoomScaleSheetLayoutView="75" workbookViewId="0">
      <x:selection activeCell="E33" activeCellId="0" sqref="E33:E33"/>
    </x:sheetView>
  </x:sheetViews>
  <x:sheetFormatPr defaultColWidth="8.625" defaultRowHeight="13.5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124</x:v>
      </x:c>
      <x:c r="D1" s="68"/>
      <x:c r="E1" s="68" t="s">
        <x:v>158</x:v>
      </x:c>
      <x:c r="F1" s="68">
        <x:v>19</x:v>
      </x:c>
      <x:c r="G1" s="68" t="s">
        <x:v>19</x:v>
      </x:c>
      <x:c r="H1" s="52" t="s">
        <x:v>122</x:v>
      </x:c>
      <x:c r="I1" s="52">
        <x:f>F1-K1</x:f>
        <x:v>19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5971000</x:v>
      </x:c>
      <x:c r="D2" s="271"/>
      <x:c r="E2" s="274" t="s">
        <x:v>39</x:v>
      </x:c>
      <x:c r="F2" s="275"/>
      <x:c r="G2" s="263">
        <x:v>108600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5147000</x:v>
      </x:c>
      <x:c r="D4" s="258"/>
      <x:c r="E4" s="273" t="s">
        <x:v>145</x:v>
      </x:c>
      <x:c r="F4" s="273"/>
      <x:c r="G4" s="134">
        <x:f>INT(C4*0.0275)</x:f>
        <x:v>141542</x:v>
      </x:c>
      <x:c r="H4" s="54" t="s">
        <x:v>20</x:v>
      </x:c>
      <x:c r="I4" s="125"/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824000</x:v>
      </x:c>
      <x:c r="D5" s="258"/>
      <x:c r="E5" s="257" t="s">
        <x:v>69</x:v>
      </x:c>
      <x:c r="F5" s="257"/>
      <x:c r="G5" s="134">
        <x:f>INT(C5*0.01)</x:f>
        <x:v>8240</x:v>
      </x:c>
      <x:c r="H5" s="54" t="s">
        <x:v>6</x:v>
      </x:c>
      <x:c r="I5" s="125"/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860000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72600</x:v>
      </x:c>
      <x:c r="D8" s="258"/>
      <x:c r="E8" s="284" t="s">
        <x:v>109</x:v>
      </x:c>
      <x:c r="F8" s="285"/>
      <x:c r="G8" s="290">
        <x:f>C5+G2-G6-C22</x:f>
        <x:v>72600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v>60000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163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15</x:v>
      </x:c>
      <x:c r="D12" s="284" t="s">
        <x:v>132</x:v>
      </x:c>
      <x:c r="E12" s="285"/>
      <x:c r="F12" s="288">
        <x:v>11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SUM('1:19'!$C$12)</x:f>
        <x:v>176</x:v>
      </x:c>
      <x:c r="D13" s="276"/>
      <x:c r="E13" s="277"/>
      <x:c r="F13" s="286">
        <x:f>SUM('1:19'!$F$12)</x:f>
        <x:v>109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22</x:v>
      </x:c>
      <x:c r="D14" s="284" t="s">
        <x:v>94</x:v>
      </x:c>
      <x:c r="E14" s="285"/>
      <x:c r="F14" s="288">
        <x:v>25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SUM('1:19'!$C$14)</x:f>
        <x:v>482</x:v>
      </x:c>
      <x:c r="D15" s="276"/>
      <x:c r="E15" s="277"/>
      <x:c r="F15" s="286">
        <x:f>SUM('1:19'!$F$14)</x:f>
        <x:v>196</x:v>
      </x:c>
      <x:c r="G15" s="287"/>
      <x:c r="H15" s="54" t="s">
        <x:v>105</x:v>
      </x:c>
      <x:c r="I15" s="58"/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5</x:v>
      </x:c>
      <x:c r="D16" s="284" t="s">
        <x:v>116</x:v>
      </x:c>
      <x:c r="E16" s="285"/>
      <x:c r="F16" s="282">
        <x:v>25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SUM('1:19'!$C$16)</x:f>
        <x:v>79</x:v>
      </x:c>
      <x:c r="D17" s="276"/>
      <x:c r="E17" s="277"/>
      <x:c r="F17" s="283">
        <x:f>SUM('1:19'!$F$16)</x:f>
        <x:v>215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14</x:v>
      </x:c>
      <x:c r="D18" s="284" t="s">
        <x:v>129</x:v>
      </x:c>
      <x:c r="E18" s="285"/>
      <x:c r="F18" s="292">
        <x:v>13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SUM('1:19'!$C$18)</x:f>
        <x:v>242</x:v>
      </x:c>
      <x:c r="D19" s="276"/>
      <x:c r="E19" s="277"/>
      <x:c r="F19" s="283">
        <x:f>SUM('1:19'!$F$18)</x:f>
        <x:v>103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69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SUM('1:19'!$F$20)</x:f>
        <x:v>1159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0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824000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5971000</x:v>
      </x:c>
      <x:c r="B25" s="272"/>
      <x:c r="C25" s="272">
        <x:f>E25/I1</x:f>
        <x:v>4529221.0526315793</x:v>
      </x:c>
      <x:c r="D25" s="272"/>
      <x:c r="E25" s="272">
        <x:f>SUM('1:19'!$A$25)</x:f>
        <x:v>86055200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SUM('1:18'!$K$21)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0.061756721267279609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/>
      <x:c r="G27" s="258"/>
      <x:c r="H27" s="112" t="s">
        <x:v>117</x:v>
      </x:c>
      <x:c r="I27" s="113">
        <x:f>SUM(C27:D34,F27:G32)</x:f>
        <x:v>788129.0322580646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0.131992803928666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SUM('1:18'!$I$25)</x:f>
        <x:v>95660766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121.37703610019645</x:v>
      </x:c>
      <x:c r="M30" s="66"/>
    </x:row>
    <x:row r="31" spans="1:7" ht="30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142000</x:v>
      </x:c>
      <x:c r="G31" s="307"/>
    </x:row>
    <x:row r="32" spans="1:7" ht="30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ht="30" customHeight="1">
      <x:c r="A33" s="315"/>
      <x:c r="B33" s="54" t="s">
        <x:v>21</x:v>
      </x:c>
      <x:c r="C33" s="304">
        <x:f>13000*10</x:f>
        <x:v>130000</x:v>
      </x:c>
      <x:c r="D33" s="305"/>
      <x:c r="E33" s="55" t="s">
        <x:v>56</x:v>
      </x:c>
    </x:row>
    <x:row r="34" spans="1:4" ht="30" customHeight="1">
      <x:c r="A34" s="316"/>
      <x:c r="B34" s="54"/>
      <x:c r="C34" s="306"/>
      <x:c r="D34" s="307"/>
    </x:row>
    <x:row r="35" spans="2:4">
      <x:c r="B35" s="294"/>
      <x:c r="C35" s="297"/>
      <x:c r="D35" s="298"/>
    </x:row>
    <x:row r="36" spans="2:4">
      <x:c r="B36" s="295"/>
      <x:c r="C36" s="299"/>
      <x:c r="D36" s="300"/>
    </x:row>
  </x:sheetData>
  <x:mergeCells count="76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F14:G14"/>
    <x:mergeCell ref="F15:G15"/>
    <x:mergeCell ref="F12:G12"/>
    <x:mergeCell ref="F13:G13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F32:G32"/>
    <x:mergeCell ref="A25:B25"/>
    <x:mergeCell ref="C25:D25"/>
    <x:mergeCell ref="E25:G25"/>
    <x:mergeCell ref="A26:B26"/>
    <x:mergeCell ref="C26:D26"/>
    <x:mergeCell ref="E26:G26"/>
    <x:mergeCell ref="B35:B36"/>
    <x:mergeCell ref="C35:D3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opLeftCell="A1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20</x:v>
      </x:c>
      <x:c r="G1" s="68" t="s">
        <x:v>48</x:v>
      </x:c>
      <x:c r="H1" s="52" t="s">
        <x:v>122</x:v>
      </x:c>
      <x:c r="I1" s="52">
        <x:f>F1-K1</x:f>
        <x:v>20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4691000</x:v>
      </x:c>
      <x:c r="D2" s="271"/>
      <x:c r="E2" s="274" t="s">
        <x:v>39</x:v>
      </x:c>
      <x:c r="F2" s="275"/>
      <x:c r="G2" s="263">
        <x:v>72600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3578000</x:v>
      </x:c>
      <x:c r="D4" s="258"/>
      <x:c r="E4" s="273" t="s">
        <x:v>145</x:v>
      </x:c>
      <x:c r="F4" s="273"/>
      <x:c r="G4" s="134">
        <x:f>INT(C4*0.0275)</x:f>
        <x:v>98395</x:v>
      </x:c>
      <x:c r="H4" s="54" t="s">
        <x:v>20</x:v>
      </x:c>
      <x:c r="I4" s="125">
        <x:f>297053+567122+206528+237276+452000+243100</x:f>
        <x:v>2003079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1113000</x:v>
      </x:c>
      <x:c r="D5" s="258"/>
      <x:c r="E5" s="257" t="s">
        <x:v>69</x:v>
      </x:c>
      <x:c r="F5" s="257"/>
      <x:c r="G5" s="134">
        <x:f>INT(C5*0.01)</x:f>
        <x:v>11130</x:v>
      </x:c>
      <x:c r="H5" s="54" t="s">
        <x:v>6</x:v>
      </x:c>
      <x:c r="I5" s="125">
        <x:f>50000+34500+36000+33870+14920+30160</x:f>
        <x:v>199450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1100000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>
        <x:v>190100</x:v>
      </x:c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58600</x:v>
      </x:c>
      <x:c r="D8" s="258"/>
      <x:c r="E8" s="284" t="s">
        <x:v>109</x:v>
      </x:c>
      <x:c r="F8" s="285"/>
      <x:c r="G8" s="290">
        <x:f>C5+G2-G6-C22</x:f>
        <x:v>85600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>
        <x:v>13000</x:v>
      </x:c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12</x:v>
      </x:c>
      <x:c r="D12" s="284" t="s">
        <x:v>132</x:v>
      </x:c>
      <x:c r="E12" s="285"/>
      <x:c r="F12" s="288">
        <x:v>4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SUM('1:20'!$C$12)</x:f>
        <x:v>188</x:v>
      </x:c>
      <x:c r="D13" s="276"/>
      <x:c r="E13" s="277"/>
      <x:c r="F13" s="286">
        <x:f>SUM('1:20'!$F$12)</x:f>
        <x:v>113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16</x:v>
      </x:c>
      <x:c r="D14" s="284" t="s">
        <x:v>94</x:v>
      </x:c>
      <x:c r="E14" s="285"/>
      <x:c r="F14" s="288">
        <x:v>8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SUM('1:20'!$C$14)</x:f>
        <x:v>498</x:v>
      </x:c>
      <x:c r="D15" s="276"/>
      <x:c r="E15" s="277"/>
      <x:c r="F15" s="286">
        <x:f>SUM('1:20'!$F$14)</x:f>
        <x:v>204</x:v>
      </x:c>
      <x:c r="G15" s="287"/>
      <x:c r="H15" s="54" t="s">
        <x:v>105</x:v>
      </x:c>
      <x:c r="I15" s="58">
        <x:f>11800+10600+4200+4800+9300+9800+14400+4000+11000</x:f>
        <x:v>79900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3</x:v>
      </x:c>
      <x:c r="D16" s="284" t="s">
        <x:v>116</x:v>
      </x:c>
      <x:c r="E16" s="285"/>
      <x:c r="F16" s="282">
        <x:v>15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SUM('1:20'!$C$16)</x:f>
        <x:v>82</x:v>
      </x:c>
      <x:c r="D17" s="276"/>
      <x:c r="E17" s="277"/>
      <x:c r="F17" s="283">
        <x:f>SUM('1:20'!$F$16)</x:f>
        <x:v>230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21</x:v>
      </x:c>
      <x:c r="D18" s="284" t="s">
        <x:v>129</x:v>
      </x:c>
      <x:c r="E18" s="285"/>
      <x:c r="F18" s="292">
        <x:v>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SUM('1:20'!$C$18)</x:f>
        <x:v>263</x:v>
      </x:c>
      <x:c r="D19" s="276"/>
      <x:c r="E19" s="277"/>
      <x:c r="F19" s="283">
        <x:f>SUM('1:20'!$F$18)</x:f>
        <x:v>105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60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SUM('1:20'!$F$20)</x:f>
        <x:v>1219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2472529</x:v>
      </x:c>
      <x:c r="J23" s="61" t="s">
        <x:v>118</x:v>
      </x:c>
      <x:c r="K23" s="62">
        <x:f>SUM(K4:K22)</x:f>
        <x:v>13000</x:v>
      </x:c>
      <x:c r="M23" s="89" t="s">
        <x:v>92</x:v>
      </x:c>
      <x:c r="N23" s="279">
        <x:f>C5+C6</x:f>
        <x:v>1113000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0.52707930078874443</x:v>
      </x:c>
      <x:c r="J24" s="61" t="s">
        <x:v>8</x:v>
      </x:c>
      <x:c r="K24" s="63">
        <x:f>K23/A25</x:f>
        <x:v>0.002771264122788318</x:v>
      </x:c>
    </x:row>
    <x:row r="25" spans="1:11" ht="34.149999999999999" customHeight="1">
      <x:c r="A25" s="308">
        <x:f>C2</x:f>
        <x:v>4691000</x:v>
      </x:c>
      <x:c r="B25" s="272"/>
      <x:c r="C25" s="272">
        <x:f>E25/I1</x:f>
        <x:v>4537310</x:v>
      </x:c>
      <x:c r="D25" s="272"/>
      <x:c r="E25" s="272">
        <x:f>SUM('1:20'!$A$25)</x:f>
        <x:v>90746200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SUM('1:20'!$K$21)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0.058564292499300244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13000*5.25</x:f>
        <x:v>68250</x:v>
      </x:c>
      <x:c r="G27" s="258"/>
      <x:c r="H27" s="112" t="s">
        <x:v>117</x:v>
      </x:c>
      <x:c r="I27" s="113">
        <x:f>SUM(C27:D34,F27:G32)</x:f>
        <x:v>756379.0322580646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0.16124046733277864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SUM('1:20'!$I$25)</x:f>
        <x:v>106289740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140.52444008486952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13000*4</x:f>
        <x:v>52000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opLeftCell="A1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21</x:v>
      </x:c>
      <x:c r="G1" s="68" t="s">
        <x:v>61</x:v>
      </x:c>
      <x:c r="H1" s="52" t="s">
        <x:v>122</x:v>
      </x:c>
      <x:c r="I1" s="52">
        <x:f>F1-K1</x:f>
        <x:v>21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4389500</x:v>
      </x:c>
      <x:c r="D2" s="271"/>
      <x:c r="E2" s="274" t="s">
        <x:v>39</x:v>
      </x:c>
      <x:c r="F2" s="275"/>
      <x:c r="G2" s="263">
        <x:v>58600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4031500</x:v>
      </x:c>
      <x:c r="D4" s="258"/>
      <x:c r="E4" s="273" t="s">
        <x:v>145</x:v>
      </x:c>
      <x:c r="F4" s="273"/>
      <x:c r="G4" s="134">
        <x:f>INT(C4*0.0275)</x:f>
        <x:v>110866</x:v>
      </x:c>
      <x:c r="H4" s="54" t="s">
        <x:v>20</x:v>
      </x:c>
      <x:c r="I4" s="125">
        <x:f>306684+221000+464412+216209</x:f>
        <x:v>1208305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358000</x:v>
      </x:c>
      <x:c r="D5" s="258"/>
      <x:c r="E5" s="257" t="s">
        <x:v>69</x:v>
      </x:c>
      <x:c r="F5" s="257"/>
      <x:c r="G5" s="134">
        <x:f>INT(C5*0.01)</x:f>
        <x:v>3580</x:v>
      </x:c>
      <x:c r="H5" s="54" t="s">
        <x:v>6</x:v>
      </x:c>
      <x:c r="I5" s="125">
        <x:f>50000+69000+49500+26675+44000+30300</x:f>
        <x:v>269475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290000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>
        <x:v>247200</x:v>
      </x:c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126600</x:v>
      </x:c>
      <x:c r="D8" s="258"/>
      <x:c r="E8" s="284" t="s">
        <x:v>109</x:v>
      </x:c>
      <x:c r="F8" s="285"/>
      <x:c r="G8" s="290">
        <x:f>C5+G2-G6-C22</x:f>
        <x:v>126600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3</x:v>
      </x:c>
      <x:c r="D12" s="284" t="s">
        <x:v>132</x:v>
      </x:c>
      <x:c r="E12" s="285"/>
      <x:c r="F12" s="288">
        <x:v>6</x:v>
      </x:c>
      <x:c r="G12" s="289"/>
      <x:c r="H12" s="54" t="s">
        <x:v>101</x:v>
      </x:c>
      <x:c r="I12" s="58"/>
      <x:c r="J12" s="54"/>
      <x:c r="K12" s="58">
        <x:v>82000</x:v>
      </x:c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SUM('1:21'!$C$12)</x:f>
        <x:v>191</x:v>
      </x:c>
      <x:c r="D13" s="276"/>
      <x:c r="E13" s="277"/>
      <x:c r="F13" s="286">
        <x:f>SUM('1:21'!$F$12)</x:f>
        <x:v>119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19</x:v>
      </x:c>
      <x:c r="D14" s="284" t="s">
        <x:v>94</x:v>
      </x:c>
      <x:c r="E14" s="285"/>
      <x:c r="F14" s="288">
        <x:v>7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SUM('1:21'!$C$14)</x:f>
        <x:v>517</x:v>
      </x:c>
      <x:c r="D15" s="276"/>
      <x:c r="E15" s="277"/>
      <x:c r="F15" s="286">
        <x:f>SUM('1:21'!$F$14)</x:f>
        <x:v>211</x:v>
      </x:c>
      <x:c r="G15" s="287"/>
      <x:c r="H15" s="54" t="s">
        <x:v>105</x:v>
      </x:c>
      <x:c r="I15" s="58">
        <x:v>93050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4</x:v>
      </x:c>
      <x:c r="D16" s="284" t="s">
        <x:v>116</x:v>
      </x:c>
      <x:c r="E16" s="285"/>
      <x:c r="F16" s="282">
        <x:v>6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SUM('1:21'!$C$16)</x:f>
        <x:v>86</x:v>
      </x:c>
      <x:c r="D17" s="276"/>
      <x:c r="E17" s="277"/>
      <x:c r="F17" s="283">
        <x:f>SUM('1:21'!$F$16)</x:f>
        <x:v>236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</x:v>
      </x:c>
      <x:c r="D18" s="284" t="s">
        <x:v>129</x:v>
      </x:c>
      <x:c r="E18" s="285"/>
      <x:c r="F18" s="292">
        <x:v>5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SUM('1:21'!$C$18)</x:f>
        <x:v>264</x:v>
      </x:c>
      <x:c r="D19" s="276"/>
      <x:c r="E19" s="277"/>
      <x:c r="F19" s="283">
        <x:f>SUM('1:21'!$F$18)</x:f>
        <x:v>110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72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SUM('1:21'!$F$20)</x:f>
        <x:v>1291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1818030</x:v>
      </x:c>
      <x:c r="J23" s="61" t="s">
        <x:v>118</x:v>
      </x:c>
      <x:c r="K23" s="62">
        <x:f>SUM(K4:K22)</x:f>
        <x:v>82000</x:v>
      </x:c>
      <x:c r="M23" s="89" t="s">
        <x:v>92</x:v>
      </x:c>
      <x:c r="N23" s="279">
        <x:f>C5+C6</x:f>
        <x:v>358000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0.4141770133272582</x:v>
      </x:c>
      <x:c r="J24" s="61" t="s">
        <x:v>8</x:v>
      </x:c>
      <x:c r="K24" s="63">
        <x:f>K23/A25</x:f>
        <x:v>0.018680943159813189</x:v>
      </x:c>
    </x:row>
    <x:row r="25" spans="1:11" ht="34.149999999999999" customHeight="1">
      <x:c r="A25" s="308">
        <x:f>C2</x:f>
        <x:v>4389500</x:v>
      </x:c>
      <x:c r="B25" s="272"/>
      <x:c r="C25" s="272">
        <x:f>E25/I1</x:f>
        <x:v>4530271.4285714282</x:v>
      </x:c>
      <x:c r="D25" s="272"/>
      <x:c r="E25" s="272">
        <x:f>SUM('1:21'!$A$25)</x:f>
        <x:v>95135700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SUM('1:21'!$K$21)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0.055862173716070836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13000*4.5</x:f>
        <x:v>58500</x:v>
      </x:c>
      <x:c r="G27" s="258"/>
      <x:c r="H27" s="112" t="s">
        <x:v>117</x:v>
      </x:c>
      <x:c r="I27" s="113">
        <x:f>SUM(C27:D34,F27:G32)</x:f>
        <x:v>792129.0322580646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0.18045996862013092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SUM('1:21'!$I$25)</x:f>
        <x:v>111604227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>
        <x:f>13000*3.5</x:f>
        <x:v>45500</x:v>
      </x:c>
      <x:c r="G30" s="307"/>
      <x:c r="H30" s="112" t="s">
        <x:v>127</x:v>
      </x:c>
      <x:c r="I30" s="114">
        <x:f>I29/$I$27</x:f>
        <x:v>140.89147405929302</x:v>
      </x:c>
      <x:c r="M30" s="66"/>
    </x:row>
    <x:row r="31" spans="1:7" customHeight="1">
      <x:c r="A31" s="315"/>
      <x:c r="B31" s="54" t="s">
        <x:v>40</x:v>
      </x:c>
      <x:c r="C31" s="272">
        <x:f>3500000/31</x:f>
        <x:v>112903.22580645161</x:v>
      </x:c>
      <x:c r="D31" s="272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13000*4</x:f>
        <x:v>52000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C33:D33"/>
    <x:mergeCell ref="A23:B23"/>
    <x:mergeCell ref="C23:G23"/>
    <x:mergeCell ref="A24:B24"/>
    <x:mergeCell ref="C24:D24"/>
    <x:mergeCell ref="E24:G24"/>
    <x:mergeCell ref="F32:G32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G8:G9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opLeftCell="A25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22</x:v>
      </x:c>
      <x:c r="G1" s="68" t="s">
        <x:v>27</x:v>
      </x:c>
      <x:c r="H1" s="52" t="s">
        <x:v>122</x:v>
      </x:c>
      <x:c r="I1" s="52">
        <x:f>F1-K1</x:f>
        <x:v>22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4046500</x:v>
      </x:c>
      <x:c r="D2" s="271"/>
      <x:c r="E2" s="274" t="s">
        <x:v>39</x:v>
      </x:c>
      <x:c r="F2" s="275"/>
      <x:c r="G2" s="263">
        <x:v>126600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3672500</x:v>
      </x:c>
      <x:c r="D4" s="258"/>
      <x:c r="E4" s="273" t="s">
        <x:v>145</x:v>
      </x:c>
      <x:c r="F4" s="273"/>
      <x:c r="G4" s="134">
        <x:f>INT(C4*0.0275)</x:f>
        <x:v>100993</x:v>
      </x:c>
      <x:c r="H4" s="54" t="s">
        <x:v>20</x:v>
      </x:c>
      <x:c r="I4" s="125">
        <x:f>294714+56220+439200+221000+196847</x:f>
        <x:v>1207981</x:v>
      </x:c>
      <x:c r="J4" s="81" t="s">
        <x:v>35</x:v>
      </x:c>
      <x:c r="K4" s="58">
        <x:v>313000</x:v>
      </x:c>
    </x:row>
    <x:row r="5" spans="1:11" ht="30.949999999999999" customHeight="1">
      <x:c r="A5" s="265" t="s">
        <x:v>60</x:v>
      </x:c>
      <x:c r="B5" s="266"/>
      <x:c r="C5" s="258">
        <x:v>374000</x:v>
      </x:c>
      <x:c r="D5" s="258"/>
      <x:c r="E5" s="257" t="s">
        <x:v>69</x:v>
      </x:c>
      <x:c r="F5" s="257"/>
      <x:c r="G5" s="134">
        <x:f>INT(C5*0.01)</x:f>
        <x:v>3740</x:v>
      </x:c>
      <x:c r="H5" s="54" t="s">
        <x:v>6</x:v>
      </x:c>
      <x:c r="I5" s="125">
        <x:f>26675+7000+29840+17170</x:f>
        <x:v>80685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420000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>
        <x:f>227400-14200</x:f>
        <x:v>213200</x:v>
      </x:c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80600</x:v>
      </x:c>
      <x:c r="D8" s="258"/>
      <x:c r="E8" s="284" t="s">
        <x:v>109</x:v>
      </x:c>
      <x:c r="F8" s="285"/>
      <x:c r="G8" s="290">
        <x:f>C5+G2-G6-C22</x:f>
        <x:v>80600</x:v>
      </x:c>
      <x:c r="H8" s="54" t="s">
        <x:v>44</x:v>
      </x:c>
      <x:c r="I8" s="125">
        <x:v>65000</x:v>
      </x:c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6</x:v>
      </x:c>
      <x:c r="D12" s="284" t="s">
        <x:v>132</x:v>
      </x:c>
      <x:c r="E12" s="285"/>
      <x:c r="F12" s="288">
        <x:v>8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SUM('1:22'!$C$12)</x:f>
        <x:v>197</x:v>
      </x:c>
      <x:c r="D13" s="276"/>
      <x:c r="E13" s="277"/>
      <x:c r="F13" s="286">
        <x:f>SUM('1:22'!$F$12)</x:f>
        <x:v>127</x:v>
      </x:c>
      <x:c r="G13" s="287"/>
      <x:c r="H13" s="54" t="s">
        <x:v>125</x:v>
      </x:c>
      <x:c r="I13" s="58">
        <x:v>240000</x:v>
      </x:c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16</x:v>
      </x:c>
      <x:c r="D14" s="284" t="s">
        <x:v>94</x:v>
      </x:c>
      <x:c r="E14" s="285"/>
      <x:c r="F14" s="288">
        <x:v>5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SUM('1:22'!$C$14)</x:f>
        <x:v>533</x:v>
      </x:c>
      <x:c r="D15" s="276"/>
      <x:c r="E15" s="277"/>
      <x:c r="F15" s="286">
        <x:f>SUM('1:22'!$F$14)</x:f>
        <x:v>216</x:v>
      </x:c>
      <x:c r="G15" s="287"/>
      <x:c r="H15" s="54" t="s">
        <x:v>105</x:v>
      </x:c>
      <x:c r="I15" s="58">
        <x:f>10500+11800+6600+20400+5500+4900+9600+5500+7000+12500+16000</x:f>
        <x:v>110300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2</x:v>
      </x:c>
      <x:c r="D16" s="284" t="s">
        <x:v>116</x:v>
      </x:c>
      <x:c r="E16" s="285"/>
      <x:c r="F16" s="282">
        <x:v>8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SUM('1:22'!$C$16)</x:f>
        <x:v>88</x:v>
      </x:c>
      <x:c r="D17" s="276"/>
      <x:c r="E17" s="277"/>
      <x:c r="F17" s="283">
        <x:f>SUM('1:22'!$F$16)</x:f>
        <x:v>244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28</x:v>
      </x:c>
      <x:c r="D18" s="284" t="s">
        <x:v>129</x:v>
      </x:c>
      <x:c r="E18" s="285"/>
      <x:c r="F18" s="292">
        <x:v>1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SUM('1:22'!$C$18)</x:f>
        <x:v>292</x:v>
      </x:c>
      <x:c r="D19" s="276"/>
      <x:c r="E19" s="277"/>
      <x:c r="F19" s="283">
        <x:f>SUM('1:22'!$F$18)</x:f>
        <x:v>111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56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 t="s">
        <x:v>156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1917166</x:v>
      </x:c>
      <x:c r="J23" s="61" t="s">
        <x:v>118</x:v>
      </x:c>
      <x:c r="K23" s="62">
        <x:f>SUM(K4:K22)</x:f>
        <x:v>313000</x:v>
      </x:c>
      <x:c r="M23" s="89" t="s">
        <x:v>92</x:v>
      </x:c>
      <x:c r="N23" s="279">
        <x:f>C5+C6</x:f>
        <x:v>374000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0.47378376374644754</x:v>
      </x:c>
      <x:c r="J24" s="61" t="s">
        <x:v>8</x:v>
      </x:c>
      <x:c r="K24" s="63">
        <x:f>K23/A25</x:f>
        <x:v>0.077350796985048806</x:v>
      </x:c>
    </x:row>
    <x:row r="25" spans="1:11" ht="34.149999999999999" customHeight="1">
      <x:c r="A25" s="308">
        <x:f>C2</x:f>
        <x:v>4046500</x:v>
      </x:c>
      <x:c r="B25" s="272"/>
      <x:c r="C25" s="272">
        <x:f>E25/I1</x:f>
        <x:v>4508281.8181818184</x:v>
      </x:c>
      <x:c r="D25" s="272"/>
      <x:c r="E25" s="272">
        <x:f>SUM('1:22'!$A$25)</x:f>
        <x:v>99182200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SUM('1:22'!$K$21)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0.053583072365807574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13000*4.5</x:f>
        <x:v>58500</x:v>
      </x:c>
      <x:c r="G27" s="258"/>
      <x:c r="H27" s="112" t="s">
        <x:v>117</x:v>
      </x:c>
      <x:c r="I27" s="113">
        <x:f>SUM(C27:D34,F27:G32)</x:f>
        <x:v>765629.0322580646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0.1892077183388273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SUM('1:22'!$I$25)</x:f>
        <x:v>116918714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152.70935279866859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>
        <x:v>71000</x:v>
      </x:c>
      <x:c r="G32" s="307"/>
    </x:row>
    <x:row r="33" spans="1:5" customHeight="1">
      <x:c r="A33" s="315"/>
      <x:c r="B33" s="54" t="s">
        <x:v>21</x:v>
      </x:c>
      <x:c r="C33" s="304"/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F27:G27"/>
    <x:mergeCell ref="C27:D27"/>
    <x:mergeCell ref="C29:D29"/>
    <x:mergeCell ref="F29:G29"/>
    <x:mergeCell ref="C30:D30"/>
    <x:mergeCell ref="A24:B24"/>
    <x:mergeCell ref="C24:D24"/>
    <x:mergeCell ref="E24:G24"/>
    <x:mergeCell ref="A22:B22"/>
    <x:mergeCell ref="C22:G22"/>
    <x:mergeCell ref="F15:G15"/>
    <x:mergeCell ref="A23:B23"/>
    <x:mergeCell ref="C23:G23"/>
    <x:mergeCell ref="F16:G16"/>
    <x:mergeCell ref="F17:G17"/>
    <x:mergeCell ref="A6:B7"/>
    <x:mergeCell ref="A11:B11"/>
    <x:mergeCell ref="C11:G11"/>
    <x:mergeCell ref="F12:G12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J2:K2"/>
    <x:mergeCell ref="H2:I2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opLeftCell="A1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23</x:v>
      </x:c>
      <x:c r="G1" s="68" t="s">
        <x:v>49</x:v>
      </x:c>
      <x:c r="H1" s="52" t="s">
        <x:v>122</x:v>
      </x:c>
      <x:c r="I1" s="52">
        <x:f>F1-K1</x:f>
        <x:v>23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5220000</x:v>
      </x:c>
      <x:c r="D2" s="271"/>
      <x:c r="E2" s="274" t="s">
        <x:v>39</x:v>
      </x:c>
      <x:c r="F2" s="275"/>
      <x:c r="G2" s="263">
        <x:v>80600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4531000</x:v>
      </x:c>
      <x:c r="D4" s="258"/>
      <x:c r="E4" s="273" t="s">
        <x:v>145</x:v>
      </x:c>
      <x:c r="F4" s="273"/>
      <x:c r="G4" s="134">
        <x:f>INT(C4*0.0275)</x:f>
        <x:v>124602</x:v>
      </x:c>
      <x:c r="H4" s="54" t="s">
        <x:v>20</x:v>
      </x:c>
      <x:c r="I4" s="125">
        <x:f>296948+158123</x:f>
        <x:v>455071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689000</x:v>
      </x:c>
      <x:c r="D5" s="258"/>
      <x:c r="E5" s="257" t="s">
        <x:v>69</x:v>
      </x:c>
      <x:c r="F5" s="257"/>
      <x:c r="G5" s="134">
        <x:v>0</x:v>
      </x:c>
      <x:c r="H5" s="54" t="s">
        <x:v>6</x:v>
      </x:c>
      <x:c r="I5" s="125">
        <x:f>50000+34500+36000+45430+39490+44000+29656+44000+39380+3500+29840+17170+44250</x:f>
        <x:v>457216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650000</x:v>
      </x:c>
      <x:c r="H6" s="54"/>
      <x:c r="I6" s="125"/>
      <x:c r="J6" s="82" t="s">
        <x:v>126</x:v>
      </x:c>
      <x:c r="K6" s="58">
        <x:v>196000</x:v>
      </x:c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119600</x:v>
      </x:c>
      <x:c r="D8" s="258"/>
      <x:c r="E8" s="284" t="s">
        <x:v>109</x:v>
      </x:c>
      <x:c r="F8" s="285"/>
      <x:c r="G8" s="290">
        <x:f>C5+G2-G6-C22</x:f>
        <x:v>119600</x:v>
      </x:c>
      <x:c r="H8" s="54" t="s">
        <x:v>44</x:v>
      </x:c>
      <x:c r="I8" s="125">
        <x:v>65000</x:v>
      </x:c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v>32000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159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13</x:v>
      </x:c>
      <x:c r="D12" s="284" t="s">
        <x:v>132</x:v>
      </x:c>
      <x:c r="E12" s="285"/>
      <x:c r="F12" s="288">
        <x:v>6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SUM('1:23'!$C$12)</x:f>
        <x:v>210</x:v>
      </x:c>
      <x:c r="D13" s="276"/>
      <x:c r="E13" s="277"/>
      <x:c r="F13" s="286">
        <x:f>SUM('1:23'!$F$12)</x:f>
        <x:v>133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41</x:v>
      </x:c>
      <x:c r="D14" s="284" t="s">
        <x:v>94</x:v>
      </x:c>
      <x:c r="E14" s="285"/>
      <x:c r="F14" s="288">
        <x:v>6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SUM('1:23'!$C$14)</x:f>
        <x:v>574</x:v>
      </x:c>
      <x:c r="D15" s="276"/>
      <x:c r="E15" s="277"/>
      <x:c r="F15" s="286">
        <x:f>SUM('1:23'!$F$14)</x:f>
        <x:v>222</x:v>
      </x:c>
      <x:c r="G15" s="287"/>
      <x:c r="H15" s="54" t="s">
        <x:v>105</x:v>
      </x:c>
      <x:c r="I15" s="58">
        <x:f>27200+10500+5500+8000+4800+52000+3900+11800+3500+28000+4200</x:f>
        <x:v>159400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6</x:v>
      </x:c>
      <x:c r="D16" s="284" t="s">
        <x:v>116</x:v>
      </x:c>
      <x:c r="E16" s="285"/>
      <x:c r="F16" s="282">
        <x:v>9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SUM('1:23'!$C$16)</x:f>
        <x:v>94</x:v>
      </x:c>
      <x:c r="D17" s="276"/>
      <x:c r="E17" s="277"/>
      <x:c r="F17" s="283">
        <x:f>SUM('1:23'!$F$16)</x:f>
        <x:v>253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13</x:v>
      </x:c>
      <x:c r="D18" s="284" t="s">
        <x:v>129</x:v>
      </x:c>
      <x:c r="E18" s="285"/>
      <x:c r="F18" s="292">
        <x:v>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SUM('1:23'!$C$18)</x:f>
        <x:v>305</x:v>
      </x:c>
      <x:c r="D19" s="276"/>
      <x:c r="E19" s="277"/>
      <x:c r="F19" s="283">
        <x:f>SUM('1:23'!$F$18)</x:f>
        <x:v>113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57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SUM('1:23'!$F$20)</x:f>
        <x:v>1404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1136687</x:v>
      </x:c>
      <x:c r="J23" s="61" t="s">
        <x:v>118</x:v>
      </x:c>
      <x:c r="K23" s="62">
        <x:f>SUM(K4:K22)</x:f>
        <x:v>196000</x:v>
      </x:c>
      <x:c r="M23" s="89" t="s">
        <x:v>92</x:v>
      </x:c>
      <x:c r="N23" s="279">
        <x:f>C5+C6</x:f>
        <x:v>689000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0.21775613026819923</x:v>
      </x:c>
      <x:c r="J24" s="61" t="s">
        <x:v>8</x:v>
      </x:c>
      <x:c r="K24" s="63">
        <x:f>K23/A25</x:f>
        <x:v>0.037547892720306515</x:v>
      </x:c>
    </x:row>
    <x:row r="25" spans="1:11" ht="34.149999999999999" customHeight="1">
      <x:c r="A25" s="308">
        <x:f>C2</x:f>
        <x:v>5220000</x:v>
      </x:c>
      <x:c r="B25" s="272"/>
      <x:c r="C25" s="272">
        <x:f>E25/I1</x:f>
        <x:v>4539226.0869565215</x:v>
      </x:c>
      <x:c r="D25" s="272"/>
      <x:c r="E25" s="272">
        <x:f>SUM('1:23'!$A$25)</x:f>
        <x:v>104402200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SUM('1:23'!$K$21)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0.050903975203587665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</x:f>
        <x:v>65000</x:v>
      </x:c>
      <x:c r="G27" s="258"/>
      <x:c r="H27" s="112" t="s">
        <x:v>117</x:v>
      </x:c>
      <x:c r="I27" s="113">
        <x:f>SUM(C27:D34,F27:G32)</x:f>
        <x:v>753129.0322580646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0.14427759238660243</x:v>
      </x:c>
      <x:c r="M28" s="66" t="s">
        <x:v>62</x:v>
      </x:c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SUM('1:23'!$I$25)</x:f>
        <x:v>122233201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162.30047676360988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13000*4</x:f>
        <x:v>52000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opLeftCell="A16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24</x:v>
      </x:c>
      <x:c r="G1" s="68" t="s">
        <x:v>28</x:v>
      </x:c>
      <x:c r="H1" s="52" t="s">
        <x:v>122</x:v>
      </x:c>
      <x:c r="I1" s="52">
        <x:f>F1-K1</x:f>
        <x:v>24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5141000</x:v>
      </x:c>
      <x:c r="D2" s="271"/>
      <x:c r="E2" s="274" t="s">
        <x:v>39</x:v>
      </x:c>
      <x:c r="F2" s="275"/>
      <x:c r="G2" s="263">
        <x:v>119600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359" t="s">
        <x:v>22</x:v>
      </x:c>
      <x:c r="B4" s="266"/>
      <x:c r="C4" s="258">
        <x:v>4503000</x:v>
      </x:c>
      <x:c r="D4" s="258"/>
      <x:c r="E4" s="273" t="s">
        <x:v>145</x:v>
      </x:c>
      <x:c r="F4" s="273"/>
      <x:c r="G4" s="134">
        <x:f>INT(C4*0.0275)</x:f>
        <x:v>123832</x:v>
      </x:c>
      <x:c r="H4" s="54" t="s">
        <x:v>20</x:v>
      </x:c>
      <x:c r="I4" s="125">
        <x:f>315765+277476+225108</x:f>
        <x:v>818349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638000</x:v>
      </x:c>
      <x:c r="D5" s="258"/>
      <x:c r="E5" s="257" t="s">
        <x:v>69</x:v>
      </x:c>
      <x:c r="F5" s="257"/>
      <x:c r="G5" s="134">
        <x:f>INT(C5*0.01)</x:f>
        <x:v>6380</x:v>
      </x:c>
      <x:c r="H5" s="54" t="s">
        <x:v>6</x:v>
      </x:c>
      <x:c r="I5" s="125">
        <x:f>26675+29656+69000+17170+360300</x:f>
        <x:v>502801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670000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>
        <x:f>392500-29400</x:f>
        <x:v>363100</x:v>
      </x:c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87700</x:v>
      </x:c>
      <x:c r="D8" s="258"/>
      <x:c r="E8" s="284" t="s">
        <x:v>109</x:v>
      </x:c>
      <x:c r="F8" s="285"/>
      <x:c r="G8" s="290">
        <x:f>C5+G2-G6-C22</x:f>
        <x:v>87600</x:v>
      </x:c>
      <x:c r="H8" s="54" t="s">
        <x:v>44</x:v>
      </x:c>
      <x:c r="I8" s="125">
        <x:v>65000</x:v>
      </x:c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6</x:v>
      </x:c>
      <x:c r="D12" s="284" t="s">
        <x:v>132</x:v>
      </x:c>
      <x:c r="E12" s="285"/>
      <x:c r="F12" s="288">
        <x:v>8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SUM('1:24'!$C$12)</x:f>
        <x:v>216</x:v>
      </x:c>
      <x:c r="D13" s="276"/>
      <x:c r="E13" s="277"/>
      <x:c r="F13" s="286">
        <x:f>SUM('1:24'!$F$12)</x:f>
        <x:v>141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17</x:v>
      </x:c>
      <x:c r="D14" s="284" t="s">
        <x:v>94</x:v>
      </x:c>
      <x:c r="E14" s="285"/>
      <x:c r="F14" s="288">
        <x:v>11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SUM('1:24'!$C$14)</x:f>
        <x:v>591</x:v>
      </x:c>
      <x:c r="D15" s="276"/>
      <x:c r="E15" s="277"/>
      <x:c r="F15" s="286">
        <x:f>SUM('1:24'!$F$14)</x:f>
        <x:v>233</x:v>
      </x:c>
      <x:c r="G15" s="287"/>
      <x:c r="H15" s="54" t="s">
        <x:v>105</x:v>
      </x:c>
      <x:c r="I15" s="58">
        <x:f>54400+24000+19200+5500+22000+4900+3500+11800+11200+3500</x:f>
        <x:v>160000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3</x:v>
      </x:c>
      <x:c r="D16" s="284" t="s">
        <x:v>116</x:v>
      </x:c>
      <x:c r="E16" s="285"/>
      <x:c r="F16" s="282">
        <x:v>9</x:v>
      </x:c>
      <x:c r="G16" s="282"/>
      <x:c r="H16" s="54"/>
      <x:c r="I16" s="58"/>
      <x:c r="J16" s="54" t="s">
        <x:v>96</x:v>
      </x:c>
      <x:c r="K16" s="58">
        <x:v>385757</x:v>
      </x:c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SUM('1:24'!$C$16)</x:f>
        <x:v>97</x:v>
      </x:c>
      <x:c r="D17" s="276"/>
      <x:c r="E17" s="277"/>
      <x:c r="F17" s="283">
        <x:f>SUM('1:24'!$F$16)</x:f>
        <x:v>262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10</x:v>
      </x:c>
      <x:c r="D18" s="284" t="s">
        <x:v>129</x:v>
      </x:c>
      <x:c r="E18" s="285"/>
      <x:c r="F18" s="292">
        <x:v>3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SUM('1:24'!$C$18)</x:f>
        <x:v>315</x:v>
      </x:c>
      <x:c r="D19" s="276"/>
      <x:c r="E19" s="277"/>
      <x:c r="F19" s="283">
        <x:f>SUM('1:24'!$F$18)</x:f>
        <x:v>116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63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SUM('1:24'!$F$20)</x:f>
        <x:v>1467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1909250</x:v>
      </x:c>
      <x:c r="J23" s="61" t="s">
        <x:v>118</x:v>
      </x:c>
      <x:c r="K23" s="62">
        <x:f>SUM(K4:K22)</x:f>
        <x:v>385757</x:v>
      </x:c>
      <x:c r="M23" s="89" t="s">
        <x:v>92</x:v>
      </x:c>
      <x:c r="N23" s="279">
        <x:f>C5+C6</x:f>
        <x:v>638000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0.37137716397588016</x:v>
      </x:c>
      <x:c r="J24" s="61" t="s">
        <x:v>8</x:v>
      </x:c>
      <x:c r="K24" s="63">
        <x:f>K23/A25</x:f>
        <x:v>0.075035401672826296</x:v>
      </x:c>
    </x:row>
    <x:row r="25" spans="1:11" ht="34.149999999999999" customHeight="1">
      <x:c r="A25" s="308">
        <x:f>C2</x:f>
        <x:v>5141000</x:v>
      </x:c>
      <x:c r="B25" s="272"/>
      <x:c r="C25" s="272">
        <x:f>E25/I1</x:f>
        <x:v>4564300</x:v>
      </x:c>
      <x:c r="D25" s="272"/>
      <x:c r="E25" s="272">
        <x:f>SUM('1:24'!$A$25)</x:f>
        <x:v>109543200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SUM('1:24'!$K$21)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0.04851498769435255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13000*4.5</x:f>
        <x:v>58500</x:v>
      </x:c>
      <x:c r="G27" s="258"/>
      <x:c r="H27" s="112" t="s">
        <x:v>117</x:v>
      </x:c>
      <x:c r="I27" s="113">
        <x:f>SUM(C27:D34,F27:G32)</x:f>
        <x:v>694629.0322580646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0.13511554799806741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SUM('1:24'!$I$25)</x:f>
        <x:v>127547688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183.61986337567043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/>
      <x:c r="D33" s="305"/>
      <x:c r="E33" s="55" t="s">
        <x:v>56</x:v>
      </x:c>
    </x:row>
    <x:row r="34" spans="1:5" customHeight="1">
      <x:c r="A34" s="316"/>
      <x:c r="B34" s="54"/>
      <x:c r="C34" s="306"/>
      <x:c r="D34" s="307"/>
      <x:c r="E34" s="53">
        <x:v>52000</x:v>
      </x:c>
    </x:row>
  </x:sheetData>
  <x:mergeCells count="74">
    <x:mergeCell ref="F31:G31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2:G32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opLeftCell="A28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25</x:v>
      </x:c>
      <x:c r="G1" s="68" t="s">
        <x:v>18</x:v>
      </x:c>
      <x:c r="H1" s="52" t="s">
        <x:v>122</x:v>
      </x:c>
      <x:c r="I1" s="52">
        <x:f>F1-K1</x:f>
        <x:v>25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5742000</x:v>
      </x:c>
      <x:c r="D2" s="271"/>
      <x:c r="E2" s="274" t="s">
        <x:v>39</x:v>
      </x:c>
      <x:c r="F2" s="275"/>
      <x:c r="G2" s="263">
        <x:v>87700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5058000</x:v>
      </x:c>
      <x:c r="D4" s="258"/>
      <x:c r="E4" s="273" t="s">
        <x:v>145</x:v>
      </x:c>
      <x:c r="F4" s="273"/>
      <x:c r="G4" s="134">
        <x:f>INT(C4*0.0275)</x:f>
        <x:v>139095</x:v>
      </x:c>
      <x:c r="H4" s="54" t="s">
        <x:v>20</x:v>
      </x:c>
      <x:c r="I4" s="125">
        <x:f>276002+253136+439200+904000</x:f>
        <x:v>1872338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684000</x:v>
      </x:c>
      <x:c r="D5" s="258"/>
      <x:c r="E5" s="257" t="s">
        <x:v>69</x:v>
      </x:c>
      <x:c r="F5" s="257"/>
      <x:c r="G5" s="134">
        <x:f>INT(C5*0.01)</x:f>
        <x:v>6840</x:v>
      </x:c>
      <x:c r="H5" s="54" t="s">
        <x:v>6</x:v>
      </x:c>
      <x:c r="I5" s="125">
        <x:f>100000+103500+72000+33440+59312+78760+3500+14920+27280+15580+12000+4950</x:f>
        <x:v>525242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680000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91700</x:v>
      </x:c>
      <x:c r="D8" s="258"/>
      <x:c r="E8" s="284" t="s">
        <x:v>109</x:v>
      </x:c>
      <x:c r="F8" s="285"/>
      <x:c r="G8" s="290">
        <x:f>C5+G2-G6-C22</x:f>
        <x:v>91700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v>61000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154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12</x:v>
      </x:c>
      <x:c r="D12" s="284" t="s">
        <x:v>132</x:v>
      </x:c>
      <x:c r="E12" s="285"/>
      <x:c r="F12" s="288">
        <x:v>3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SUM('1:25'!$C$12)</x:f>
        <x:v>228</x:v>
      </x:c>
      <x:c r="D13" s="276"/>
      <x:c r="E13" s="277"/>
      <x:c r="F13" s="286">
        <x:f>SUM('1:25'!$F$12)</x:f>
        <x:v>144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33</x:v>
      </x:c>
      <x:c r="D14" s="284" t="s">
        <x:v>94</x:v>
      </x:c>
      <x:c r="E14" s="285"/>
      <x:c r="F14" s="288">
        <x:v>30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SUM('1:25'!$C$14)</x:f>
        <x:v>624</x:v>
      </x:c>
      <x:c r="D15" s="276"/>
      <x:c r="E15" s="277"/>
      <x:c r="F15" s="286">
        <x:f>SUM('1:25'!$F$14)</x:f>
        <x:v>263</x:v>
      </x:c>
      <x:c r="G15" s="287"/>
      <x:c r="H15" s="54" t="s">
        <x:v>105</x:v>
      </x:c>
      <x:c r="I15" s="58">
        <x:f>14700+27200+11000+3500+10500+6200+6000</x:f>
        <x:v>79100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4</x:v>
      </x:c>
      <x:c r="D16" s="284" t="s">
        <x:v>116</x:v>
      </x:c>
      <x:c r="E16" s="285"/>
      <x:c r="F16" s="282">
        <x:v>8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SUM('1:25'!$C$16)</x:f>
        <x:v>101</x:v>
      </x:c>
      <x:c r="D17" s="276"/>
      <x:c r="E17" s="277"/>
      <x:c r="F17" s="283">
        <x:f>SUM('1:25'!$F$16)</x:f>
        <x:v>270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11</x:v>
      </x:c>
      <x:c r="D18" s="284" t="s">
        <x:v>129</x:v>
      </x:c>
      <x:c r="E18" s="285"/>
      <x:c r="F18" s="292">
        <x:v>1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SUM('1:25'!$C$18)</x:f>
        <x:v>326</x:v>
      </x:c>
      <x:c r="D19" s="276"/>
      <x:c r="E19" s="277"/>
      <x:c r="F19" s="283">
        <x:f>SUM('1:25'!$F$18)</x:f>
        <x:v>117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59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SUM('1:25'!$F$20)</x:f>
        <x:v>1526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2476680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684000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0.43132706374085683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5742000</x:v>
      </x:c>
      <x:c r="B25" s="272"/>
      <x:c r="C25" s="272">
        <x:f>E25/I1</x:f>
        <x:v>4611408</x:v>
      </x:c>
      <x:c r="D25" s="272"/>
      <x:c r="E25" s="272">
        <x:f>SUM('1:25'!$A$25)</x:f>
        <x:v>115285200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SUM('1:25'!$K$21)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0.046098605892170025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/>
      <x:c r="G27" s="258"/>
      <x:c r="H27" s="112" t="s">
        <x:v>117</x:v>
      </x:c>
      <x:c r="I27" s="113">
        <x:f>SUM(C27:D34,F27:G32)</x:f>
        <x:v>737129.0322580646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0.12837496207907778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SUM('1:25'!$I$25)</x:f>
        <x:v>132862175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180.24276508686708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143000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13000*6</x:f>
        <x:v>78000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opLeftCell="A27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26</x:v>
      </x:c>
      <x:c r="G1" s="68" t="s">
        <x:v>19</x:v>
      </x:c>
      <x:c r="H1" s="52" t="s">
        <x:v>122</x:v>
      </x:c>
      <x:c r="I1" s="52">
        <x:f>F1-K1</x:f>
        <x:v>26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4073500</x:v>
      </x:c>
      <x:c r="D2" s="271"/>
      <x:c r="E2" s="274" t="s">
        <x:v>39</x:v>
      </x:c>
      <x:c r="F2" s="275"/>
      <x:c r="G2" s="263">
        <x:v>91700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3454500</x:v>
      </x:c>
      <x:c r="D4" s="258"/>
      <x:c r="E4" s="273" t="s">
        <x:v>145</x:v>
      </x:c>
      <x:c r="F4" s="273"/>
      <x:c r="G4" s="134">
        <x:f>INT(C4*0.0275)</x:f>
        <x:v>94998</x:v>
      </x:c>
      <x:c r="H4" s="54" t="s">
        <x:v>20</x:v>
      </x:c>
      <x:c r="I4" s="125"/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619000</x:v>
      </x:c>
      <x:c r="D5" s="258"/>
      <x:c r="E5" s="257" t="s">
        <x:v>69</x:v>
      </x:c>
      <x:c r="F5" s="257"/>
      <x:c r="G5" s="134">
        <x:f>INT(C5*0.01)</x:f>
        <x:v>6190</x:v>
      </x:c>
      <x:c r="H5" s="54" t="s">
        <x:v>6</x:v>
      </x:c>
      <x:c r="I5" s="125"/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560000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150700</x:v>
      </x:c>
      <x:c r="D8" s="258"/>
      <x:c r="E8" s="284" t="s">
        <x:v>109</x:v>
      </x:c>
      <x:c r="F8" s="285"/>
      <x:c r="G8" s="290">
        <x:f>C5+G2-G6-C22</x:f>
        <x:v>150700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3</x:v>
      </x:c>
      <x:c r="D12" s="284" t="s">
        <x:v>132</x:v>
      </x:c>
      <x:c r="E12" s="285"/>
      <x:c r="F12" s="288">
        <x:v>11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SUM('1:26'!$C$12)</x:f>
        <x:v>231</x:v>
      </x:c>
      <x:c r="D13" s="276"/>
      <x:c r="E13" s="277"/>
      <x:c r="F13" s="286">
        <x:f>SUM('1:26'!$F$12)</x:f>
        <x:v>155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21</x:v>
      </x:c>
      <x:c r="D14" s="284" t="s">
        <x:v>94</x:v>
      </x:c>
      <x:c r="E14" s="285"/>
      <x:c r="F14" s="288">
        <x:v>25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SUM('1:26'!$C$14)</x:f>
        <x:v>645</x:v>
      </x:c>
      <x:c r="D15" s="276"/>
      <x:c r="E15" s="277"/>
      <x:c r="F15" s="286">
        <x:f>SUM('1:26'!$F$14)</x:f>
        <x:v>288</x:v>
      </x:c>
      <x:c r="G15" s="287"/>
      <x:c r="H15" s="54" t="s">
        <x:v>105</x:v>
      </x:c>
      <x:c r="I15" s="58"/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5</x:v>
      </x:c>
      <x:c r="D16" s="284" t="s">
        <x:v>116</x:v>
      </x:c>
      <x:c r="E16" s="285"/>
      <x:c r="F16" s="282">
        <x:v>10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SUM('1:26'!$C$16)</x:f>
        <x:v>106</x:v>
      </x:c>
      <x:c r="D17" s="276"/>
      <x:c r="E17" s="277"/>
      <x:c r="F17" s="283">
        <x:f>SUM('1:26'!$F$16)</x:f>
        <x:v>280</x:v>
      </x:c>
      <x:c r="G17" s="283"/>
      <x:c r="H17" s="54" t="s">
        <x:v>7</x:v>
      </x:c>
      <x:c r="I17" s="58">
        <x:v>1600</x:v>
      </x:c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16</x:v>
      </x:c>
      <x:c r="D18" s="284" t="s">
        <x:v>129</x:v>
      </x:c>
      <x:c r="E18" s="285"/>
      <x:c r="F18" s="292">
        <x:v>12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SUM('1:26'!$C$18)</x:f>
        <x:v>342</x:v>
      </x:c>
      <x:c r="D19" s="276"/>
      <x:c r="E19" s="277"/>
      <x:c r="F19" s="283">
        <x:f>SUM('1:26'!$F$18)</x:f>
        <x:v>129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47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SUM('1:26'!$F$20)</x:f>
        <x:v>1573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1600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619000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0.0003927826193690929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4073500</x:v>
      </x:c>
      <x:c r="B25" s="272"/>
      <x:c r="C25" s="360">
        <x:f>E25/I1</x:f>
        <x:v>4590719.230769231</x:v>
      </x:c>
      <x:c r="D25" s="272"/>
      <x:c r="E25" s="272">
        <x:f>SUM('1:26'!$A$25)</x:f>
        <x:v>119358700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SUM('1:26'!$K$21)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0.044525342517973132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/>
      <x:c r="G27" s="258"/>
      <x:c r="H27" s="112" t="s">
        <x:v>117</x:v>
      </x:c>
      <x:c r="I27" s="113">
        <x:f>SUM(C27:D34,F27:G32)</x:f>
        <x:v>698129.0322580646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0.17138309371745786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SUM('1:26'!$I$25)</x:f>
        <x:v>138176662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197.92424554107751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143000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13000*3</x:f>
        <x:v>39000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opLeftCell="A23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27</x:v>
      </x:c>
      <x:c r="G1" s="68" t="s">
        <x:v>48</x:v>
      </x:c>
      <x:c r="H1" s="52" t="s">
        <x:v>122</x:v>
      </x:c>
      <x:c r="I1" s="52">
        <x:f>F1-K1</x:f>
        <x:v>27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4798000</x:v>
      </x:c>
      <x:c r="D2" s="271"/>
      <x:c r="E2" s="274" t="s">
        <x:v>39</x:v>
      </x:c>
      <x:c r="F2" s="275"/>
      <x:c r="G2" s="263">
        <x:v>150700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4595000</x:v>
      </x:c>
      <x:c r="D4" s="258"/>
      <x:c r="E4" s="273" t="s">
        <x:v>145</x:v>
      </x:c>
      <x:c r="F4" s="273"/>
      <x:c r="G4" s="134">
        <x:f>INT(C4*0.0275)</x:f>
        <x:v>126362</x:v>
      </x:c>
      <x:c r="H4" s="54" t="s">
        <x:v>20</x:v>
      </x:c>
      <x:c r="I4" s="125">
        <x:f>325121+279910+439200+221000+255528+158123</x:f>
        <x:v>1678882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203000</x:v>
      </x:c>
      <x:c r="D5" s="258"/>
      <x:c r="E5" s="257" t="s">
        <x:v>69</x:v>
      </x:c>
      <x:c r="F5" s="257"/>
      <x:c r="G5" s="134">
        <x:f>INT(C5*0.01)</x:f>
        <x:v>2030</x:v>
      </x:c>
      <x:c r="H5" s="54" t="s">
        <x:v>6</x:v>
      </x:c>
      <x:c r="I5" s="125">
        <x:f>50000+34500+36000+14920+17520+60320</x:f>
        <x:v>213260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200000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153700</x:v>
      </x:c>
      <x:c r="D8" s="258"/>
      <x:c r="E8" s="284" t="s">
        <x:v>109</x:v>
      </x:c>
      <x:c r="F8" s="285"/>
      <x:c r="G8" s="290">
        <x:f>C5+G2-G6-C22</x:f>
        <x:v>153700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f>28000+60000</x:f>
        <x:v>88000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147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3</x:v>
      </x:c>
      <x:c r="D12" s="284" t="s">
        <x:v>132</x:v>
      </x:c>
      <x:c r="E12" s="285"/>
      <x:c r="F12" s="288">
        <x:v>4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SUM('1:27'!$C$12)</x:f>
        <x:v>234</x:v>
      </x:c>
      <x:c r="D13" s="276"/>
      <x:c r="E13" s="277"/>
      <x:c r="F13" s="286">
        <x:f>SUM('1:27'!$F$12)</x:f>
        <x:v>159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31</x:v>
      </x:c>
      <x:c r="D14" s="284" t="s">
        <x:v>94</x:v>
      </x:c>
      <x:c r="E14" s="285"/>
      <x:c r="F14" s="288">
        <x:v>12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SUM('1:27'!$C$14)</x:f>
        <x:v>676</x:v>
      </x:c>
      <x:c r="D15" s="276"/>
      <x:c r="E15" s="277"/>
      <x:c r="F15" s="286">
        <x:f>SUM('1:27'!$F$14)</x:f>
        <x:v>300</x:v>
      </x:c>
      <x:c r="G15" s="287"/>
      <x:c r="H15" s="54" t="s">
        <x:v>105</x:v>
      </x:c>
      <x:c r="I15" s="58">
        <x:f>4900+20400+10500+3500+10000+11800+3500+28000+9600+4800+5000+2450</x:f>
        <x:v>114450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2</x:v>
      </x:c>
      <x:c r="D16" s="284" t="s">
        <x:v>116</x:v>
      </x:c>
      <x:c r="E16" s="285"/>
      <x:c r="F16" s="282">
        <x:v>15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SUM('1:27'!$C$16)</x:f>
        <x:v>108</x:v>
      </x:c>
      <x:c r="D17" s="276"/>
      <x:c r="E17" s="277"/>
      <x:c r="F17" s="283">
        <x:f>SUM('1:27'!$F$16)</x:f>
        <x:v>295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13</x:v>
      </x:c>
      <x:c r="D18" s="284" t="s">
        <x:v>129</x:v>
      </x:c>
      <x:c r="E18" s="285"/>
      <x:c r="F18" s="292">
        <x:v>5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SUM('1:27'!$C$18)</x:f>
        <x:v>355</x:v>
      </x:c>
      <x:c r="D19" s="276"/>
      <x:c r="E19" s="277"/>
      <x:c r="F19" s="283">
        <x:f>SUM('1:27'!$F$18)</x:f>
        <x:v>134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65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SUM('1:27'!$F$20)</x:f>
        <x:v>1638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2006592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203000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0.41821425593997497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4798000</x:v>
      </x:c>
      <x:c r="B25" s="272"/>
      <x:c r="C25" s="272">
        <x:f>E25/I1</x:f>
        <x:v>4598396.2962962966</x:v>
      </x:c>
      <x:c r="D25" s="272"/>
      <x:c r="E25" s="272">
        <x:f>SUM('1:27'!$A$25)</x:f>
        <x:v>124156700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SUM('1:27'!$K$21)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0.042804673448956043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13000*4</x:f>
        <x:v>52000</x:v>
      </x:c>
      <x:c r="G27" s="258"/>
      <x:c r="H27" s="112" t="s">
        <x:v>117</x:v>
      </x:c>
      <x:c r="I27" s="113">
        <x:f>SUM(C27:D34,F27:G32)</x:f>
        <x:v>740129.0322580646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0.15425782247979672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SUM('1:27'!$I$25)</x:f>
        <x:v>143491149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193.87315285041839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13000*4</x:f>
        <x:v>52000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opLeftCell="A16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28</x:v>
      </x:c>
      <x:c r="G1" s="68" t="s">
        <x:v>61</x:v>
      </x:c>
      <x:c r="H1" s="52" t="s">
        <x:v>122</x:v>
      </x:c>
      <x:c r="I1" s="52">
        <x:f>F1-K1</x:f>
        <x:v>28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4914500</x:v>
      </x:c>
      <x:c r="D2" s="271"/>
      <x:c r="E2" s="274" t="s">
        <x:v>39</x:v>
      </x:c>
      <x:c r="F2" s="275"/>
      <x:c r="G2" s="263">
        <x:v>153700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4048500</x:v>
      </x:c>
      <x:c r="D4" s="258"/>
      <x:c r="E4" s="273" t="s">
        <x:v>145</x:v>
      </x:c>
      <x:c r="F4" s="273"/>
      <x:c r="G4" s="134">
        <x:f>INT(C4*0.0275)</x:f>
        <x:v>111333</x:v>
      </x:c>
      <x:c r="H4" s="54" t="s">
        <x:v>20</x:v>
      </x:c>
      <x:c r="I4" s="125">
        <x:f>292080+221000+183939+56220+235248</x:f>
        <x:v>988487</x:v>
      </x:c>
      <x:c r="J4" s="81" t="s">
        <x:v>35</x:v>
      </x:c>
      <x:c r="K4" s="58">
        <x:v>134000</x:v>
      </x:c>
    </x:row>
    <x:row r="5" spans="1:11" ht="30.949999999999999" customHeight="1">
      <x:c r="A5" s="265" t="s">
        <x:v>60</x:v>
      </x:c>
      <x:c r="B5" s="266"/>
      <x:c r="C5" s="258">
        <x:v>866000</x:v>
      </x:c>
      <x:c r="D5" s="258"/>
      <x:c r="E5" s="257" t="s">
        <x:v>69</x:v>
      </x:c>
      <x:c r="F5" s="257"/>
      <x:c r="G5" s="134">
        <x:f>INT(C5*0.01)</x:f>
        <x:v>8660</x:v>
      </x:c>
      <x:c r="H5" s="54" t="s">
        <x:v>6</x:v>
      </x:c>
      <x:c r="I5" s="125">
        <x:f>29656+50000+69000+36000+14920+35040+39060</x:f>
        <x:v>273676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860000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>
        <x:v>723730</x:v>
      </x:c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159700</x:v>
      </x:c>
      <x:c r="D8" s="258"/>
      <x:c r="E8" s="284" t="s">
        <x:v>109</x:v>
      </x:c>
      <x:c r="F8" s="285"/>
      <x:c r="G8" s="290">
        <x:f>C5+G2-G6-C22</x:f>
        <x:v>159700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/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>
        <x:v>14300</x:v>
      </x:c>
    </x:row>
    <x:row r="11" spans="1:11" ht="33" customHeight="1">
      <x:c r="A11" s="256" t="s">
        <x:v>102</x:v>
      </x:c>
      <x:c r="B11" s="257"/>
      <x:c r="C11" s="296"/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7</x:v>
      </x:c>
      <x:c r="D12" s="284" t="s">
        <x:v>132</x:v>
      </x:c>
      <x:c r="E12" s="285"/>
      <x:c r="F12" s="288">
        <x:v>10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SUM('1:28'!$C$12)</x:f>
        <x:v>241</x:v>
      </x:c>
      <x:c r="D13" s="276"/>
      <x:c r="E13" s="277"/>
      <x:c r="F13" s="286">
        <x:f>SUM('1:28'!$F$12)</x:f>
        <x:v>169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27</x:v>
      </x:c>
      <x:c r="D14" s="284" t="s">
        <x:v>94</x:v>
      </x:c>
      <x:c r="E14" s="285"/>
      <x:c r="F14" s="288">
        <x:v>5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SUM('1:28'!$C$14)</x:f>
        <x:v>703</x:v>
      </x:c>
      <x:c r="D15" s="276"/>
      <x:c r="E15" s="277"/>
      <x:c r="F15" s="286">
        <x:f>SUM('1:28'!$F$14)</x:f>
        <x:v>305</x:v>
      </x:c>
      <x:c r="G15" s="287"/>
      <x:c r="H15" s="54" t="s">
        <x:v>105</x:v>
      </x:c>
      <x:c r="I15" s="58">
        <x:f>17000+6000+11800+13000+54400+10600</x:f>
        <x:v>112800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4</x:v>
      </x:c>
      <x:c r="D16" s="284" t="s">
        <x:v>116</x:v>
      </x:c>
      <x:c r="E16" s="285"/>
      <x:c r="F16" s="282">
        <x:v>18</x:v>
      </x:c>
      <x:c r="G16" s="282"/>
      <x:c r="H16" s="54"/>
      <x:c r="I16" s="58"/>
      <x:c r="J16" s="54" t="s">
        <x:v>96</x:v>
      </x:c>
      <x:c r="K16" s="58">
        <x:f>80710+58600</x:f>
        <x:v>139310</x:v>
      </x:c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SUM('1:28'!$C$16)</x:f>
        <x:v>112</x:v>
      </x:c>
      <x:c r="D17" s="276"/>
      <x:c r="E17" s="277"/>
      <x:c r="F17" s="283">
        <x:f>SUM('1:28'!$F$16)</x:f>
        <x:v>313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4</x:v>
      </x:c>
      <x:c r="D18" s="284" t="s">
        <x:v>129</x:v>
      </x:c>
      <x:c r="E18" s="285"/>
      <x:c r="F18" s="292">
        <x:v>4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SUM('1:28'!$C$18)</x:f>
        <x:v>359</x:v>
      </x:c>
      <x:c r="D19" s="276"/>
      <x:c r="E19" s="277"/>
      <x:c r="F19" s="283">
        <x:f>SUM('1:28'!$F$18)</x:f>
        <x:v>138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69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SUM('1:28'!$F$20)</x:f>
        <x:v>1707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2098693</x:v>
      </x:c>
      <x:c r="J23" s="61" t="s">
        <x:v>118</x:v>
      </x:c>
      <x:c r="K23" s="62">
        <x:f>SUM(K4:K22)</x:f>
        <x:v>287610</x:v>
      </x:c>
      <x:c r="M23" s="89" t="s">
        <x:v>92</x:v>
      </x:c>
      <x:c r="N23" s="279">
        <x:f>C5+C6</x:f>
        <x:v>866000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0.42704100111913723</x:v>
      </x:c>
      <x:c r="J24" s="61" t="s">
        <x:v>8</x:v>
      </x:c>
      <x:c r="K24" s="63">
        <x:f>K23/A25</x:f>
        <x:v>0.05852273883406247</x:v>
      </x:c>
    </x:row>
    <x:row r="25" spans="1:11" ht="34.149999999999999" customHeight="1">
      <x:c r="A25" s="308">
        <x:f>C2</x:f>
        <x:v>4914500</x:v>
      </x:c>
      <x:c r="B25" s="272"/>
      <x:c r="C25" s="272">
        <x:f>E25/I1</x:f>
        <x:v>4609685.7142857146</x:v>
      </x:c>
      <x:c r="D25" s="272"/>
      <x:c r="E25" s="272">
        <x:f>SUM('1:28'!$A$25)</x:f>
        <x:v>129071200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SUM('1:28'!$K$21)</x:f>
        <x:v>0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0.041174847680969885</x:v>
      </x:c>
      <x:c r="J26" s="64" t="s">
        <x:v>127</x:v>
      </x:c>
      <x:c r="K26" s="65">
        <x:f>K25/$E$25</x:f>
        <x:v>0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</x:f>
        <x:v>65000</x:v>
      </x:c>
      <x:c r="G27" s="258"/>
      <x:c r="H27" s="112" t="s">
        <x:v>117</x:v>
      </x:c>
      <x:c r="I27" s="113">
        <x:f>SUM(C27:D34,F27:G32)</x:f>
        <x:v>765129.0322580646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0.15568807249121266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SUM('1:28'!$I$25)</x:f>
        <x:v>148805636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>
        <x:f>13000*4</x:f>
        <x:v>52000</x:v>
      </x:c>
      <x:c r="G30" s="307"/>
      <x:c r="H30" s="112" t="s">
        <x:v>127</x:v>
      </x:c>
      <x:c r="I30" s="114">
        <x:f>I29/$I$27</x:f>
        <x:v>194.48436763775874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132000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/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O34"/>
  <x:sheetViews>
    <x:sheetView topLeftCell="A19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29</x:v>
      </x:c>
      <x:c r="G1" s="68" t="s">
        <x:v>27</x:v>
      </x:c>
      <x:c r="H1" s="52" t="s">
        <x:v>122</x:v>
      </x:c>
      <x:c r="I1" s="52">
        <x:f>F1-K1</x:f>
        <x:v>29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5095000</x:v>
      </x:c>
      <x:c r="D2" s="271"/>
      <x:c r="E2" s="274" t="s">
        <x:v>39</x:v>
      </x:c>
      <x:c r="F2" s="275"/>
      <x:c r="G2" s="263">
        <x:v>159700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4659000</x:v>
      </x:c>
      <x:c r="D4" s="258"/>
      <x:c r="E4" s="273" t="s">
        <x:v>145</x:v>
      </x:c>
      <x:c r="F4" s="273"/>
      <x:c r="G4" s="134">
        <x:f>INT(C4*0.0275)</x:f>
        <x:v>128122</x:v>
      </x:c>
      <x:c r="H4" s="54" t="s">
        <x:v>20</x:v>
      </x:c>
      <x:c r="I4" s="125">
        <x:f>313426+171031+904000+10</x:f>
        <x:v>1388467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436000</x:v>
      </x:c>
      <x:c r="D5" s="258"/>
      <x:c r="E5" s="257" t="s">
        <x:v>69</x:v>
      </x:c>
      <x:c r="F5" s="257"/>
      <x:c r="G5" s="134">
        <x:f>INT(C5*0.01)</x:f>
        <x:v>4360</x:v>
      </x:c>
      <x:c r="H5" s="54" t="s">
        <x:v>6</x:v>
      </x:c>
      <x:c r="I5" s="125">
        <x:f>14920+50000+34500+29656+39380</x:f>
        <x:v>168456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500000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/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95700</x:v>
      </x:c>
      <x:c r="D8" s="258"/>
      <x:c r="E8" s="284" t="s">
        <x:v>109</x:v>
      </x:c>
      <x:c r="F8" s="285"/>
      <x:c r="G8" s="290">
        <x:f>C5+G2-G6-C22</x:f>
        <x:v>95700</x:v>
      </x:c>
      <x:c r="H8" s="54" t="s">
        <x:v>44</x:v>
      </x:c>
      <x:c r="I8" s="125">
        <x:v>65000</x:v>
      </x:c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v>215000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155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6</x:v>
      </x:c>
      <x:c r="D12" s="284" t="s">
        <x:v>132</x:v>
      </x:c>
      <x:c r="E12" s="285"/>
      <x:c r="F12" s="288">
        <x:v>6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SUM('1:29'!$C$12)</x:f>
        <x:v>247</x:v>
      </x:c>
      <x:c r="D13" s="276"/>
      <x:c r="E13" s="277"/>
      <x:c r="F13" s="286">
        <x:f>SUM('1:29'!$F$12)</x:f>
        <x:v>175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17</x:v>
      </x:c>
      <x:c r="D14" s="284" t="s">
        <x:v>94</x:v>
      </x:c>
      <x:c r="E14" s="285"/>
      <x:c r="F14" s="288">
        <x:v>16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SUM('1:29'!$C$14)</x:f>
        <x:v>720</x:v>
      </x:c>
      <x:c r="D15" s="276"/>
      <x:c r="E15" s="277"/>
      <x:c r="F15" s="286">
        <x:f>SUM('1:29'!$F$14)</x:f>
        <x:v>321</x:v>
      </x:c>
      <x:c r="G15" s="287"/>
      <x:c r="H15" s="54" t="s">
        <x:v>105</x:v>
      </x:c>
      <x:c r="I15" s="58">
        <x:f>4900+6200+3500+2450+13600+4800+11800+5500+13000+22000+8900</x:f>
        <x:v>96650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5</x:v>
      </x:c>
      <x:c r="D16" s="284" t="s">
        <x:v>116</x:v>
      </x:c>
      <x:c r="E16" s="285"/>
      <x:c r="F16" s="282">
        <x:v>11</x:v>
      </x:c>
      <x:c r="G16" s="282"/>
      <x:c r="H16" s="54"/>
      <x:c r="I16" s="58"/>
      <x:c r="J16" s="54" t="s">
        <x:v>96</x:v>
      </x:c>
      <x:c r="K16" s="58">
        <x:v>429110</x:v>
      </x:c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SUM('1:29'!$C$16)</x:f>
        <x:v>117</x:v>
      </x:c>
      <x:c r="D17" s="276"/>
      <x:c r="E17" s="277"/>
      <x:c r="F17" s="283">
        <x:f>SUM('1:29'!$F$16)</x:f>
        <x:v>324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18</x:v>
      </x:c>
      <x:c r="D18" s="284" t="s">
        <x:v>129</x:v>
      </x:c>
      <x:c r="E18" s="285"/>
      <x:c r="F18" s="292">
        <x:v>1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SUM('1:29'!$C$18)</x:f>
        <x:v>377</x:v>
      </x:c>
      <x:c r="D19" s="276"/>
      <x:c r="E19" s="277"/>
      <x:c r="F19" s="283">
        <x:f>SUM('1:29'!$F$18)</x:f>
        <x:v>139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67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SUM('1:29'!$F$20)</x:f>
        <x:v>1774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1718573</x:v>
      </x:c>
      <x:c r="J23" s="61" t="s">
        <x:v>118</x:v>
      </x:c>
      <x:c r="K23" s="62">
        <x:f>SUM(K4:K22)</x:f>
        <x:v>429110</x:v>
      </x:c>
      <x:c r="M23" s="89" t="s">
        <x:v>92</x:v>
      </x:c>
      <x:c r="N23" s="279">
        <x:f>C5+C6</x:f>
        <x:v>436000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0.33730578999018646</x:v>
      </x:c>
      <x:c r="J24" s="61" t="s">
        <x:v>8</x:v>
      </x:c>
      <x:c r="K24" s="63">
        <x:f>K23/A25</x:f>
        <x:v>0.084221786064769377</x:v>
      </x:c>
    </x:row>
    <x:row r="25" spans="1:11" ht="34.149999999999999" customHeight="1">
      <x:c r="A25" s="308">
        <x:f>C2</x:f>
        <x:v>5095000</x:v>
      </x:c>
      <x:c r="B25" s="272"/>
      <x:c r="C25" s="272">
        <x:f>E25/I1</x:f>
        <x:v>4626420.6896551726</x:v>
      </x:c>
      <x:c r="D25" s="272"/>
      <x:c r="E25" s="272">
        <x:f>SUM('1:29'!$A$25)</x:f>
        <x:v>134166200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SUM('1:29'!$K$23)</x:f>
        <x:v>3641268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0.039611221007973693</x:v>
      </x:c>
      <x:c r="J26" s="64" t="s">
        <x:v>127</x:v>
      </x:c>
      <x:c r="K26" s="65">
        <x:f>K25/$E$25</x:f>
        <x:v>0.027139980114216547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</x:f>
        <x:v>65000</x:v>
      </x:c>
      <x:c r="G27" s="258"/>
      <x:c r="H27" s="112" t="s">
        <x:v>117</x:v>
      </x:c>
      <x:c r="I27" s="113">
        <x:f>SUM(C27:D34,F27:G32)</x:f>
        <x:v>772129.0322580646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0.15154642438823643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SUM('1:29'!$I$27)</x:f>
        <x:v>21990241.935483873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28.480009191176471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>
        <x:v>71000</x:v>
      </x:c>
      <x:c r="G32" s="307"/>
    </x:row>
    <x:row r="33" spans="1:5" customHeight="1">
      <x:c r="A33" s="315"/>
      <x:c r="B33" s="54" t="s">
        <x:v>21</x:v>
      </x:c>
      <x:c r="C33" s="304"/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O34"/>
  <x:sheetViews>
    <x:sheetView topLeftCell="A2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30</x:v>
      </x:c>
      <x:c r="G1" s="68" t="s">
        <x:v>49</x:v>
      </x:c>
      <x:c r="H1" s="52" t="s">
        <x:v>122</x:v>
      </x:c>
      <x:c r="I1" s="52">
        <x:f>F1-K1</x:f>
        <x:v>30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5186000</x:v>
      </x:c>
      <x:c r="D2" s="271"/>
      <x:c r="E2" s="274" t="s">
        <x:v>39</x:v>
      </x:c>
      <x:c r="F2" s="275"/>
      <x:c r="G2" s="263">
        <x:v>95700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4357500</x:v>
      </x:c>
      <x:c r="D4" s="258"/>
      <x:c r="E4" s="273" t="s">
        <x:v>145</x:v>
      </x:c>
      <x:c r="F4" s="273"/>
      <x:c r="G4" s="134">
        <x:f>INT(C4*0.0275)</x:f>
        <x:v>119831</x:v>
      </x:c>
      <x:c r="H4" s="54" t="s">
        <x:v>20</x:v>
      </x:c>
      <x:c r="I4" s="125">
        <x:f>284778+249444+203301+452000</x:f>
        <x:v>1189523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828500</x:v>
      </x:c>
      <x:c r="D5" s="258"/>
      <x:c r="E5" s="257" t="s">
        <x:v>69</x:v>
      </x:c>
      <x:c r="F5" s="257"/>
      <x:c r="G5" s="134">
        <x:f>INT(C5*0.01)</x:f>
        <x:v>8285</x:v>
      </x:c>
      <x:c r="H5" s="54" t="s">
        <x:v>6</x:v>
      </x:c>
      <x:c r="I5" s="125">
        <x:f>39380+29656+69000+36000+50000+7000+60320</x:f>
        <x:v>291356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780000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>
        <x:v>-3860</x:v>
      </x:c>
      <x:c r="J7" s="82" t="s">
        <x:v>115</x:v>
      </x:c>
      <x:c r="K7" s="58"/>
    </x:row>
    <x:row r="8" spans="1:11" ht="21.949999999999999" customHeight="1">
      <x:c r="A8" s="256" t="s">
        <x:v>133</x:v>
      </x:c>
      <x:c r="B8" s="257"/>
      <x:c r="C8" s="258">
        <x:v>144200</x:v>
      </x:c>
      <x:c r="D8" s="258"/>
      <x:c r="E8" s="284" t="s">
        <x:v>109</x:v>
      </x:c>
      <x:c r="F8" s="285"/>
      <x:c r="G8" s="290">
        <x:f>C5+G2-G6-C22</x:f>
        <x:v>144200</x:v>
      </x:c>
      <x:c r="H8" s="54" t="s">
        <x:v>44</x:v>
      </x:c>
      <x:c r="I8" s="125"/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v>59000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161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6</x:v>
      </x:c>
      <x:c r="D12" s="284" t="s">
        <x:v>132</x:v>
      </x:c>
      <x:c r="E12" s="285"/>
      <x:c r="F12" s="288">
        <x:v>6</x:v>
      </x:c>
      <x:c r="G12" s="289"/>
      <x:c r="H12" s="54" t="s">
        <x:v>101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SUM('1:30'!$C$12)</x:f>
        <x:v>253</x:v>
      </x:c>
      <x:c r="D13" s="276"/>
      <x:c r="E13" s="277"/>
      <x:c r="F13" s="286">
        <x:f>SUM('1:30'!$F$12)</x:f>
        <x:v>181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19</x:v>
      </x:c>
      <x:c r="D14" s="284" t="s">
        <x:v>94</x:v>
      </x:c>
      <x:c r="E14" s="285"/>
      <x:c r="F14" s="288">
        <x:v>2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SUM('1:30'!$C$14)</x:f>
        <x:v>739</x:v>
      </x:c>
      <x:c r="D15" s="276"/>
      <x:c r="E15" s="277"/>
      <x:c r="F15" s="286">
        <x:f>SUM('1:30'!$F$14)</x:f>
        <x:v>323</x:v>
      </x:c>
      <x:c r="G15" s="287"/>
      <x:c r="H15" s="54" t="s">
        <x:v>105</x:v>
      </x:c>
      <x:c r="I15" s="58">
        <x:f>50000+34000+4900+10500+4800+11800+10000+4500+3900+4200</x:f>
        <x:v>138600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3</x:v>
      </x:c>
      <x:c r="D16" s="284" t="s">
        <x:v>116</x:v>
      </x:c>
      <x:c r="E16" s="285"/>
      <x:c r="F16" s="282">
        <x:v>13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SUM('1:30'!$C$16)</x:f>
        <x:v>120</x:v>
      </x:c>
      <x:c r="D17" s="276"/>
      <x:c r="E17" s="277"/>
      <x:c r="F17" s="283">
        <x:f>SUM('1:30'!$F$16)</x:f>
        <x:v>337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9</x:v>
      </x:c>
      <x:c r="D18" s="284" t="s">
        <x:v>129</x:v>
      </x:c>
      <x:c r="E18" s="285"/>
      <x:c r="F18" s="292">
        <x:v>6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SUM('1:30'!$C$18)</x:f>
        <x:v>386</x:v>
      </x:c>
      <x:c r="D19" s="276"/>
      <x:c r="E19" s="277"/>
      <x:c r="F19" s="283">
        <x:f>SUM('1:30'!$F$18)</x:f>
        <x:v>145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56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SUM('1:30'!$F$20)</x:f>
        <x:v>1830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1615619</x:v>
      </x:c>
      <x:c r="J23" s="61" t="s">
        <x:v>118</x:v>
      </x:c>
      <x:c r="K23" s="62">
        <x:f>SUM(K4:K22)</x:f>
        <x:v>0</x:v>
      </x:c>
      <x:c r="M23" s="89" t="s">
        <x:v>92</x:v>
      </x:c>
      <x:c r="N23" s="279">
        <x:f>C5+C6</x:f>
        <x:v>828500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0.31153470883146933</x:v>
      </x:c>
      <x:c r="J24" s="61" t="s">
        <x:v>8</x:v>
      </x:c>
      <x:c r="K24" s="63">
        <x:f>K23/A25</x:f>
        <x:v>0</x:v>
      </x:c>
    </x:row>
    <x:row r="25" spans="1:11" ht="34.149999999999999" customHeight="1">
      <x:c r="A25" s="308">
        <x:f>C2</x:f>
        <x:v>5186000</x:v>
      </x:c>
      <x:c r="B25" s="272"/>
      <x:c r="C25" s="272">
        <x:f>E25/I1</x:f>
        <x:v>4645073.333333333</x:v>
      </x:c>
      <x:c r="D25" s="272"/>
      <x:c r="E25" s="272">
        <x:f>SUM('1:30'!$A$25)</x:f>
        <x:v>139352200</x:v>
      </x:c>
      <x:c r="F25" s="272"/>
      <x:c r="G25" s="272"/>
      <x:c r="H25" s="108" t="s">
        <x:v>32</x:v>
      </x:c>
      <x:c r="I25" s="109">
        <x:f>SUM('1'!$I$23)</x:f>
        <x:v>5314487</x:v>
      </x:c>
      <x:c r="J25" s="61" t="s">
        <x:v>32</x:v>
      </x:c>
      <x:c r="K25" s="62">
        <x:f>SUM('1:30'!$K$23)</x:f>
        <x:v>3641268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0.038137087179104454</x:v>
      </x:c>
      <x:c r="J26" s="64" t="s">
        <x:v>127</x:v>
      </x:c>
      <x:c r="K26" s="65">
        <x:f>K25/$E$25</x:f>
        <x:v>0.026129964220155837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</x:f>
        <x:v>65000</x:v>
      </x:c>
      <x:c r="G27" s="258"/>
      <x:c r="H27" s="112" t="s">
        <x:v>117</x:v>
      </x:c>
      <x:c r="I27" s="113">
        <x:f>SUM(C27:D34,F27:G32)</x:f>
        <x:v>753129.0322580646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0.14522349252951497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SUM('1:30'!$I$27)</x:f>
        <x:v>22743370.967741936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30.198505161262688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120000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5" customHeight="1">
      <x:c r="A33" s="315"/>
      <x:c r="B33" s="54" t="s">
        <x:v>21</x:v>
      </x:c>
      <x:c r="C33" s="304">
        <x:f>13000*4</x:f>
        <x:v>52000</x:v>
      </x:c>
      <x:c r="D33" s="305"/>
      <x:c r="E33" s="55" t="s">
        <x:v>56</x:v>
      </x:c>
    </x:row>
    <x:row r="34" spans="1:4" customHeight="1">
      <x:c r="A34" s="316"/>
      <x:c r="B34" s="54"/>
      <x:c r="C34" s="306"/>
      <x:c r="D34" s="307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3"/>
  <x:dimension ref="A1:O34"/>
  <x:sheetViews>
    <x:sheetView topLeftCell="A26" zoomScale="85" zoomScaleNormal="85" zoomScaleSheetLayoutView="75" workbookViewId="0">
      <x:selection activeCell="E33" activeCellId="0" sqref="E33:E33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124</x:v>
      </x:c>
      <x:c r="D1" s="68"/>
      <x:c r="E1" s="68" t="s">
        <x:v>158</x:v>
      </x:c>
      <x:c r="F1" s="68">
        <x:v>31</x:v>
      </x:c>
      <x:c r="G1" s="68" t="s">
        <x:v>157</x:v>
      </x:c>
      <x:c r="H1" s="52" t="s">
        <x:v>122</x:v>
      </x:c>
      <x:c r="I1" s="52">
        <x:f>F1-K1</x:f>
        <x:v>31</x:v>
      </x:c>
      <x:c r="J1" s="52" t="s">
        <x:v>97</x:v>
      </x:c>
      <x:c r="K1" s="52"/>
    </x:row>
    <x:row r="2" spans="1:11" ht="20.100000000000001" customHeight="1">
      <x:c r="A2" s="267" t="s">
        <x:v>9</x:v>
      </x:c>
      <x:c r="B2" s="268"/>
      <x:c r="C2" s="271">
        <x:f>SUM(C4:D7)</x:f>
        <x:v>5814500</x:v>
      </x:c>
      <x:c r="D2" s="271"/>
      <x:c r="E2" s="274" t="s">
        <x:v>39</x:v>
      </x:c>
      <x:c r="F2" s="275"/>
      <x:c r="G2" s="263">
        <x:v>144200</x:v>
      </x:c>
      <x:c r="H2" s="261" t="s">
        <x:v>6</x:v>
      </x:c>
      <x:c r="I2" s="262"/>
      <x:c r="J2" s="259" t="s">
        <x:v>73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26</x:v>
      </x:c>
      <x:c r="I3" s="56" t="s">
        <x:v>38</x:v>
      </x:c>
      <x:c r="J3" s="57" t="s">
        <x:v>26</x:v>
      </x:c>
      <x:c r="K3" s="56" t="s">
        <x:v>38</x:v>
      </x:c>
    </x:row>
    <x:row r="4" spans="1:11" ht="30.949999999999999" customHeight="1">
      <x:c r="A4" s="265" t="s">
        <x:v>22</x:v>
      </x:c>
      <x:c r="B4" s="266"/>
      <x:c r="C4" s="258">
        <x:v>5192750</x:v>
      </x:c>
      <x:c r="D4" s="258"/>
      <x:c r="E4" s="273" t="s">
        <x:v>145</x:v>
      </x:c>
      <x:c r="F4" s="273"/>
      <x:c r="G4" s="134">
        <x:f>INT(C4*0.0275)</x:f>
        <x:v>142800</x:v>
      </x:c>
      <x:c r="H4" s="54" t="s">
        <x:v>20</x:v>
      </x:c>
      <x:c r="I4" s="125">
        <x:f>294514+56220+249444+237575</x:f>
        <x:v>837753</x:v>
      </x:c>
      <x:c r="J4" s="81" t="s">
        <x:v>35</x:v>
      </x:c>
      <x:c r="K4" s="58"/>
    </x:row>
    <x:row r="5" spans="1:11" ht="30.949999999999999" customHeight="1">
      <x:c r="A5" s="265" t="s">
        <x:v>60</x:v>
      </x:c>
      <x:c r="B5" s="266"/>
      <x:c r="C5" s="258">
        <x:v>621750</x:v>
      </x:c>
      <x:c r="D5" s="258"/>
      <x:c r="E5" s="257" t="s">
        <x:v>69</x:v>
      </x:c>
      <x:c r="F5" s="257"/>
      <x:c r="G5" s="134">
        <x:f>INT(C5*0.01)</x:f>
        <x:v>6217</x:v>
      </x:c>
      <x:c r="H5" s="54" t="s">
        <x:v>6</x:v>
      </x:c>
      <x:c r="I5" s="125">
        <x:f>50000+36000+7000+29840</x:f>
        <x:v>122840</x:v>
      </x:c>
      <x:c r="J5" s="82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130</x:v>
      </x:c>
      <x:c r="F6" s="285"/>
      <x:c r="G6" s="278">
        <x:v>700000</x:v>
      </x:c>
      <x:c r="H6" s="54"/>
      <x:c r="I6" s="125"/>
      <x:c r="J6" s="82" t="s">
        <x:v>126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24</x:v>
      </x:c>
      <x:c r="I7" s="125">
        <x:v>1085070</x:v>
      </x:c>
      <x:c r="J7" s="82" t="s">
        <x:v>115</x:v>
      </x:c>
      <x:c r="K7" s="58">
        <x:v>12500</x:v>
      </x:c>
    </x:row>
    <x:row r="8" spans="1:11" ht="21.949999999999999" customHeight="1">
      <x:c r="A8" s="256" t="s">
        <x:v>133</x:v>
      </x:c>
      <x:c r="B8" s="257"/>
      <x:c r="C8" s="258">
        <x:v>66200</x:v>
      </x:c>
      <x:c r="D8" s="258"/>
      <x:c r="E8" s="284" t="s">
        <x:v>109</x:v>
      </x:c>
      <x:c r="F8" s="285"/>
      <x:c r="G8" s="290">
        <x:f>C5+G2-G6-C22</x:f>
        <x:v>65950</x:v>
      </x:c>
      <x:c r="H8" s="54" t="s">
        <x:v>44</x:v>
      </x:c>
      <x:c r="I8" s="125">
        <x:v>65000</x:v>
      </x:c>
      <x:c r="J8" s="82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5"/>
      <x:c r="J9" s="54" t="s">
        <x:v>16</x:v>
      </x:c>
      <x:c r="K9" s="58"/>
    </x:row>
    <x:row r="10" spans="1:11" ht="30.949999999999999" customHeight="1">
      <x:c r="A10" s="256" t="s">
        <x:v>142</x:v>
      </x:c>
      <x:c r="B10" s="257"/>
      <x:c r="C10" s="258">
        <x:f>57000+82000</x:f>
        <x:v>139000</x:v>
      </x:c>
      <x:c r="D10" s="258"/>
      <x:c r="E10" s="257" t="s">
        <x:v>86</x:v>
      </x:c>
      <x:c r="F10" s="257"/>
      <x:c r="G10" s="55"/>
      <x:c r="H10" s="54"/>
      <x:c r="I10" s="125"/>
      <x:c r="J10" s="54" t="s">
        <x:v>52</x:v>
      </x:c>
      <x:c r="K10" s="58"/>
    </x:row>
    <x:row r="11" spans="1:11" ht="33" customHeight="1">
      <x:c r="A11" s="256" t="s">
        <x:v>102</x:v>
      </x:c>
      <x:c r="B11" s="257"/>
      <x:c r="C11" s="296" t="s">
        <x:v>147</x:v>
      </x:c>
      <x:c r="D11" s="296"/>
      <x:c r="E11" s="296"/>
      <x:c r="F11" s="296"/>
      <x:c r="G11" s="296"/>
      <x:c r="H11" s="54" t="s">
        <x:v>57</x:v>
      </x:c>
      <x:c r="I11" s="58"/>
      <x:c r="J11" s="54" t="s">
        <x:v>81</x:v>
      </x:c>
      <x:c r="K11" s="136"/>
    </x:row>
    <x:row r="12" spans="1:13" ht="21.949999999999999" customHeight="1">
      <x:c r="A12" s="59" t="s">
        <x:v>47</x:v>
      </x:c>
      <x:c r="B12" s="294" t="s">
        <x:v>41</x:v>
      </x:c>
      <x:c r="C12" s="80">
        <x:v>14</x:v>
      </x:c>
      <x:c r="D12" s="284" t="s">
        <x:v>132</x:v>
      </x:c>
      <x:c r="E12" s="285"/>
      <x:c r="F12" s="288">
        <x:v>4</x:v>
      </x:c>
      <x:c r="G12" s="289"/>
      <x:c r="H12" s="54" t="s">
        <x:v>101</x:v>
      </x:c>
      <x:c r="I12" s="58">
        <x:v>53400</x:v>
      </x:c>
      <x:c r="J12" s="54"/>
      <x:c r="K12" s="58"/>
      <x:c r="L12" s="60"/>
      <x:c r="M12" s="11"/>
    </x:row>
    <x:row r="13" spans="1:13" ht="21.949999999999999" customHeight="1">
      <x:c r="A13" s="59" t="s">
        <x:v>95</x:v>
      </x:c>
      <x:c r="B13" s="295"/>
      <x:c r="C13" s="135">
        <x:f>SUM('1:31'!$C$12)</x:f>
        <x:v>267</x:v>
      </x:c>
      <x:c r="D13" s="276"/>
      <x:c r="E13" s="277"/>
      <x:c r="F13" s="286">
        <x:f>SUM('1:31'!$F$12)</x:f>
        <x:v>185</x:v>
      </x:c>
      <x:c r="G13" s="287"/>
      <x:c r="H13" s="54" t="s">
        <x:v>125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47</x:v>
      </x:c>
      <x:c r="B14" s="294" t="s">
        <x:v>63</x:v>
      </x:c>
      <x:c r="C14" s="80">
        <x:v>28</x:v>
      </x:c>
      <x:c r="D14" s="284" t="s">
        <x:v>94</x:v>
      </x:c>
      <x:c r="E14" s="285"/>
      <x:c r="F14" s="288">
        <x:v>10</x:v>
      </x:c>
      <x:c r="G14" s="289"/>
      <x:c r="H14" s="54" t="s">
        <x:v>110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95</x:v>
      </x:c>
      <x:c r="B15" s="295"/>
      <x:c r="C15" s="135">
        <x:f>SUM('1:31'!$C$14)</x:f>
        <x:v>767</x:v>
      </x:c>
      <x:c r="D15" s="276"/>
      <x:c r="E15" s="277"/>
      <x:c r="F15" s="286">
        <x:f>SUM('1:31'!$F$14)</x:f>
        <x:v>333</x:v>
      </x:c>
      <x:c r="G15" s="287"/>
      <x:c r="H15" s="54" t="s">
        <x:v>105</x:v>
      </x:c>
      <x:c r="I15" s="58">
        <x:f>52000+81600+14000+3900+6600+11800+19200+6200+16500+3500+19600+38000+21000+3500+34500</x:f>
        <x:v>331900</x:v>
      </x:c>
      <x:c r="J15" s="54" t="s">
        <x:v>73</x:v>
      </x:c>
      <x:c r="K15" s="58"/>
      <x:c r="L15" s="60"/>
      <x:c r="M15" s="11"/>
    </x:row>
    <x:row r="16" spans="1:13" ht="21.949999999999999" customHeight="1">
      <x:c r="A16" s="59" t="s">
        <x:v>47</x:v>
      </x:c>
      <x:c r="B16" s="294" t="s">
        <x:v>50</x:v>
      </x:c>
      <x:c r="C16" s="80">
        <x:v>5</x:v>
      </x:c>
      <x:c r="D16" s="284" t="s">
        <x:v>116</x:v>
      </x:c>
      <x:c r="E16" s="285"/>
      <x:c r="F16" s="282">
        <x:v>11</x:v>
      </x:c>
      <x:c r="G16" s="282"/>
      <x:c r="H16" s="54"/>
      <x:c r="I16" s="58"/>
      <x:c r="J16" s="54" t="s">
        <x:v>96</x:v>
      </x:c>
      <x:c r="K16" s="58"/>
      <x:c r="L16" s="60"/>
      <x:c r="M16" s="11"/>
    </x:row>
    <x:row r="17" spans="1:13" ht="21.949999999999999" customHeight="1">
      <x:c r="A17" s="59" t="s">
        <x:v>95</x:v>
      </x:c>
      <x:c r="B17" s="295"/>
      <x:c r="C17" s="135">
        <x:f>SUM('1:31'!$C$16)</x:f>
        <x:v>125</x:v>
      </x:c>
      <x:c r="D17" s="276"/>
      <x:c r="E17" s="277"/>
      <x:c r="F17" s="283">
        <x:f>SUM('1:31'!$F$16)</x:f>
        <x:v>348</x:v>
      </x:c>
      <x:c r="G17" s="283"/>
      <x:c r="H17" s="54" t="s">
        <x:v>7</x:v>
      </x:c>
      <x:c r="I17" s="58"/>
      <x:c r="J17" s="54" t="s">
        <x:v>89</x:v>
      </x:c>
      <x:c r="K17" s="58"/>
      <x:c r="L17" s="60"/>
      <x:c r="M17" s="11"/>
    </x:row>
    <x:row r="18" spans="1:13" ht="21.949999999999999" customHeight="1">
      <x:c r="A18" s="59" t="s">
        <x:v>47</x:v>
      </x:c>
      <x:c r="B18" s="294" t="s">
        <x:v>90</x:v>
      </x:c>
      <x:c r="C18" s="80">
        <x:v>6</x:v>
      </x:c>
      <x:c r="D18" s="284" t="s">
        <x:v>129</x:v>
      </x:c>
      <x:c r="E18" s="285"/>
      <x:c r="F18" s="292">
        <x:v>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95</x:v>
      </x:c>
      <x:c r="B19" s="295"/>
      <x:c r="C19" s="135">
        <x:f>SUM('1:31'!$C$18)</x:f>
        <x:v>392</x:v>
      </x:c>
      <x:c r="D19" s="276"/>
      <x:c r="E19" s="277"/>
      <x:c r="F19" s="283">
        <x:f>SUM('1:31'!$F$18)</x:f>
        <x:v>147</x:v>
      </x:c>
      <x:c r="G19" s="283"/>
      <x:c r="H19" s="58"/>
      <x:c r="I19" s="58"/>
      <x:c r="J19" s="54"/>
      <x:c r="K19" s="58"/>
      <x:c r="L19" s="60"/>
      <x:c r="M19" s="11"/>
    </x:row>
    <x:row r="20" spans="4:13" ht="21.949999999999999" customHeight="1">
      <x:c r="D20" s="257" t="s">
        <x:v>112</x:v>
      </x:c>
      <x:c r="E20" s="257"/>
      <x:c r="F20" s="282">
        <x:v>89</x:v>
      </x:c>
      <x:c r="G20" s="282"/>
      <x:c r="H20" s="58"/>
      <x:c r="J20" s="54"/>
      <x:c r="K20" s="58"/>
      <x:c r="L20" s="60"/>
      <x:c r="M20" s="11"/>
    </x:row>
    <x:row r="21" spans="4:13" ht="21.949999999999999" customHeight="1">
      <x:c r="D21" s="257" t="s">
        <x:v>113</x:v>
      </x:c>
      <x:c r="E21" s="257"/>
      <x:c r="F21" s="283">
        <x:f>SUM('1:31'!$F$20)</x:f>
        <x:v>1919</x:v>
      </x:c>
      <x:c r="G21" s="283"/>
      <x:c r="H21" s="58"/>
      <x:c r="J21" s="54"/>
      <x:c r="K21" s="58"/>
      <x:c r="L21" s="60"/>
      <x:c r="M21" s="11"/>
    </x:row>
    <x:row r="22" spans="1:13" ht="32.100000000000001" customHeight="1">
      <x:c r="A22" s="256" t="s">
        <x:v>82</x:v>
      </x:c>
      <x:c r="B22" s="257"/>
      <x:c r="C22" s="281"/>
      <x:c r="D22" s="281"/>
      <x:c r="E22" s="281"/>
      <x:c r="F22" s="281"/>
      <x:c r="G22" s="281"/>
      <x:c r="H22" s="54"/>
      <x:c r="J22" s="54"/>
      <x:c r="K22" s="58"/>
      <x:c r="L22" s="60"/>
      <x:c r="M22" s="11"/>
    </x:row>
    <x:row r="23" spans="1:15" ht="34.149999999999999" customHeight="1">
      <x:c r="A23" s="256" t="s">
        <x:v>123</x:v>
      </x:c>
      <x:c r="B23" s="257"/>
      <x:c r="C23" s="312"/>
      <x:c r="D23" s="313"/>
      <x:c r="E23" s="313"/>
      <x:c r="F23" s="313"/>
      <x:c r="G23" s="313"/>
      <x:c r="H23" s="108" t="s">
        <x:v>93</x:v>
      </x:c>
      <x:c r="I23" s="109">
        <x:f>SUM(I4:I22)</x:f>
        <x:v>2495963</x:v>
      </x:c>
      <x:c r="J23" s="61" t="s">
        <x:v>118</x:v>
      </x:c>
      <x:c r="K23" s="62">
        <x:f>SUM(K4:K22)</x:f>
        <x:v>12500</x:v>
      </x:c>
      <x:c r="M23" s="89" t="s">
        <x:v>92</x:v>
      </x:c>
      <x:c r="N23" s="279">
        <x:f>C5+C6</x:f>
        <x:v>621750</x:v>
      </x:c>
      <x:c r="O23" s="280"/>
    </x:row>
    <x:row r="24" spans="1:11" ht="34.149999999999999" customHeight="1">
      <x:c r="A24" s="256" t="s">
        <x:v>8</x:v>
      </x:c>
      <x:c r="B24" s="257"/>
      <x:c r="C24" s="257" t="s">
        <x:v>85</x:v>
      </x:c>
      <x:c r="D24" s="257"/>
      <x:c r="E24" s="257" t="s">
        <x:v>100</x:v>
      </x:c>
      <x:c r="F24" s="257"/>
      <x:c r="G24" s="257"/>
      <x:c r="H24" s="108" t="s">
        <x:v>8</x:v>
      </x:c>
      <x:c r="I24" s="110">
        <x:f>I23/A25</x:f>
        <x:v>0.42926528506320405</x:v>
      </x:c>
      <x:c r="J24" s="61" t="s">
        <x:v>8</x:v>
      </x:c>
      <x:c r="K24" s="63">
        <x:f>K23/A25</x:f>
        <x:v>0.0021497979189956146</x:v>
      </x:c>
    </x:row>
    <x:row r="25" spans="1:11" ht="34.149999999999999" customHeight="1">
      <x:c r="A25" s="308">
        <x:f>C2</x:f>
        <x:v>5814500</x:v>
      </x:c>
      <x:c r="B25" s="272"/>
      <x:c r="C25" s="272">
        <x:f>E25/I1</x:f>
        <x:v>4682796.7741935486</x:v>
      </x:c>
      <x:c r="D25" s="272"/>
      <x:c r="E25" s="272">
        <x:f>SUM('1:31'!$A$25)</x:f>
        <x:v>145166700</x:v>
      </x:c>
      <x:c r="F25" s="272"/>
      <x:c r="G25" s="272"/>
      <x:c r="H25" s="108" t="s">
        <x:v>32</x:v>
      </x:c>
      <x:c r="I25" s="109">
        <x:f>SUM('1'!$I$31)</x:f>
        <x:v>0</x:v>
      </x:c>
      <x:c r="J25" s="61" t="s">
        <x:v>32</x:v>
      </x:c>
      <x:c r="K25" s="62">
        <x:f>SUM('1:31'!$K$23)</x:f>
        <x:v>3653768</x:v>
      </x:c>
    </x:row>
    <x:row r="26" spans="1:11" ht="34.149999999999999" customHeight="1">
      <x:c r="A26" s="256" t="s">
        <x:v>141</x:v>
      </x:c>
      <x:c r="B26" s="257"/>
      <x:c r="C26" s="257"/>
      <x:c r="D26" s="257"/>
      <x:c r="E26" s="258"/>
      <x:c r="F26" s="258"/>
      <x:c r="G26" s="258"/>
      <x:c r="H26" s="108" t="s">
        <x:v>127</x:v>
      </x:c>
      <x:c r="I26" s="111">
        <x:f>I25/$E$25</x:f>
        <x:v>0</x:v>
      </x:c>
      <x:c r="J26" s="64" t="s">
        <x:v>127</x:v>
      </x:c>
      <x:c r="K26" s="65">
        <x:f>K25/$E$25</x:f>
        <x:v>0.025169463795760322</x:v>
      </x:c>
    </x:row>
    <x:row r="27" spans="1:13" ht="30.949999999999999" customHeight="1">
      <x:c r="A27" s="314" t="s">
        <x:v>140</x:v>
      </x:c>
      <x:c r="B27" s="54" t="s">
        <x:v>43</x:v>
      </x:c>
      <x:c r="C27" s="272">
        <x:f>4000000/31</x:f>
        <x:v>129032.25806451614</x:v>
      </x:c>
      <x:c r="D27" s="272"/>
      <x:c r="E27" s="55" t="s">
        <x:v>150</x:v>
      </x:c>
      <x:c r="F27" s="258">
        <x:f>13000*5</x:f>
        <x:v>65000</x:v>
      </x:c>
      <x:c r="G27" s="258"/>
      <x:c r="H27" s="112" t="s">
        <x:v>117</x:v>
      </x:c>
      <x:c r="I27" s="113">
        <x:f>SUM(C27:D34,F27:G32)</x:f>
        <x:v>713129.0322580646</x:v>
      </x:c>
      <x:c r="M27" s="66"/>
    </x:row>
    <x:row r="28" spans="1:13" ht="30.949999999999999" customHeight="1">
      <x:c r="A28" s="315"/>
      <x:c r="B28" s="54" t="s">
        <x:v>23</x:v>
      </x:c>
      <x:c r="C28" s="272">
        <x:f>3800000/31</x:f>
        <x:v>122580.64516129032</x:v>
      </x:c>
      <x:c r="D28" s="272"/>
      <x:c r="E28" s="55" t="s">
        <x:v>152</x:v>
      </x:c>
      <x:c r="F28" s="272">
        <x:f>1500000/31</x:f>
        <x:v>48387.096774193546</x:v>
      </x:c>
      <x:c r="G28" s="272"/>
      <x:c r="H28" s="112" t="s">
        <x:v>8</x:v>
      </x:c>
      <x:c r="I28" s="114">
        <x:f>I27/$A$25</x:f>
        <x:v>0.12264666476189949</x:v>
      </x:c>
      <x:c r="M28" s="66"/>
    </x:row>
    <x:row r="29" spans="1:13" ht="30.949999999999999" customHeight="1">
      <x:c r="A29" s="315"/>
      <x:c r="B29" s="54" t="s">
        <x:v>46</x:v>
      </x:c>
      <x:c r="C29" s="272">
        <x:f>3200000/31</x:f>
        <x:v>103225.80645161291</x:v>
      </x:c>
      <x:c r="D29" s="272"/>
      <x:c r="E29" s="55" t="s">
        <x:v>56</x:v>
      </x:c>
      <x:c r="F29" s="258"/>
      <x:c r="G29" s="258"/>
      <x:c r="H29" s="112" t="s">
        <x:v>32</x:v>
      </x:c>
      <x:c r="I29" s="113">
        <x:f>SUM('1:31'!$I$27)</x:f>
        <x:v>23456500</x:v>
      </x:c>
      <x:c r="M29" s="66"/>
    </x:row>
    <x:row r="30" spans="1:13" ht="30.949999999999999" customHeight="1">
      <x:c r="A30" s="315"/>
      <x:c r="B30" s="54"/>
      <x:c r="C30" s="311"/>
      <x:c r="D30" s="311"/>
      <x:c r="E30" s="55" t="s">
        <x:v>56</x:v>
      </x:c>
      <x:c r="F30" s="306"/>
      <x:c r="G30" s="307"/>
      <x:c r="H30" s="112" t="s">
        <x:v>127</x:v>
      </x:c>
      <x:c r="I30" s="114">
        <x:f>I29/$I$27</x:f>
        <x:v>32.892364409463063</x:v>
      </x:c>
      <x:c r="M30" s="66"/>
    </x:row>
    <x:row r="31" spans="1:7" customHeight="1">
      <x:c r="A31" s="315"/>
      <x:c r="B31" s="54" t="s">
        <x:v>40</x:v>
      </x:c>
      <x:c r="C31" s="309">
        <x:f>3500000/31</x:f>
        <x:v>112903.22580645161</x:v>
      </x:c>
      <x:c r="D31" s="310"/>
      <x:c r="E31" s="55" t="s">
        <x:v>4</x:v>
      </x:c>
      <x:c r="F31" s="306">
        <x:v>132000</x:v>
      </x:c>
      <x:c r="G31" s="307"/>
    </x:row>
    <x:row r="32" spans="1:7" customHeight="1">
      <x:c r="A32" s="315"/>
      <x:c r="B32" s="54"/>
      <x:c r="C32" s="304"/>
      <x:c r="D32" s="305"/>
      <x:c r="E32" s="55" t="s">
        <x:v>137</x:v>
      </x:c>
      <x:c r="F32" s="306"/>
      <x:c r="G32" s="307"/>
    </x:row>
    <x:row r="33" spans="1:7" customHeight="1">
      <x:c r="A33" s="315"/>
      <x:c r="B33" s="54" t="s">
        <x:v>21</x:v>
      </x:c>
      <x:c r="C33" s="304"/>
      <x:c r="D33" s="305"/>
      <x:c r="E33" s="55" t="s">
        <x:v>56</x:v>
      </x:c>
      <x:c r="G33" s="53">
        <x:f>13000*4</x:f>
        <x:v>52000</x:v>
      </x:c>
    </x:row>
    <x:row r="34" spans="1:4" customHeight="1">
      <x:c r="A34" s="316"/>
      <x:c r="B34" s="54"/>
      <x:c r="C34" s="306"/>
      <x:c r="D34" s="307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3:D33"/>
    <x:mergeCell ref="C34:D34"/>
    <x:mergeCell ref="C30:D30"/>
    <x:mergeCell ref="F30:G30"/>
    <x:mergeCell ref="C31:D31"/>
    <x:mergeCell ref="F31:G31"/>
    <x:mergeCell ref="C32:D32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D14:E15"/>
    <x:mergeCell ref="D12:E13"/>
    <x:mergeCell ref="D18:E19"/>
    <x:mergeCell ref="D16:E17"/>
    <x:mergeCell ref="B14:B15"/>
    <x:mergeCell ref="B16:B17"/>
    <x:mergeCell ref="B12:B13"/>
    <x:mergeCell ref="B18:B19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4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Chart1</vt:lpstr>
    </vt:vector>
  </ep:TitlesOfParts>
  <ep:TotalTime>199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28</cp:revision>
  <cp:lastPrinted>2020-08-02T09:11:11.000</cp:lastPrinted>
  <dcterms:created xsi:type="dcterms:W3CDTF">2017-10-12T05:43:00.000</dcterms:created>
  <dcterms:modified xsi:type="dcterms:W3CDTF">2026-04-27T17:11:20.323</dcterms:modified>
  <cp:version>1000.0100.01</cp:version>
</cp:coreProperties>
</file>